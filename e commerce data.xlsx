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slicers/slicer4.xml" ContentType="application/vnd.ms-excel.slicer+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ELCOT\Downloads\"/>
    </mc:Choice>
  </mc:AlternateContent>
  <xr:revisionPtr revIDLastSave="0" documentId="13_ncr:1_{526AE497-65A1-4B0B-8315-8245AF687C5F}" xr6:coauthVersionLast="47" xr6:coauthVersionMax="47" xr10:uidLastSave="{00000000-0000-0000-0000-000000000000}"/>
  <bookViews>
    <workbookView showSheetTabs="0" xWindow="-120" yWindow="-120" windowWidth="20730" windowHeight="11040" firstSheet="2" activeTab="5" xr2:uid="{96FB1B72-9AEE-4B09-9F00-8AD4F3CF4C3C}"/>
  </bookViews>
  <sheets>
    <sheet name=" KPI CARD" sheetId="3" r:id="rId1"/>
    <sheet name="charts" sheetId="4" r:id="rId2"/>
    <sheet name="global_ecommerce_sales" sheetId="2" r:id="rId3"/>
    <sheet name="SALES OVERVIEW" sheetId="1" r:id="rId4"/>
    <sheet name="PRODUCT ANALYSIS" sheetId="6" r:id="rId5"/>
    <sheet name="REGION SALES" sheetId="7" r:id="rId6"/>
  </sheets>
  <definedNames>
    <definedName name="ExternalData_1" localSheetId="2" hidden="1">global_ecommerce_sales!$A$1:$U$2001</definedName>
    <definedName name="Slicer_Country">#N/A</definedName>
    <definedName name="Slicer_Customer_Segment">#N/A</definedName>
    <definedName name="Slicer_Month_Name">#N/A</definedName>
    <definedName name="Slicer_Payment_Method">#N/A</definedName>
    <definedName name="Slicer_price_tier">#N/A</definedName>
    <definedName name="Slicer_Product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9" i="6" l="1"/>
  <c r="AF17" i="3"/>
  <c r="P11" i="3"/>
  <c r="AA9" i="3"/>
  <c r="W11" i="3"/>
  <c r="K10" i="3"/>
  <c r="D10" i="3"/>
  <c r="B10" i="3"/>
  <c r="AC10" i="3"/>
  <c r="I10" i="3"/>
  <c r="G10" i="3"/>
  <c r="N12" i="3"/>
  <c r="S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82FAFF-456C-44D1-9145-C2272C4E3A20}" keepAlive="1" name="Query - global_ecommerce_sales" description="Connection to the 'global_ecommerce_sales' query in the workbook." type="5" refreshedVersion="8" background="1" saveData="1">
    <dbPr connection="Provider=Microsoft.Mashup.OleDb.1;Data Source=$Workbook$;Location=global_ecommerce_sales;Extended Properties=&quot;&quot;" command="SELECT * FROM [global_ecommerce_sales]"/>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<sst xmlns="http://schemas.openxmlformats.org/spreadsheetml/2006/main" count="22211" uniqueCount="3675">
  <si>
    <t>Order_ID</t>
  </si>
  <si>
    <t>Order_Date</t>
  </si>
  <si>
    <t>Customer_Name</t>
  </si>
  <si>
    <t>Customer_Segment</t>
  </si>
  <si>
    <t>Country</t>
  </si>
  <si>
    <t>Region</t>
  </si>
  <si>
    <t>Product_Category</t>
  </si>
  <si>
    <t>Product_Name</t>
  </si>
  <si>
    <t>Quantity</t>
  </si>
  <si>
    <t>Unit_Price</t>
  </si>
  <si>
    <t>Discount_Percent</t>
  </si>
  <si>
    <t>Total_Sales</t>
  </si>
  <si>
    <t>Shipping_Cost</t>
  </si>
  <si>
    <t>Profit</t>
  </si>
  <si>
    <t>Payment_Method</t>
  </si>
  <si>
    <t>ORD-11121</t>
  </si>
  <si>
    <t>Karen Suzuki</t>
  </si>
  <si>
    <t>Corporate</t>
  </si>
  <si>
    <t>United States</t>
  </si>
  <si>
    <t>North America</t>
  </si>
  <si>
    <t>Technology</t>
  </si>
  <si>
    <t>Wireless Bluetooth Headphones</t>
  </si>
  <si>
    <t>Cash on Delivery</t>
  </si>
  <si>
    <t>ORD-11244</t>
  </si>
  <si>
    <t>John Johansson</t>
  </si>
  <si>
    <t>Spain</t>
  </si>
  <si>
    <t>Europe</t>
  </si>
  <si>
    <t>Mechanical Gaming Keyboard</t>
  </si>
  <si>
    <t>ORD-10325</t>
  </si>
  <si>
    <t>Jessica Garcia</t>
  </si>
  <si>
    <t>Consumer</t>
  </si>
  <si>
    <t>Mexico</t>
  </si>
  <si>
    <t>Office Supplies</t>
  </si>
  <si>
    <t>Binder Clips Assorted 48pc</t>
  </si>
  <si>
    <t>Credit Card</t>
  </si>
  <si>
    <t>ORD-10467</t>
  </si>
  <si>
    <t>Clara Taylor</t>
  </si>
  <si>
    <t>Italy</t>
  </si>
  <si>
    <t>Webcam HD 1080p</t>
  </si>
  <si>
    <t>PayPal</t>
  </si>
  <si>
    <t>ORD-11454</t>
  </si>
  <si>
    <t>Felix Thomas</t>
  </si>
  <si>
    <t>Furniture</t>
  </si>
  <si>
    <t>Standing Desk Converter</t>
  </si>
  <si>
    <t>ORD-11746</t>
  </si>
  <si>
    <t>Fatima Suzuki</t>
  </si>
  <si>
    <t>Bookshelf 5-Tier</t>
  </si>
  <si>
    <t>ORD-11162</t>
  </si>
  <si>
    <t>Felix Rodriguez</t>
  </si>
  <si>
    <t>Home Office</t>
  </si>
  <si>
    <t>Premium Notebook Set A5</t>
  </si>
  <si>
    <t>ORD-11271</t>
  </si>
  <si>
    <t>Ayumi Ferrari</t>
  </si>
  <si>
    <t>Nigeria</t>
  </si>
  <si>
    <t>Middle East &amp; Africa</t>
  </si>
  <si>
    <t>Laptop Stand Adjustable</t>
  </si>
  <si>
    <t>Bank Transfer</t>
  </si>
  <si>
    <t>ORD-11702</t>
  </si>
  <si>
    <t>Thomas Smith</t>
  </si>
  <si>
    <t>China</t>
  </si>
  <si>
    <t>Asia Pacific</t>
  </si>
  <si>
    <t>ORD-10847</t>
  </si>
  <si>
    <t>Ali Rodriguez</t>
  </si>
  <si>
    <t>Saudi Arabia</t>
  </si>
  <si>
    <t>Folding Table Portable</t>
  </si>
  <si>
    <t>ORD-10446</t>
  </si>
  <si>
    <t>Raj Martinez</t>
  </si>
  <si>
    <t>Colombia</t>
  </si>
  <si>
    <t>South America</t>
  </si>
  <si>
    <t>Clothing &amp; Accessories</t>
  </si>
  <si>
    <t>Leather Wallet Minimalist</t>
  </si>
  <si>
    <t>ORD-11499</t>
  </si>
  <si>
    <t>Kenji Rossi</t>
  </si>
  <si>
    <t>Paper Clips Box 500pc</t>
  </si>
  <si>
    <t>ORD-10271</t>
  </si>
  <si>
    <t>Mary Khan</t>
  </si>
  <si>
    <t>United Kingdom</t>
  </si>
  <si>
    <t>ORD-11356</t>
  </si>
  <si>
    <t>Maria Tanaka</t>
  </si>
  <si>
    <t>Travel Backpack 30L</t>
  </si>
  <si>
    <t>ORD-10793</t>
  </si>
  <si>
    <t>Zara Brown</t>
  </si>
  <si>
    <t>Tape Dispenser Heavy Duty</t>
  </si>
  <si>
    <t>ORD-11330</t>
  </si>
  <si>
    <t>Marco Moreau</t>
  </si>
  <si>
    <t>Japan</t>
  </si>
  <si>
    <t>Business Casual Blazer</t>
  </si>
  <si>
    <t>ORD-11886</t>
  </si>
  <si>
    <t>Christopher Johansson</t>
  </si>
  <si>
    <t>Corner L-Shaped Desk</t>
  </si>
  <si>
    <t>ORD-10339</t>
  </si>
  <si>
    <t>Susan Davis</t>
  </si>
  <si>
    <t>Australia</t>
  </si>
  <si>
    <t>Ergonomic Office Chair</t>
  </si>
  <si>
    <t>ORD-10402</t>
  </si>
  <si>
    <t>Jamal Schmidt</t>
  </si>
  <si>
    <t>ORD-10560</t>
  </si>
  <si>
    <t>Sarah Davis</t>
  </si>
  <si>
    <t>Wool Blend Scarf</t>
  </si>
  <si>
    <t>ORD-10686</t>
  </si>
  <si>
    <t>Clara Smith</t>
  </si>
  <si>
    <t>Whiteboard Markers Set 8</t>
  </si>
  <si>
    <t>ORD-11718</t>
  </si>
  <si>
    <t>Robert Khan</t>
  </si>
  <si>
    <t>ORD-10736</t>
  </si>
  <si>
    <t>Jennifer Russo</t>
  </si>
  <si>
    <t>Smart LED Desk Lamp</t>
  </si>
  <si>
    <t>ORD-10846</t>
  </si>
  <si>
    <t>Yuki Costa</t>
  </si>
  <si>
    <t>UAE</t>
  </si>
  <si>
    <t>Sticky Notes Multicolor 6-Pack</t>
  </si>
  <si>
    <t>ORD-11128</t>
  </si>
  <si>
    <t>Amir Oliveira</t>
  </si>
  <si>
    <t>ORD-10279</t>
  </si>
  <si>
    <t>Ivan Zhang</t>
  </si>
  <si>
    <t>Desk Calendar 2025</t>
  </si>
  <si>
    <t>ORD-10344</t>
  </si>
  <si>
    <t>Sakura Martinez</t>
  </si>
  <si>
    <t>Floating Wall Shelves Set</t>
  </si>
  <si>
    <t>ORD-10589</t>
  </si>
  <si>
    <t>Mary Davis</t>
  </si>
  <si>
    <t>Argentina</t>
  </si>
  <si>
    <t>Portable External SSD 1TB</t>
  </si>
  <si>
    <t>ORD-11029</t>
  </si>
  <si>
    <t>Karen Rossi</t>
  </si>
  <si>
    <t>ORD-11026</t>
  </si>
  <si>
    <t>Chen Singh</t>
  </si>
  <si>
    <t>ORD-10968</t>
  </si>
  <si>
    <t>Wei Müller</t>
  </si>
  <si>
    <t>Canada</t>
  </si>
  <si>
    <t>ORD-11723</t>
  </si>
  <si>
    <t>Raj Costa</t>
  </si>
  <si>
    <t>Stapler Full-Size</t>
  </si>
  <si>
    <t>ORD-10408</t>
  </si>
  <si>
    <t>Hanna Sato</t>
  </si>
  <si>
    <t>Germany</t>
  </si>
  <si>
    <t>ORD-11828</t>
  </si>
  <si>
    <t>Sarah Zhang</t>
  </si>
  <si>
    <t>South Africa</t>
  </si>
  <si>
    <t>Canvas Messenger Bag</t>
  </si>
  <si>
    <t>ORD-11035</t>
  </si>
  <si>
    <t>Linda Russo</t>
  </si>
  <si>
    <t>ORD-10599</t>
  </si>
  <si>
    <t>Chen Laurent</t>
  </si>
  <si>
    <t>ORD-10780</t>
  </si>
  <si>
    <t>David Anderson</t>
  </si>
  <si>
    <t>ORD-10636</t>
  </si>
  <si>
    <t>Ayumi Tanaka</t>
  </si>
  <si>
    <t>South Korea</t>
  </si>
  <si>
    <t>Ballpoint Pen Pack 12</t>
  </si>
  <si>
    <t>ORD-10694</t>
  </si>
  <si>
    <t>Susan Johansson</t>
  </si>
  <si>
    <t>ORD-10711</t>
  </si>
  <si>
    <t>Mary Ferrari</t>
  </si>
  <si>
    <t>ORD-10383</t>
  </si>
  <si>
    <t>Michael Harris</t>
  </si>
  <si>
    <t>ORD-10435</t>
  </si>
  <si>
    <t>Priya Martin</t>
  </si>
  <si>
    <t>ORD-10017</t>
  </si>
  <si>
    <t>Kenji Nilsson</t>
  </si>
  <si>
    <t>Silk Tie Collection</t>
  </si>
  <si>
    <t>ORD-11220</t>
  </si>
  <si>
    <t>Amir Hassan</t>
  </si>
  <si>
    <t>Cotton Formal Shirt</t>
  </si>
  <si>
    <t>ORD-11237</t>
  </si>
  <si>
    <t>Ahmed Garcia</t>
  </si>
  <si>
    <t>India</t>
  </si>
  <si>
    <t>ORD-11655</t>
  </si>
  <si>
    <t>Li Wang</t>
  </si>
  <si>
    <t>Brazil</t>
  </si>
  <si>
    <t>USB-C Hub Multiport Adapter</t>
  </si>
  <si>
    <t>ORD-11858</t>
  </si>
  <si>
    <t>Ava Martinez</t>
  </si>
  <si>
    <t>ORD-10787</t>
  </si>
  <si>
    <t>Ahmed Clark</t>
  </si>
  <si>
    <t>Tablet Stand Holder</t>
  </si>
  <si>
    <t>ORD-10950</t>
  </si>
  <si>
    <t>William Sharma</t>
  </si>
  <si>
    <t>ORD-10374</t>
  </si>
  <si>
    <t>Felix Smith</t>
  </si>
  <si>
    <t>ORD-10745</t>
  </si>
  <si>
    <t>Yuki Kumar</t>
  </si>
  <si>
    <t>ORD-11670</t>
  </si>
  <si>
    <t>Jamal Rossi</t>
  </si>
  <si>
    <t>ORD-11158</t>
  </si>
  <si>
    <t>Maria Sharma</t>
  </si>
  <si>
    <t>ORD-11430</t>
  </si>
  <si>
    <t>Karen Martinez</t>
  </si>
  <si>
    <t>ORD-11760</t>
  </si>
  <si>
    <t>Sakura Thomas</t>
  </si>
  <si>
    <t>ORD-10720</t>
  </si>
  <si>
    <t>Hans Chen</t>
  </si>
  <si>
    <t>ORD-11218</t>
  </si>
  <si>
    <t>Lucas Sharma</t>
  </si>
  <si>
    <t>ORD-10384</t>
  </si>
  <si>
    <t>Giulia Leroy</t>
  </si>
  <si>
    <t>Sports Water Bottle 750ml</t>
  </si>
  <si>
    <t>ORD-11503</t>
  </si>
  <si>
    <t>Felix Yamamoto</t>
  </si>
  <si>
    <t>Noise Cancelling Earbuds</t>
  </si>
  <si>
    <t>ORD-11711</t>
  </si>
  <si>
    <t>Layla Khan</t>
  </si>
  <si>
    <t>ORD-10098</t>
  </si>
  <si>
    <t>Ava Jones</t>
  </si>
  <si>
    <t>ORD-10314</t>
  </si>
  <si>
    <t>Sakura Martin</t>
  </si>
  <si>
    <t>ORD-10322</t>
  </si>
  <si>
    <t>Maria Laurent</t>
  </si>
  <si>
    <t>ORD-11507</t>
  </si>
  <si>
    <t>Zara Suzuki</t>
  </si>
  <si>
    <t>ORD-11683</t>
  </si>
  <si>
    <t>Zara Costa</t>
  </si>
  <si>
    <t>ORD-10642</t>
  </si>
  <si>
    <t>Olga Kim</t>
  </si>
  <si>
    <t>ORD-11011</t>
  </si>
  <si>
    <t>Hans Kim</t>
  </si>
  <si>
    <t>ORD-11270</t>
  </si>
  <si>
    <t>Isabella White</t>
  </si>
  <si>
    <t>ORD-11659</t>
  </si>
  <si>
    <t>Emma Oliveira</t>
  </si>
  <si>
    <t>ORD-10256</t>
  </si>
  <si>
    <t>Michael Zhang</t>
  </si>
  <si>
    <t>ORD-10527</t>
  </si>
  <si>
    <t>Hanna Ahmed</t>
  </si>
  <si>
    <t>ORD-11082</t>
  </si>
  <si>
    <t>Patricia Müller</t>
  </si>
  <si>
    <t>ORD-10473</t>
  </si>
  <si>
    <t>Kenji Zhang</t>
  </si>
  <si>
    <t>ORD-11304</t>
  </si>
  <si>
    <t>Ayumi Martinez</t>
  </si>
  <si>
    <t>ORD-11560</t>
  </si>
  <si>
    <t>Ayumi Nilsson</t>
  </si>
  <si>
    <t>ORD-11196</t>
  </si>
  <si>
    <t>Mia Ali</t>
  </si>
  <si>
    <t>Monitor Riser Wood</t>
  </si>
  <si>
    <t>ORD-11355</t>
  </si>
  <si>
    <t>Lucas Schmidt</t>
  </si>
  <si>
    <t>ORD-11569</t>
  </si>
  <si>
    <t>Barbara Davis</t>
  </si>
  <si>
    <t>ORD-10916</t>
  </si>
  <si>
    <t>Jessica Wang</t>
  </si>
  <si>
    <t>ORD-10837</t>
  </si>
  <si>
    <t>Jamal Zhang</t>
  </si>
  <si>
    <t>Leather Belt Classic</t>
  </si>
  <si>
    <t>ORD-10855</t>
  </si>
  <si>
    <t>Felix Johansson</t>
  </si>
  <si>
    <t>ORD-11065</t>
  </si>
  <si>
    <t>Priya Wang</t>
  </si>
  <si>
    <t>France</t>
  </si>
  <si>
    <t>ORD-11922</t>
  </si>
  <si>
    <t>Sophie Park</t>
  </si>
  <si>
    <t>ORD-10594</t>
  </si>
  <si>
    <t>Ayumi Khan</t>
  </si>
  <si>
    <t>ORD-11419</t>
  </si>
  <si>
    <t>Michael Davis</t>
  </si>
  <si>
    <t>Desk Organizer Set</t>
  </si>
  <si>
    <t>ORD-11624</t>
  </si>
  <si>
    <t>Felix Thompson</t>
  </si>
  <si>
    <t>ORD-11855</t>
  </si>
  <si>
    <t>Hans Johnson</t>
  </si>
  <si>
    <t>ORD-10843</t>
  </si>
  <si>
    <t>Jennifer Moreau</t>
  </si>
  <si>
    <t>ORD-11306</t>
  </si>
  <si>
    <t>Mia Müller</t>
  </si>
  <si>
    <t>Wireless Ergonomic Mouse</t>
  </si>
  <si>
    <t>ORD-10392</t>
  </si>
  <si>
    <t>Priya Martinez</t>
  </si>
  <si>
    <t>ORD-11302</t>
  </si>
  <si>
    <t>ORD-11205</t>
  </si>
  <si>
    <t>Zara White</t>
  </si>
  <si>
    <t>ORD-10892</t>
  </si>
  <si>
    <t>Felix Moreau</t>
  </si>
  <si>
    <t>ORD-11175</t>
  </si>
  <si>
    <t>Ethan Hassan</t>
  </si>
  <si>
    <t>ORD-11598</t>
  </si>
  <si>
    <t>Ingrid Schmidt</t>
  </si>
  <si>
    <t>ORD-10113</t>
  </si>
  <si>
    <t>Mia Harris</t>
  </si>
  <si>
    <t>ORD-10646</t>
  </si>
  <si>
    <t>Sophie Harris</t>
  </si>
  <si>
    <t>ORD-11378</t>
  </si>
  <si>
    <t>Michael Hassan</t>
  </si>
  <si>
    <t>ORD-11900</t>
  </si>
  <si>
    <t>Oscar Jones</t>
  </si>
  <si>
    <t>ORD-11523</t>
  </si>
  <si>
    <t>Giulia Ali</t>
  </si>
  <si>
    <t>ORD-10233</t>
  </si>
  <si>
    <t>Fatima Rossi</t>
  </si>
  <si>
    <t>ORD-10605</t>
  </si>
  <si>
    <t>Yuki Patel</t>
  </si>
  <si>
    <t>ORD-10907</t>
  </si>
  <si>
    <t>Mia Clark</t>
  </si>
  <si>
    <t>ORD-11202</t>
  </si>
  <si>
    <t>Mary Smith</t>
  </si>
  <si>
    <t>Mesh Back Task Chair</t>
  </si>
  <si>
    <t>ORD-11294</t>
  </si>
  <si>
    <t>Ayumi Suzuki</t>
  </si>
  <si>
    <t>ORD-11673</t>
  </si>
  <si>
    <t>Elizabeth Moreau</t>
  </si>
  <si>
    <t>ORD-11217</t>
  </si>
  <si>
    <t>Jamal Martinez</t>
  </si>
  <si>
    <t>ORD-10246</t>
  </si>
  <si>
    <t>Barbara Ali</t>
  </si>
  <si>
    <t>ORD-11135</t>
  </si>
  <si>
    <t>Lucas Anderson</t>
  </si>
  <si>
    <t>Polarized Sunglasses</t>
  </si>
  <si>
    <t>ORD-10620</t>
  </si>
  <si>
    <t>Omar Garcia</t>
  </si>
  <si>
    <t>ORD-11279</t>
  </si>
  <si>
    <t>Clara Miller</t>
  </si>
  <si>
    <t>ORD-10124</t>
  </si>
  <si>
    <t>David Harris</t>
  </si>
  <si>
    <t>ORD-10242</t>
  </si>
  <si>
    <t>James Chen</t>
  </si>
  <si>
    <t>ORD-10915</t>
  </si>
  <si>
    <t>Ahmed Harris</t>
  </si>
  <si>
    <t>ORD-11632</t>
  </si>
  <si>
    <t>Elizabeth Ahmed</t>
  </si>
  <si>
    <t>ORD-11184</t>
  </si>
  <si>
    <t>Fatima Kumar</t>
  </si>
  <si>
    <t>ORD-10874</t>
  </si>
  <si>
    <t>Mia Martin</t>
  </si>
  <si>
    <t>ORD-11668</t>
  </si>
  <si>
    <t>Robert Robinson</t>
  </si>
  <si>
    <t>ORD-11260</t>
  </si>
  <si>
    <t>Liam Jones</t>
  </si>
  <si>
    <t>ORD-10953</t>
  </si>
  <si>
    <t>Emma Johnson</t>
  </si>
  <si>
    <t>ORD-10521</t>
  </si>
  <si>
    <t>Mia Santos</t>
  </si>
  <si>
    <t>ORD-11545</t>
  </si>
  <si>
    <t>Susan Kim</t>
  </si>
  <si>
    <t>ORD-10070</t>
  </si>
  <si>
    <t>Amir Khan</t>
  </si>
  <si>
    <t>ORD-11006</t>
  </si>
  <si>
    <t>Barbara Leroy</t>
  </si>
  <si>
    <t>ORD-10744</t>
  </si>
  <si>
    <t>Thomas Patel</t>
  </si>
  <si>
    <t>ORD-10861</t>
  </si>
  <si>
    <t>Isabella Martin</t>
  </si>
  <si>
    <t>ORD-10676</t>
  </si>
  <si>
    <t>Wei Chen</t>
  </si>
  <si>
    <t>ORD-11064</t>
  </si>
  <si>
    <t>Karen Jackson</t>
  </si>
  <si>
    <t>ORD-11786</t>
  </si>
  <si>
    <t>Felix Santos</t>
  </si>
  <si>
    <t>ORD-10637</t>
  </si>
  <si>
    <t>Mia Weber</t>
  </si>
  <si>
    <t>Highlighters Neon Pack 6</t>
  </si>
  <si>
    <t>ORD-10863</t>
  </si>
  <si>
    <t>Jessica Anderson</t>
  </si>
  <si>
    <t>ORD-11917</t>
  </si>
  <si>
    <t>Fatima Li</t>
  </si>
  <si>
    <t>ORD-10020</t>
  </si>
  <si>
    <t>Pierre Yamamoto</t>
  </si>
  <si>
    <t>ORD-11090</t>
  </si>
  <si>
    <t>Hanna Jones</t>
  </si>
  <si>
    <t>ORD-11712</t>
  </si>
  <si>
    <t>Felix Park</t>
  </si>
  <si>
    <t>ORD-10887</t>
  </si>
  <si>
    <t>Mia Ferrari</t>
  </si>
  <si>
    <t>ORD-11156</t>
  </si>
  <si>
    <t>Omar Leroy</t>
  </si>
  <si>
    <t>ORD-11633</t>
  </si>
  <si>
    <t>Carlos Smith</t>
  </si>
  <si>
    <t>ORD-10103</t>
  </si>
  <si>
    <t>Barbara Russo</t>
  </si>
  <si>
    <t>ORD-10132</t>
  </si>
  <si>
    <t>Fatima Singh</t>
  </si>
  <si>
    <t>ORD-11007</t>
  </si>
  <si>
    <t>Olga Russo</t>
  </si>
  <si>
    <t>Filing Cabinet 3-Drawer</t>
  </si>
  <si>
    <t>ORD-10395</t>
  </si>
  <si>
    <t>Emma Pereira</t>
  </si>
  <si>
    <t>ORD-11318</t>
  </si>
  <si>
    <t>Thomas Chen</t>
  </si>
  <si>
    <t>ORD-10252</t>
  </si>
  <si>
    <t>Carlos Anderson</t>
  </si>
  <si>
    <t>ORD-10450</t>
  </si>
  <si>
    <t>Ayumi Johnson</t>
  </si>
  <si>
    <t>ORD-11088</t>
  </si>
  <si>
    <t>Hans Santos</t>
  </si>
  <si>
    <t>ORD-11452</t>
  </si>
  <si>
    <t>Thomas Oliveira</t>
  </si>
  <si>
    <t>ORD-11478</t>
  </si>
  <si>
    <t>Oscar Taylor</t>
  </si>
  <si>
    <t>ORD-11231</t>
  </si>
  <si>
    <t>Emma Brown</t>
  </si>
  <si>
    <t>ORD-11479</t>
  </si>
  <si>
    <t>Susan White</t>
  </si>
  <si>
    <t>ORD-10821</t>
  </si>
  <si>
    <t>Nadia Weber</t>
  </si>
  <si>
    <t>ORD-11766</t>
  </si>
  <si>
    <t>James Anderson</t>
  </si>
  <si>
    <t>ORD-11000</t>
  </si>
  <si>
    <t>Olga Zhang</t>
  </si>
  <si>
    <t>ORD-11002</t>
  </si>
  <si>
    <t>Nadia Santos</t>
  </si>
  <si>
    <t>ORD-11631</t>
  </si>
  <si>
    <t>Lucas Kim</t>
  </si>
  <si>
    <t>ORD-11784</t>
  </si>
  <si>
    <t>Hans Laurent</t>
  </si>
  <si>
    <t>ORD-10578</t>
  </si>
  <si>
    <t>William Nilsson</t>
  </si>
  <si>
    <t>ORD-10306</t>
  </si>
  <si>
    <t>James Sharma</t>
  </si>
  <si>
    <t>ORD-10532</t>
  </si>
  <si>
    <t>Ava Ferrari</t>
  </si>
  <si>
    <t>ORD-10903</t>
  </si>
  <si>
    <t>Priya Zhang</t>
  </si>
  <si>
    <t>ORD-11253</t>
  </si>
  <si>
    <t>Richard Harris</t>
  </si>
  <si>
    <t>ORD-11610</t>
  </si>
  <si>
    <t>Richard Ali</t>
  </si>
  <si>
    <t>ORD-10071</t>
  </si>
  <si>
    <t>Richard Müller</t>
  </si>
  <si>
    <t>ORD-10207</t>
  </si>
  <si>
    <t>Diego Johansson</t>
  </si>
  <si>
    <t>ORD-11995</t>
  </si>
  <si>
    <t>Jamal Ferrari</t>
  </si>
  <si>
    <t>ORD-10176</t>
  </si>
  <si>
    <t>Li Pereira</t>
  </si>
  <si>
    <t>ORD-11066</t>
  </si>
  <si>
    <t>Olga Leroy</t>
  </si>
  <si>
    <t>ORD-11988</t>
  </si>
  <si>
    <t>Michael Yamamoto</t>
  </si>
  <si>
    <t>ORD-10274</t>
  </si>
  <si>
    <t>Michael Ferrari</t>
  </si>
  <si>
    <t>ORD-10840</t>
  </si>
  <si>
    <t>Priya Park</t>
  </si>
  <si>
    <t>ORD-11333</t>
  </si>
  <si>
    <t>Olga Hassan</t>
  </si>
  <si>
    <t>ORD-11079</t>
  </si>
  <si>
    <t>Maria Schmidt</t>
  </si>
  <si>
    <t>ORD-11868</t>
  </si>
  <si>
    <t>Maria Martinez</t>
  </si>
  <si>
    <t>ORD-11664</t>
  </si>
  <si>
    <t>Hans Fischer</t>
  </si>
  <si>
    <t>ORD-11912</t>
  </si>
  <si>
    <t>Lucas Chen</t>
  </si>
  <si>
    <t>ORD-11921</t>
  </si>
  <si>
    <t>Priya Jones</t>
  </si>
  <si>
    <t>ORD-10551</t>
  </si>
  <si>
    <t>Sophie Thomas</t>
  </si>
  <si>
    <t>ORD-10091</t>
  </si>
  <si>
    <t>Jessica Sato</t>
  </si>
  <si>
    <t>ORD-10434</t>
  </si>
  <si>
    <t>Giulia Brown</t>
  </si>
  <si>
    <t>ORD-11552</t>
  </si>
  <si>
    <t>Li Taylor</t>
  </si>
  <si>
    <t>ORD-10330</t>
  </si>
  <si>
    <t>Ahmed Miller</t>
  </si>
  <si>
    <t>ORD-10769</t>
  </si>
  <si>
    <t>Barbara Thomas</t>
  </si>
  <si>
    <t>ORD-10427</t>
  </si>
  <si>
    <t>Clara Oliveira</t>
  </si>
  <si>
    <t>ORD-11810</t>
  </si>
  <si>
    <t>Carlos Wang</t>
  </si>
  <si>
    <t>ORD-11212</t>
  </si>
  <si>
    <t>Li White</t>
  </si>
  <si>
    <t>ORD-10667</t>
  </si>
  <si>
    <t>Felix Miller</t>
  </si>
  <si>
    <t>ORD-11292</t>
  </si>
  <si>
    <t>Sakura Dubois</t>
  </si>
  <si>
    <t>ORD-11731</t>
  </si>
  <si>
    <t>Barbara Suzuki</t>
  </si>
  <si>
    <t>ORD-11224</t>
  </si>
  <si>
    <t>Zara Patel</t>
  </si>
  <si>
    <t>ORD-10468</t>
  </si>
  <si>
    <t>Wei Johansson</t>
  </si>
  <si>
    <t>ORD-11700</t>
  </si>
  <si>
    <t>Sarah Robinson</t>
  </si>
  <si>
    <t>ORD-10377</t>
  </si>
  <si>
    <t>Omar Williams</t>
  </si>
  <si>
    <t>ORD-11553</t>
  </si>
  <si>
    <t>Karen Moreau</t>
  </si>
  <si>
    <t>ORD-11888</t>
  </si>
  <si>
    <t>Christopher Park</t>
  </si>
  <si>
    <t>ORD-10102</t>
  </si>
  <si>
    <t>Kenji Jones</t>
  </si>
  <si>
    <t>ORD-11008</t>
  </si>
  <si>
    <t>Marco Taylor</t>
  </si>
  <si>
    <t>ORD-11204</t>
  </si>
  <si>
    <t>Li Yamamoto</t>
  </si>
  <si>
    <t>ORD-10826</t>
  </si>
  <si>
    <t>Ava Fischer</t>
  </si>
  <si>
    <t>ORD-11363</t>
  </si>
  <si>
    <t>Mia Smith</t>
  </si>
  <si>
    <t>ORD-10202</t>
  </si>
  <si>
    <t>Ivan Anderson</t>
  </si>
  <si>
    <t>ORD-10462</t>
  </si>
  <si>
    <t>Raj Thomas</t>
  </si>
  <si>
    <t>ORD-11586</t>
  </si>
  <si>
    <t>ORD-10703</t>
  </si>
  <si>
    <t>Priya Chen</t>
  </si>
  <si>
    <t>ORD-10828</t>
  </si>
  <si>
    <t>Kenji Romano</t>
  </si>
  <si>
    <t>ORD-10652</t>
  </si>
  <si>
    <t>Pierre Fischer</t>
  </si>
  <si>
    <t>ORD-11385</t>
  </si>
  <si>
    <t>Ali Miller</t>
  </si>
  <si>
    <t>ORD-11895</t>
  </si>
  <si>
    <t>John Robinson</t>
  </si>
  <si>
    <t>ORD-10143</t>
  </si>
  <si>
    <t>Wei Sato</t>
  </si>
  <si>
    <t>ORD-10853</t>
  </si>
  <si>
    <t>Amir Garcia</t>
  </si>
  <si>
    <t>ORD-10452</t>
  </si>
  <si>
    <t>Layla Santos</t>
  </si>
  <si>
    <t>ORD-11484</t>
  </si>
  <si>
    <t>Christopher Taylor</t>
  </si>
  <si>
    <t>ORD-10623</t>
  </si>
  <si>
    <t>Chen Thompson</t>
  </si>
  <si>
    <t>ORD-11458</t>
  </si>
  <si>
    <t>Barbara Sharma</t>
  </si>
  <si>
    <t>ORD-10609</t>
  </si>
  <si>
    <t>Diego Jackson</t>
  </si>
  <si>
    <t>ORD-11288</t>
  </si>
  <si>
    <t>Ayumi Ahmed</t>
  </si>
  <si>
    <t>ORD-10607</t>
  </si>
  <si>
    <t>Fatima Laurent</t>
  </si>
  <si>
    <t>ORD-10105</t>
  </si>
  <si>
    <t>Olivia Kumar</t>
  </si>
  <si>
    <t>ORD-11298</t>
  </si>
  <si>
    <t>Raj Rossi</t>
  </si>
  <si>
    <t>ORD-11682</t>
  </si>
  <si>
    <t>Patricia Dubois</t>
  </si>
  <si>
    <t>ORD-10411</t>
  </si>
  <si>
    <t>Robert Jackson</t>
  </si>
  <si>
    <t>ORD-11776</t>
  </si>
  <si>
    <t>Jennifer Costa</t>
  </si>
  <si>
    <t>ORD-11788</t>
  </si>
  <si>
    <t>Ivan Li</t>
  </si>
  <si>
    <t>ORD-11227</t>
  </si>
  <si>
    <t>Nadia Brown</t>
  </si>
  <si>
    <t>ORD-10941</t>
  </si>
  <si>
    <t>Emma Johansson</t>
  </si>
  <si>
    <t>ORD-11045</t>
  </si>
  <si>
    <t>Diego Schmidt</t>
  </si>
  <si>
    <t>ORD-11149</t>
  </si>
  <si>
    <t>Clara Jackson</t>
  </si>
  <si>
    <t>ORD-11329</t>
  </si>
  <si>
    <t>Jamal Clark</t>
  </si>
  <si>
    <t>ORD-11394</t>
  </si>
  <si>
    <t>ORD-11435</t>
  </si>
  <si>
    <t>Lucas Khan</t>
  </si>
  <si>
    <t>ORD-10336</t>
  </si>
  <si>
    <t>Chen Romano</t>
  </si>
  <si>
    <t>ORD-11513</t>
  </si>
  <si>
    <t>Sophie Yamamoto</t>
  </si>
  <si>
    <t>ORD-11762</t>
  </si>
  <si>
    <t>ORD-10562</t>
  </si>
  <si>
    <t>ORD-10710</t>
  </si>
  <si>
    <t>Ahmed Taylor</t>
  </si>
  <si>
    <t>ORD-11740</t>
  </si>
  <si>
    <t>Zara Rodriguez</t>
  </si>
  <si>
    <t>ORD-10422</t>
  </si>
  <si>
    <t>Clara Santos</t>
  </si>
  <si>
    <t>ORD-11834</t>
  </si>
  <si>
    <t>Hanna Davis</t>
  </si>
  <si>
    <t>ORD-10942</t>
  </si>
  <si>
    <t>Barbara Rossi</t>
  </si>
  <si>
    <t>ORD-10129</t>
  </si>
  <si>
    <t>Oscar Santos</t>
  </si>
  <si>
    <t>ORD-10722</t>
  </si>
  <si>
    <t>Patricia Chen</t>
  </si>
  <si>
    <t>ORD-10845</t>
  </si>
  <si>
    <t>Ahmed Dubois</t>
  </si>
  <si>
    <t>ORD-10937</t>
  </si>
  <si>
    <t>Kenji Robinson</t>
  </si>
  <si>
    <t>ORD-11401</t>
  </si>
  <si>
    <t>Robert Sharma</t>
  </si>
  <si>
    <t>ORD-10069</t>
  </si>
  <si>
    <t>Chen Smith</t>
  </si>
  <si>
    <t>ORD-10025</t>
  </si>
  <si>
    <t>Kenji Leroy</t>
  </si>
  <si>
    <t>ORD-11268</t>
  </si>
  <si>
    <t>Richard Li</t>
  </si>
  <si>
    <t>ORD-11962</t>
  </si>
  <si>
    <t>Karen Anderson</t>
  </si>
  <si>
    <t>ORD-10979</t>
  </si>
  <si>
    <t>Zara Kim</t>
  </si>
  <si>
    <t>ORD-10816</t>
  </si>
  <si>
    <t>Jennifer Nilsson</t>
  </si>
  <si>
    <t>ORD-11468</t>
  </si>
  <si>
    <t>Christopher Harris</t>
  </si>
  <si>
    <t>ORD-11539</t>
  </si>
  <si>
    <t>Marco Martin</t>
  </si>
  <si>
    <t>ORD-11609</t>
  </si>
  <si>
    <t>Emma Zhang</t>
  </si>
  <si>
    <t>ORD-11707</t>
  </si>
  <si>
    <t>David Smith</t>
  </si>
  <si>
    <t>ORD-10177</t>
  </si>
  <si>
    <t>Wei Romano</t>
  </si>
  <si>
    <t>ORD-10817</t>
  </si>
  <si>
    <t>ORD-11080</t>
  </si>
  <si>
    <t>Zara Ferrari</t>
  </si>
  <si>
    <t>ORD-10376</t>
  </si>
  <si>
    <t>ORD-10726</t>
  </si>
  <si>
    <t>Hans Yamamoto</t>
  </si>
  <si>
    <t>ORD-11103</t>
  </si>
  <si>
    <t>Nadia Costa</t>
  </si>
  <si>
    <t>ORD-10727</t>
  </si>
  <si>
    <t>Mia Sharma</t>
  </si>
  <si>
    <t>ORD-10772</t>
  </si>
  <si>
    <t>William Hassan</t>
  </si>
  <si>
    <t>ORD-11060</t>
  </si>
  <si>
    <t>Ali Johansson</t>
  </si>
  <si>
    <t>ORD-11322</t>
  </si>
  <si>
    <t>Amir Chen</t>
  </si>
  <si>
    <t>ORD-10146</t>
  </si>
  <si>
    <t>Ethan Park</t>
  </si>
  <si>
    <t>ORD-11048</t>
  </si>
  <si>
    <t>Christopher Robinson</t>
  </si>
  <si>
    <t>ORD-11155</t>
  </si>
  <si>
    <t>Noah Khan</t>
  </si>
  <si>
    <t>ORD-11376</t>
  </si>
  <si>
    <t>Linda Smith</t>
  </si>
  <si>
    <t>ORD-11535</t>
  </si>
  <si>
    <t>Isabella Jackson</t>
  </si>
  <si>
    <t>ORD-10114</t>
  </si>
  <si>
    <t>Sarah Kim</t>
  </si>
  <si>
    <t>ORD-11031</t>
  </si>
  <si>
    <t>James Suzuki</t>
  </si>
  <si>
    <t>ORD-11133</t>
  </si>
  <si>
    <t>Wei Harris</t>
  </si>
  <si>
    <t>ORD-10349</t>
  </si>
  <si>
    <t>Thomas Li</t>
  </si>
  <si>
    <t>ORD-11733</t>
  </si>
  <si>
    <t>Michael Khan</t>
  </si>
  <si>
    <t>ORD-10358</t>
  </si>
  <si>
    <t>Isabella Ahmed</t>
  </si>
  <si>
    <t>ORD-11932</t>
  </si>
  <si>
    <t>Felix Hassan</t>
  </si>
  <si>
    <t>ORD-10042</t>
  </si>
  <si>
    <t>Amir Thompson</t>
  </si>
  <si>
    <t>ORD-10569</t>
  </si>
  <si>
    <t>Chen Miller</t>
  </si>
  <si>
    <t>ORD-11665</t>
  </si>
  <si>
    <t>Priya Jackson</t>
  </si>
  <si>
    <t>ORD-10876</t>
  </si>
  <si>
    <t>Karen Wang</t>
  </si>
  <si>
    <t>ORD-11258</t>
  </si>
  <si>
    <t>Carlos Dubois</t>
  </si>
  <si>
    <t>ORD-11375</t>
  </si>
  <si>
    <t>Raj Chen</t>
  </si>
  <si>
    <t>ORD-10546</t>
  </si>
  <si>
    <t>Xiao Taylor</t>
  </si>
  <si>
    <t>ORD-10860</t>
  </si>
  <si>
    <t>Fatima Jackson</t>
  </si>
  <si>
    <t>ORD-11307</t>
  </si>
  <si>
    <t>William Clark</t>
  </si>
  <si>
    <t>ORD-10182</t>
  </si>
  <si>
    <t>ORD-10674</t>
  </si>
  <si>
    <t>ORD-11336</t>
  </si>
  <si>
    <t>Ayumi Robinson</t>
  </si>
  <si>
    <t>ORD-10712</t>
  </si>
  <si>
    <t>Mary Johansson</t>
  </si>
  <si>
    <t>ORD-10788</t>
  </si>
  <si>
    <t>Michael Martin</t>
  </si>
  <si>
    <t>ORD-10212</t>
  </si>
  <si>
    <t>Karen Sato</t>
  </si>
  <si>
    <t>ORD-11068</t>
  </si>
  <si>
    <t>Isabella Kumar</t>
  </si>
  <si>
    <t>ORD-11653</t>
  </si>
  <si>
    <t>Carlos Rodriguez</t>
  </si>
  <si>
    <t>ORD-11771</t>
  </si>
  <si>
    <t>James Tanaka</t>
  </si>
  <si>
    <t>ORD-10480</t>
  </si>
  <si>
    <t>Priya Thomas</t>
  </si>
  <si>
    <t>ORD-10700</t>
  </si>
  <si>
    <t>ORD-10661</t>
  </si>
  <si>
    <t>Olga Nilsson</t>
  </si>
  <si>
    <t>ORD-10747</t>
  </si>
  <si>
    <t>Olga Patel</t>
  </si>
  <si>
    <t>ORD-10432</t>
  </si>
  <si>
    <t>Priya Schmidt</t>
  </si>
  <si>
    <t>ORD-10483</t>
  </si>
  <si>
    <t>Noah Jones</t>
  </si>
  <si>
    <t>ORD-10792</t>
  </si>
  <si>
    <t>Oscar Schmidt</t>
  </si>
  <si>
    <t>ORD-11387</t>
  </si>
  <si>
    <t>Marco Harris</t>
  </si>
  <si>
    <t>ORD-11564</t>
  </si>
  <si>
    <t>Giulia Johnson</t>
  </si>
  <si>
    <t>ORD-10381</t>
  </si>
  <si>
    <t>ORD-11603</t>
  </si>
  <si>
    <t>ORD-11019</t>
  </si>
  <si>
    <t>Robert Smith</t>
  </si>
  <si>
    <t>ORD-10977</t>
  </si>
  <si>
    <t>Ingrid Khan</t>
  </si>
  <si>
    <t>ORD-10008</t>
  </si>
  <si>
    <t>Lucas White</t>
  </si>
  <si>
    <t>ORD-11100</t>
  </si>
  <si>
    <t>Nadia Jackson</t>
  </si>
  <si>
    <t>ORD-11464</t>
  </si>
  <si>
    <t>Chen Jones</t>
  </si>
  <si>
    <t>ORD-11562</t>
  </si>
  <si>
    <t>Susan Miller</t>
  </si>
  <si>
    <t>ORD-10083</t>
  </si>
  <si>
    <t>ORD-10112</t>
  </si>
  <si>
    <t>Ahmed Thompson</t>
  </si>
  <si>
    <t>ORD-11077</t>
  </si>
  <si>
    <t>Diego Kim</t>
  </si>
  <si>
    <t>ORD-10003</t>
  </si>
  <si>
    <t>ORD-10024</t>
  </si>
  <si>
    <t>Giulia Dubois</t>
  </si>
  <si>
    <t>ORD-10404</t>
  </si>
  <si>
    <t>Carlos Schmidt</t>
  </si>
  <si>
    <t>ORD-11154</t>
  </si>
  <si>
    <t>Oscar Johnson</t>
  </si>
  <si>
    <t>ORD-11859</t>
  </si>
  <si>
    <t>Jennifer Garcia</t>
  </si>
  <si>
    <t>ORD-10107</t>
  </si>
  <si>
    <t>Noah Santos</t>
  </si>
  <si>
    <t>ORD-11182</t>
  </si>
  <si>
    <t>Elizabeth Harris</t>
  </si>
  <si>
    <t>ORD-11380</t>
  </si>
  <si>
    <t>Ali Jones</t>
  </si>
  <si>
    <t>ORD-10015</t>
  </si>
  <si>
    <t>Jamal Harris</t>
  </si>
  <si>
    <t>ORD-10545</t>
  </si>
  <si>
    <t>Elizabeth Williams</t>
  </si>
  <si>
    <t>ORD-10961</t>
  </si>
  <si>
    <t>Lucas Suzuki</t>
  </si>
  <si>
    <t>ORD-10511</t>
  </si>
  <si>
    <t>Clara Nilsson</t>
  </si>
  <si>
    <t>ORD-11806</t>
  </si>
  <si>
    <t>Ali Harris</t>
  </si>
  <si>
    <t>ORD-10283</t>
  </si>
  <si>
    <t>Hans Singh</t>
  </si>
  <si>
    <t>ORD-10625</t>
  </si>
  <si>
    <t>Olga Schmidt</t>
  </si>
  <si>
    <t>ORD-11098</t>
  </si>
  <si>
    <t>David Thompson</t>
  </si>
  <si>
    <t>ORD-11395</t>
  </si>
  <si>
    <t>Priya Ali</t>
  </si>
  <si>
    <t>ORD-10090</t>
  </si>
  <si>
    <t>Jamal Jones</t>
  </si>
  <si>
    <t>ORD-10904</t>
  </si>
  <si>
    <t>Thomas Thompson</t>
  </si>
  <si>
    <t>ORD-10266</t>
  </si>
  <si>
    <t>Fatima Costa</t>
  </si>
  <si>
    <t>ORD-10424</t>
  </si>
  <si>
    <t>Diego Davis</t>
  </si>
  <si>
    <t>ORD-11061</t>
  </si>
  <si>
    <t>Omar Müller</t>
  </si>
  <si>
    <t>ORD-11808</t>
  </si>
  <si>
    <t>Mary Weber</t>
  </si>
  <si>
    <t>ORD-10326</t>
  </si>
  <si>
    <t>Amina Johansson</t>
  </si>
  <si>
    <t>ORD-11349</t>
  </si>
  <si>
    <t>Liam Clark</t>
  </si>
  <si>
    <t>ORD-10681</t>
  </si>
  <si>
    <t>Ethan Chen</t>
  </si>
  <si>
    <t>ORD-10996</t>
  </si>
  <si>
    <t>Clara Williams</t>
  </si>
  <si>
    <t>ORD-11167</t>
  </si>
  <si>
    <t>Christopher Davis</t>
  </si>
  <si>
    <t>ORD-11391</t>
  </si>
  <si>
    <t>James Taylor</t>
  </si>
  <si>
    <t>ORD-10949</t>
  </si>
  <si>
    <t>Chen Johnson</t>
  </si>
  <si>
    <t>ORD-11494</t>
  </si>
  <si>
    <t>Fatima Smith</t>
  </si>
  <si>
    <t>ORD-10240</t>
  </si>
  <si>
    <t>Lucas Jones</t>
  </si>
  <si>
    <t>ORD-10945</t>
  </si>
  <si>
    <t>Karen Thomas</t>
  </si>
  <si>
    <t>ORD-11589</t>
  </si>
  <si>
    <t>Priya Nilsson</t>
  </si>
  <si>
    <t>ORD-11824</t>
  </si>
  <si>
    <t>Elizabeth Sato</t>
  </si>
  <si>
    <t>ORD-10045</t>
  </si>
  <si>
    <t>Sakura Jones</t>
  </si>
  <si>
    <t>ORD-11229</t>
  </si>
  <si>
    <t>Xiao Smith</t>
  </si>
  <si>
    <t>ORD-11934</t>
  </si>
  <si>
    <t>Robert Park</t>
  </si>
  <si>
    <t>ORD-10001</t>
  </si>
  <si>
    <t>Joseph Johnson</t>
  </si>
  <si>
    <t>ORD-11199</t>
  </si>
  <si>
    <t>Liam Wang</t>
  </si>
  <si>
    <t>ORD-11680</t>
  </si>
  <si>
    <t>Olivia Sharma</t>
  </si>
  <si>
    <t>ORD-10755</t>
  </si>
  <si>
    <t>William Martinez</t>
  </si>
  <si>
    <t>ORD-11247</t>
  </si>
  <si>
    <t>Felix Costa</t>
  </si>
  <si>
    <t>ORD-10225</t>
  </si>
  <si>
    <t>Noah Smith</t>
  </si>
  <si>
    <t>ORD-10281</t>
  </si>
  <si>
    <t>ORD-10980</t>
  </si>
  <si>
    <t>Olivia Moreau</t>
  </si>
  <si>
    <t>ORD-11339</t>
  </si>
  <si>
    <t>Noah Oliveira</t>
  </si>
  <si>
    <t>ORD-10459</t>
  </si>
  <si>
    <t>Noah Russo</t>
  </si>
  <si>
    <t>ORD-10885</t>
  </si>
  <si>
    <t>Amir Singh</t>
  </si>
  <si>
    <t>ORD-10680</t>
  </si>
  <si>
    <t>Mary Miller</t>
  </si>
  <si>
    <t>ORD-11530</t>
  </si>
  <si>
    <t>Olivia Rossi</t>
  </si>
  <si>
    <t>ORD-11642</t>
  </si>
  <si>
    <t>Wei Li</t>
  </si>
  <si>
    <t>ORD-10228</t>
  </si>
  <si>
    <t>Sakura Rodriguez</t>
  </si>
  <si>
    <t>ORD-10254</t>
  </si>
  <si>
    <t>Christopher Rossi</t>
  </si>
  <si>
    <t>ORD-10418</t>
  </si>
  <si>
    <t>Michael Rodriguez</t>
  </si>
  <si>
    <t>ORD-10842</t>
  </si>
  <si>
    <t>Hans Anderson</t>
  </si>
  <si>
    <t>ORD-11769</t>
  </si>
  <si>
    <t>Liam Johansson</t>
  </si>
  <si>
    <t>ORD-11929</t>
  </si>
  <si>
    <t>James Schmidt</t>
  </si>
  <si>
    <t>ORD-11501</t>
  </si>
  <si>
    <t>Wei Yamamoto</t>
  </si>
  <si>
    <t>ORD-10363</t>
  </si>
  <si>
    <t>Linda Brown</t>
  </si>
  <si>
    <t>ORD-10496</t>
  </si>
  <si>
    <t>Jamal Ahmed</t>
  </si>
  <si>
    <t>ORD-11960</t>
  </si>
  <si>
    <t>Ahmed Singh</t>
  </si>
  <si>
    <t>ORD-10838</t>
  </si>
  <si>
    <t>Pierre Wang</t>
  </si>
  <si>
    <t>ORD-11909</t>
  </si>
  <si>
    <t>Ivan Davis</t>
  </si>
  <si>
    <t>ORD-10030</t>
  </si>
  <si>
    <t>Giulia Taylor</t>
  </si>
  <si>
    <t>ORD-11169</t>
  </si>
  <si>
    <t>Hanna Rossi</t>
  </si>
  <si>
    <t>ORD-11178</t>
  </si>
  <si>
    <t>William Kim</t>
  </si>
  <si>
    <t>ORD-10651</t>
  </si>
  <si>
    <t>Giulia Pereira</t>
  </si>
  <si>
    <t>ORD-10737</t>
  </si>
  <si>
    <t>Barbara Hassan</t>
  </si>
  <si>
    <t>ORD-10952</t>
  </si>
  <si>
    <t>Karen Zhang</t>
  </si>
  <si>
    <t>ORD-11481</t>
  </si>
  <si>
    <t>Clara Clark</t>
  </si>
  <si>
    <t>ORD-10852</t>
  </si>
  <si>
    <t>Oscar White</t>
  </si>
  <si>
    <t>ORD-11667</t>
  </si>
  <si>
    <t>John Brown</t>
  </si>
  <si>
    <t>ORD-10277</t>
  </si>
  <si>
    <t>Amina Ali</t>
  </si>
  <si>
    <t>ORD-10356</t>
  </si>
  <si>
    <t>Oscar Thomas</t>
  </si>
  <si>
    <t>ORD-10367</t>
  </si>
  <si>
    <t>Karen Russo</t>
  </si>
  <si>
    <t>ORD-10558</t>
  </si>
  <si>
    <t>Susan Wang</t>
  </si>
  <si>
    <t>ORD-11332</t>
  </si>
  <si>
    <t>Fatima Patel</t>
  </si>
  <si>
    <t>ORD-11526</t>
  </si>
  <si>
    <t>Ethan Kim</t>
  </si>
  <si>
    <t>ORD-11846</t>
  </si>
  <si>
    <t>ORD-10917</t>
  </si>
  <si>
    <t>Kenji Suzuki</t>
  </si>
  <si>
    <t>ORD-11070</t>
  </si>
  <si>
    <t>Wei Santos</t>
  </si>
  <si>
    <t>ORD-11557</t>
  </si>
  <si>
    <t>Liam Pereira</t>
  </si>
  <si>
    <t>ORD-10783</t>
  </si>
  <si>
    <t>Ava Clark</t>
  </si>
  <si>
    <t>ORD-10954</t>
  </si>
  <si>
    <t>Mary Hassan</t>
  </si>
  <si>
    <t>ORD-11085</t>
  </si>
  <si>
    <t>ORD-11684</t>
  </si>
  <si>
    <t>Barbara Jones</t>
  </si>
  <si>
    <t>ORD-10820</t>
  </si>
  <si>
    <t>Christopher Williams</t>
  </si>
  <si>
    <t>ORD-11293</t>
  </si>
  <si>
    <t>Priya Weber</t>
  </si>
  <si>
    <t>ORD-11529</t>
  </si>
  <si>
    <t>Patricia Jackson</t>
  </si>
  <si>
    <t>ORD-10009</t>
  </si>
  <si>
    <t>Xiao Laurent</t>
  </si>
  <si>
    <t>ORD-10301</t>
  </si>
  <si>
    <t>Jamal Leroy</t>
  </si>
  <si>
    <t>ORD-10738</t>
  </si>
  <si>
    <t>Liam Ali</t>
  </si>
  <si>
    <t>ORD-11681</t>
  </si>
  <si>
    <t>ORD-11234</t>
  </si>
  <si>
    <t>Ivan Pereira</t>
  </si>
  <si>
    <t>ORD-10023</t>
  </si>
  <si>
    <t>Omar Singh</t>
  </si>
  <si>
    <t>ORD-11515</t>
  </si>
  <si>
    <t>Ethan Rodriguez</t>
  </si>
  <si>
    <t>ORD-11537</t>
  </si>
  <si>
    <t>Pierre Romano</t>
  </si>
  <si>
    <t>ORD-10550</t>
  </si>
  <si>
    <t>Omar Park</t>
  </si>
  <si>
    <t>ORD-10927</t>
  </si>
  <si>
    <t>ORD-11657</t>
  </si>
  <si>
    <t>Richard Tanaka</t>
  </si>
  <si>
    <t>ORD-10201</t>
  </si>
  <si>
    <t>Ayumi Martin</t>
  </si>
  <si>
    <t>ORD-10457</t>
  </si>
  <si>
    <t>Omar Hassan</t>
  </si>
  <si>
    <t>ORD-10219</t>
  </si>
  <si>
    <t>Giulia Anderson</t>
  </si>
  <si>
    <t>ORD-10571</t>
  </si>
  <si>
    <t>Chen Rodriguez</t>
  </si>
  <si>
    <t>ORD-10688</t>
  </si>
  <si>
    <t>Mia Davis</t>
  </si>
  <si>
    <t>ORD-11628</t>
  </si>
  <si>
    <t>Isabella Taylor</t>
  </si>
  <si>
    <t>ORD-10153</t>
  </si>
  <si>
    <t>Mary Martin</t>
  </si>
  <si>
    <t>ORD-10320</t>
  </si>
  <si>
    <t>ORD-11328</t>
  </si>
  <si>
    <t>Mary Chen</t>
  </si>
  <si>
    <t>ORD-11379</t>
  </si>
  <si>
    <t>ORD-11780</t>
  </si>
  <si>
    <t>Clara Tanaka</t>
  </si>
  <si>
    <t>ORD-11483</t>
  </si>
  <si>
    <t>Clara Robinson</t>
  </si>
  <si>
    <t>ORD-11717</t>
  </si>
  <si>
    <t>Michael Ali</t>
  </si>
  <si>
    <t>ORD-11161</t>
  </si>
  <si>
    <t>Yuki Zhang</t>
  </si>
  <si>
    <t>ORD-11422</t>
  </si>
  <si>
    <t>David Clark</t>
  </si>
  <si>
    <t>ORD-11685</t>
  </si>
  <si>
    <t>John Laurent</t>
  </si>
  <si>
    <t>ORD-10341</t>
  </si>
  <si>
    <t>Ethan Yamamoto</t>
  </si>
  <si>
    <t>ORD-10872</t>
  </si>
  <si>
    <t>ORD-11441</t>
  </si>
  <si>
    <t>Noah Taylor</t>
  </si>
  <si>
    <t>ORD-11906</t>
  </si>
  <si>
    <t>ORD-10447</t>
  </si>
  <si>
    <t>Hans Smith</t>
  </si>
  <si>
    <t>ORD-11532</t>
  </si>
  <si>
    <t>Yuki Rodriguez</t>
  </si>
  <si>
    <t>ORD-11533</t>
  </si>
  <si>
    <t>ORD-11601</t>
  </si>
  <si>
    <t>Sarah Jackson</t>
  </si>
  <si>
    <t>ORD-11867</t>
  </si>
  <si>
    <t>Thomas Santos</t>
  </si>
  <si>
    <t>ORD-11030</t>
  </si>
  <si>
    <t>Chen Patel</t>
  </si>
  <si>
    <t>ORD-11191</t>
  </si>
  <si>
    <t>Maria Rodriguez</t>
  </si>
  <si>
    <t>ORD-11520</t>
  </si>
  <si>
    <t>Olga Taylor</t>
  </si>
  <si>
    <t>ORD-11840</t>
  </si>
  <si>
    <t>Omar Russo</t>
  </si>
  <si>
    <t>ORD-10500</t>
  </si>
  <si>
    <t>Sakura Ali</t>
  </si>
  <si>
    <t>ORD-11461</t>
  </si>
  <si>
    <t>Marco Sato</t>
  </si>
  <si>
    <t>ORD-10713</t>
  </si>
  <si>
    <t>Sophie Brown</t>
  </si>
  <si>
    <t>ORD-10908</t>
  </si>
  <si>
    <t>Diego Harris</t>
  </si>
  <si>
    <t>ORD-11544</t>
  </si>
  <si>
    <t>Noah Moreau</t>
  </si>
  <si>
    <t>ORD-10399</t>
  </si>
  <si>
    <t>Chen Garcia</t>
  </si>
  <si>
    <t>ORD-10576</t>
  </si>
  <si>
    <t>Fatima Wang</t>
  </si>
  <si>
    <t>ORD-11991</t>
  </si>
  <si>
    <t>Hanna Santos</t>
  </si>
  <si>
    <t>ORD-11518</t>
  </si>
  <si>
    <t>Ingrid Weber</t>
  </si>
  <si>
    <t>ORD-11795</t>
  </si>
  <si>
    <t>Ali Johnson</t>
  </si>
  <si>
    <t>ORD-11323</t>
  </si>
  <si>
    <t>Hanna Khan</t>
  </si>
  <si>
    <t>ORD-10752</t>
  </si>
  <si>
    <t>Liam Laurent</t>
  </si>
  <si>
    <t>ORD-11390</t>
  </si>
  <si>
    <t>Elizabeth Martin</t>
  </si>
  <si>
    <t>ORD-11884</t>
  </si>
  <si>
    <t>Joseph Martinez</t>
  </si>
  <si>
    <t>ORD-11239</t>
  </si>
  <si>
    <t>ORD-11890</t>
  </si>
  <si>
    <t>Michael Li</t>
  </si>
  <si>
    <t>ORD-11911</t>
  </si>
  <si>
    <t>Lucas Thomas</t>
  </si>
  <si>
    <t>ORD-10321</t>
  </si>
  <si>
    <t>Ahmed Sharma</t>
  </si>
  <si>
    <t>ORD-10600</t>
  </si>
  <si>
    <t>Kenji Taylor</t>
  </si>
  <si>
    <t>ORD-10955</t>
  </si>
  <si>
    <t>James Clark</t>
  </si>
  <si>
    <t>ORD-10891</t>
  </si>
  <si>
    <t>Xiao Wang</t>
  </si>
  <si>
    <t>ORD-10920</t>
  </si>
  <si>
    <t>Layla Fischer</t>
  </si>
  <si>
    <t>ORD-10984</t>
  </si>
  <si>
    <t>Sarah Khan</t>
  </si>
  <si>
    <t>ORD-10128</t>
  </si>
  <si>
    <t>Lucas Leroy</t>
  </si>
  <si>
    <t>ORD-10298</t>
  </si>
  <si>
    <t>Jessica Tanaka</t>
  </si>
  <si>
    <t>ORD-10442</t>
  </si>
  <si>
    <t>ORD-10231</t>
  </si>
  <si>
    <t>ORD-11813</t>
  </si>
  <si>
    <t>Sarah Thompson</t>
  </si>
  <si>
    <t>ORD-10063</t>
  </si>
  <si>
    <t>Isabella Patel</t>
  </si>
  <si>
    <t>ORD-10343</t>
  </si>
  <si>
    <t>Lucas Oliveira</t>
  </si>
  <si>
    <t>ORD-10554</t>
  </si>
  <si>
    <t>Olivia Ferrari</t>
  </si>
  <si>
    <t>ORD-11643</t>
  </si>
  <si>
    <t>Xiao Ferrari</t>
  </si>
  <si>
    <t>ORD-10085</t>
  </si>
  <si>
    <t>Marco Nilsson</t>
  </si>
  <si>
    <t>ORD-10210</t>
  </si>
  <si>
    <t>ORD-11745</t>
  </si>
  <si>
    <t>John Patel</t>
  </si>
  <si>
    <t>ORD-10574</t>
  </si>
  <si>
    <t>Ayumi Ali</t>
  </si>
  <si>
    <t>ORD-10881</t>
  </si>
  <si>
    <t>Sophie Clark</t>
  </si>
  <si>
    <t>ORD-10926</t>
  </si>
  <si>
    <t>Priya Garcia</t>
  </si>
  <si>
    <t>ORD-11699</t>
  </si>
  <si>
    <t>Emma Martinez</t>
  </si>
  <si>
    <t>ORD-10635</t>
  </si>
  <si>
    <t>Fatima Martin</t>
  </si>
  <si>
    <t>ORD-10137</t>
  </si>
  <si>
    <t>Jamal Robinson</t>
  </si>
  <si>
    <t>ORD-10196</t>
  </si>
  <si>
    <t>Carlos Santos</t>
  </si>
  <si>
    <t>ORD-11561</t>
  </si>
  <si>
    <t>Omar Li</t>
  </si>
  <si>
    <t>ORD-10421</t>
  </si>
  <si>
    <t>Noah Johansson</t>
  </si>
  <si>
    <t>ORD-11651</t>
  </si>
  <si>
    <t>Hanna Yamamoto</t>
  </si>
  <si>
    <t>ORD-10380</t>
  </si>
  <si>
    <t>William Yamamoto</t>
  </si>
  <si>
    <t>ORD-11181</t>
  </si>
  <si>
    <t>Joseph Leroy</t>
  </si>
  <si>
    <t>ORD-11321</t>
  </si>
  <si>
    <t>Giulia Khan</t>
  </si>
  <si>
    <t>ORD-11763</t>
  </si>
  <si>
    <t>Diego Pereira</t>
  </si>
  <si>
    <t>ORD-10203</t>
  </si>
  <si>
    <t>Raj Oliveira</t>
  </si>
  <si>
    <t>ORD-10398</t>
  </si>
  <si>
    <t>Ayumi Garcia</t>
  </si>
  <si>
    <t>ORD-10997</t>
  </si>
  <si>
    <t>Felix Kim</t>
  </si>
  <si>
    <t>ORD-11396</t>
  </si>
  <si>
    <t>Zara Moreau</t>
  </si>
  <si>
    <t>ORD-11837</t>
  </si>
  <si>
    <t>Richard Romano</t>
  </si>
  <si>
    <t>ORD-10525</t>
  </si>
  <si>
    <t>Patricia Kim</t>
  </si>
  <si>
    <t>ORD-11453</t>
  </si>
  <si>
    <t>Patricia Martinez</t>
  </si>
  <si>
    <t>ORD-10489</t>
  </si>
  <si>
    <t>Richard Moreau</t>
  </si>
  <si>
    <t>ORD-10750</t>
  </si>
  <si>
    <t>Hanna Kumar</t>
  </si>
  <si>
    <t>ORD-10844</t>
  </si>
  <si>
    <t>Jessica Müller</t>
  </si>
  <si>
    <t>ORD-11226</t>
  </si>
  <si>
    <t>Sarah Li</t>
  </si>
  <si>
    <t>ORD-11512</t>
  </si>
  <si>
    <t>Ingrid Moreau</t>
  </si>
  <si>
    <t>ORD-10606</t>
  </si>
  <si>
    <t>Robert Taylor</t>
  </si>
  <si>
    <t>ORD-11091</t>
  </si>
  <si>
    <t>Layla Oliveira</t>
  </si>
  <si>
    <t>ORD-10561</t>
  </si>
  <si>
    <t>Sophie Martinez</t>
  </si>
  <si>
    <t>ORD-11357</t>
  </si>
  <si>
    <t>Liam Davis</t>
  </si>
  <si>
    <t>ORD-11358</t>
  </si>
  <si>
    <t>Christopher Thompson</t>
  </si>
  <si>
    <t>ORD-11575</t>
  </si>
  <si>
    <t>Olga Müller</t>
  </si>
  <si>
    <t>ORD-11946</t>
  </si>
  <si>
    <t>James Harris</t>
  </si>
  <si>
    <t>ORD-10791</t>
  </si>
  <si>
    <t>ORD-11272</t>
  </si>
  <si>
    <t>Isabella Li</t>
  </si>
  <si>
    <t>ORD-11885</t>
  </si>
  <si>
    <t>ORD-11093</t>
  </si>
  <si>
    <t>Oscar Thompson</t>
  </si>
  <si>
    <t>ORD-10455</t>
  </si>
  <si>
    <t>Amir Park</t>
  </si>
  <si>
    <t>ORD-10568</t>
  </si>
  <si>
    <t>Ethan Clark</t>
  </si>
  <si>
    <t>ORD-11137</t>
  </si>
  <si>
    <t>Barbara Weber</t>
  </si>
  <si>
    <t>ORD-10417</t>
  </si>
  <si>
    <t>Susan Jackson</t>
  </si>
  <si>
    <t>ORD-11216</t>
  </si>
  <si>
    <t>Maria Costa</t>
  </si>
  <si>
    <t>ORD-11974</t>
  </si>
  <si>
    <t>Joseph Chen</t>
  </si>
  <si>
    <t>ORD-11062</t>
  </si>
  <si>
    <t>Robert Clark</t>
  </si>
  <si>
    <t>ORD-11417</t>
  </si>
  <si>
    <t>Jessica Weber</t>
  </si>
  <si>
    <t>ORD-11812</t>
  </si>
  <si>
    <t>ORD-10007</t>
  </si>
  <si>
    <t>Li Sharma</t>
  </si>
  <si>
    <t>ORD-10211</t>
  </si>
  <si>
    <t>Sarah Tanaka</t>
  </si>
  <si>
    <t>ORD-11210</t>
  </si>
  <si>
    <t>Susan Weber</t>
  </si>
  <si>
    <t>ORD-11245</t>
  </si>
  <si>
    <t>Nadia Tanaka</t>
  </si>
  <si>
    <t>ORD-11460</t>
  </si>
  <si>
    <t>ORD-11809</t>
  </si>
  <si>
    <t>Michael Sato</t>
  </si>
  <si>
    <t>ORD-10499</t>
  </si>
  <si>
    <t>Felix Müller</t>
  </si>
  <si>
    <t>ORD-10579</t>
  </si>
  <si>
    <t>ORD-11652</t>
  </si>
  <si>
    <t>ORD-11261</t>
  </si>
  <si>
    <t>ORD-11550</t>
  </si>
  <si>
    <t>ORD-11798</t>
  </si>
  <si>
    <t>Thomas Rodriguez</t>
  </si>
  <si>
    <t>ORD-10347</t>
  </si>
  <si>
    <t>ORD-10429</t>
  </si>
  <si>
    <t>Karen Robinson</t>
  </si>
  <si>
    <t>ORD-10461</t>
  </si>
  <si>
    <t>Elizabeth Fischer</t>
  </si>
  <si>
    <t>ORD-11069</t>
  </si>
  <si>
    <t>Fatima Williams</t>
  </si>
  <si>
    <t>ORD-10382</t>
  </si>
  <si>
    <t>Layla Anderson</t>
  </si>
  <si>
    <t>ORD-10530</t>
  </si>
  <si>
    <t>Ali Li</t>
  </si>
  <si>
    <t>ORD-10316</t>
  </si>
  <si>
    <t>Fatima Kim</t>
  </si>
  <si>
    <t>ORD-10717</t>
  </si>
  <si>
    <t>Elizabeth Johansson</t>
  </si>
  <si>
    <t>ORD-11406</t>
  </si>
  <si>
    <t>Sarah Suzuki</t>
  </si>
  <si>
    <t>ORD-10478</t>
  </si>
  <si>
    <t>ORD-10696</t>
  </si>
  <si>
    <t>Susan Chen</t>
  </si>
  <si>
    <t>ORD-11295</t>
  </si>
  <si>
    <t>Kenji Martin</t>
  </si>
  <si>
    <t>ORD-11300</t>
  </si>
  <si>
    <t>Zara Miller</t>
  </si>
  <si>
    <t>ORD-10054</t>
  </si>
  <si>
    <t>Diego Jones</t>
  </si>
  <si>
    <t>ORD-10528</t>
  </si>
  <si>
    <t>Fatima Brown</t>
  </si>
  <si>
    <t>ORD-11038</t>
  </si>
  <si>
    <t>Hanna Johnson</t>
  </si>
  <si>
    <t>ORD-11728</t>
  </si>
  <si>
    <t>Ahmed Pereira</t>
  </si>
  <si>
    <t>ORD-11949</t>
  </si>
  <si>
    <t>Fatima Yamamoto</t>
  </si>
  <si>
    <t>ORD-10811</t>
  </si>
  <si>
    <t>Joseph Romano</t>
  </si>
  <si>
    <t>ORD-11576</t>
  </si>
  <si>
    <t>Sarah Sharma</t>
  </si>
  <si>
    <t>ORD-10514</t>
  </si>
  <si>
    <t>Linda Laurent</t>
  </si>
  <si>
    <t>ORD-10757</t>
  </si>
  <si>
    <t>ORD-11470</t>
  </si>
  <si>
    <t>Diego Robinson</t>
  </si>
  <si>
    <t>ORD-10801</t>
  </si>
  <si>
    <t>Ethan Wang</t>
  </si>
  <si>
    <t>ORD-11903</t>
  </si>
  <si>
    <t>Wei Smith</t>
  </si>
  <si>
    <t>ORD-10043</t>
  </si>
  <si>
    <t>Jennifer Kim</t>
  </si>
  <si>
    <t>ORD-11109</t>
  </si>
  <si>
    <t>Jessica Park</t>
  </si>
  <si>
    <t>ORD-10753</t>
  </si>
  <si>
    <t>Emma Jackson</t>
  </si>
  <si>
    <t>ORD-10180</t>
  </si>
  <si>
    <t>Zara Nilsson</t>
  </si>
  <si>
    <t>ORD-11761</t>
  </si>
  <si>
    <t>ORD-10375</t>
  </si>
  <si>
    <t>Priya Leroy</t>
  </si>
  <si>
    <t>ORD-10795</t>
  </si>
  <si>
    <t>Christopher Leroy</t>
  </si>
  <si>
    <t>ORD-10362</t>
  </si>
  <si>
    <t>Jennifer Romano</t>
  </si>
  <si>
    <t>ORD-10350</t>
  </si>
  <si>
    <t>Felix Laurent</t>
  </si>
  <si>
    <t>ORD-12000</t>
  </si>
  <si>
    <t>Raj Anderson</t>
  </si>
  <si>
    <t>ORD-10559</t>
  </si>
  <si>
    <t>ORD-10725</t>
  </si>
  <si>
    <t>Giulia Rossi</t>
  </si>
  <si>
    <t>ORD-11713</t>
  </si>
  <si>
    <t>Kenji Moreau</t>
  </si>
  <si>
    <t>ORD-10932</t>
  </si>
  <si>
    <t>Karen Khan</t>
  </si>
  <si>
    <t>ORD-11566</t>
  </si>
  <si>
    <t>Olga Thompson</t>
  </si>
  <si>
    <t>ORD-10360</t>
  </si>
  <si>
    <t>Wei Fischer</t>
  </si>
  <si>
    <t>ORD-11833</t>
  </si>
  <si>
    <t>Ali Romano</t>
  </si>
  <si>
    <t>ORD-11177</t>
  </si>
  <si>
    <t>Omar Costa</t>
  </si>
  <si>
    <t>ORD-10978</t>
  </si>
  <si>
    <t>Diego Hassan</t>
  </si>
  <si>
    <t>ORD-10041</t>
  </si>
  <si>
    <t>Xiao Rodriguez</t>
  </si>
  <si>
    <t>ORD-10365</t>
  </si>
  <si>
    <t>Ethan Khan</t>
  </si>
  <si>
    <t>ORD-10524</t>
  </si>
  <si>
    <t>Oscar Costa</t>
  </si>
  <si>
    <t>ORD-11789</t>
  </si>
  <si>
    <t>Jessica Hassan</t>
  </si>
  <si>
    <t>ORD-10992</t>
  </si>
  <si>
    <t>Linda Kumar</t>
  </si>
  <si>
    <t>ORD-11555</t>
  </si>
  <si>
    <t>Isabella Harris</t>
  </si>
  <si>
    <t>ORD-11793</t>
  </si>
  <si>
    <t>Joseph Suzuki</t>
  </si>
  <si>
    <t>ORD-11111</t>
  </si>
  <si>
    <t>Xiao Harris</t>
  </si>
  <si>
    <t>ORD-11488</t>
  </si>
  <si>
    <t>Pierre Leroy</t>
  </si>
  <si>
    <t>ORD-11497</t>
  </si>
  <si>
    <t>ORD-11687</t>
  </si>
  <si>
    <t>ORD-11505</t>
  </si>
  <si>
    <t>Susan Leroy</t>
  </si>
  <si>
    <t>ORD-10487</t>
  </si>
  <si>
    <t>Christopher Khan</t>
  </si>
  <si>
    <t>ORD-10677</t>
  </si>
  <si>
    <t>Ivan Jones</t>
  </si>
  <si>
    <t>ORD-10044</t>
  </si>
  <si>
    <t>Fatima Ferrari</t>
  </si>
  <si>
    <t>ORD-11910</t>
  </si>
  <si>
    <t>Amir Laurent</t>
  </si>
  <si>
    <t>ORD-10288</t>
  </si>
  <si>
    <t>Zara Leroy</t>
  </si>
  <si>
    <t>ORD-11423</t>
  </si>
  <si>
    <t>ORD-11442</t>
  </si>
  <si>
    <t>Chen Nilsson</t>
  </si>
  <si>
    <t>ORD-11827</t>
  </si>
  <si>
    <t>Emma Sharma</t>
  </si>
  <si>
    <t>ORD-11863</t>
  </si>
  <si>
    <t>Isabella Rossi</t>
  </si>
  <si>
    <t>ORD-11904</t>
  </si>
  <si>
    <t>Hans Martin</t>
  </si>
  <si>
    <t>ORD-11346</t>
  </si>
  <si>
    <t>Jennifer Santos</t>
  </si>
  <si>
    <t>ORD-11661</t>
  </si>
  <si>
    <t>Nadia Rossi</t>
  </si>
  <si>
    <t>ORD-11944</t>
  </si>
  <si>
    <t>John Ferrari</t>
  </si>
  <si>
    <t>ORD-10109</t>
  </si>
  <si>
    <t>Thomas Ferrari</t>
  </si>
  <si>
    <t>ORD-11117</t>
  </si>
  <si>
    <t>Amina Jones</t>
  </si>
  <si>
    <t>ORD-11316</t>
  </si>
  <si>
    <t>Richard Yamamoto</t>
  </si>
  <si>
    <t>ORD-11770</t>
  </si>
  <si>
    <t>Lucas Li</t>
  </si>
  <si>
    <t>ORD-10189</t>
  </si>
  <si>
    <t>William Miller</t>
  </si>
  <si>
    <t>ORD-10779</t>
  </si>
  <si>
    <t>Wei Hassan</t>
  </si>
  <si>
    <t>ORD-11597</t>
  </si>
  <si>
    <t>Olivia Laurent</t>
  </si>
  <si>
    <t>ORD-11641</t>
  </si>
  <si>
    <t>Raj Khan</t>
  </si>
  <si>
    <t>ORD-11708</t>
  </si>
  <si>
    <t>Ava Garcia</t>
  </si>
  <si>
    <t>ORD-11825</t>
  </si>
  <si>
    <t>ORD-11891</t>
  </si>
  <si>
    <t>Ayumi Kumar</t>
  </si>
  <si>
    <t>ORD-10220</t>
  </si>
  <si>
    <t>Elizabeth Weber</t>
  </si>
  <si>
    <t>ORD-11953</t>
  </si>
  <si>
    <t>Liam Costa</t>
  </si>
  <si>
    <t>ORD-10183</t>
  </si>
  <si>
    <t>ORD-10488</t>
  </si>
  <si>
    <t>Elizabeth Dubois</t>
  </si>
  <si>
    <t>ORD-11110</t>
  </si>
  <si>
    <t>Robert Dubois</t>
  </si>
  <si>
    <t>ORD-11393</t>
  </si>
  <si>
    <t>Liam Rossi</t>
  </si>
  <si>
    <t>ORD-10632</t>
  </si>
  <si>
    <t>David White</t>
  </si>
  <si>
    <t>ORD-11262</t>
  </si>
  <si>
    <t>Oscar Martinez</t>
  </si>
  <si>
    <t>ORD-10199</t>
  </si>
  <si>
    <t>Hans Robinson</t>
  </si>
  <si>
    <t>ORD-10454</t>
  </si>
  <si>
    <t>Carlos Ali</t>
  </si>
  <si>
    <t>ORD-10658</t>
  </si>
  <si>
    <t>Isabella Johansson</t>
  </si>
  <si>
    <t>ORD-11649</t>
  </si>
  <si>
    <t>Ava Li</t>
  </si>
  <si>
    <t>ORD-11811</t>
  </si>
  <si>
    <t>Noah Chen</t>
  </si>
  <si>
    <t>ORD-11847</t>
  </si>
  <si>
    <t>Giulia Williams</t>
  </si>
  <si>
    <t>ORD-11936</t>
  </si>
  <si>
    <t>ORD-11986</t>
  </si>
  <si>
    <t>Sophie Miller</t>
  </si>
  <si>
    <t>ORD-11964</t>
  </si>
  <si>
    <t>Linda Martin</t>
  </si>
  <si>
    <t>ORD-11968</t>
  </si>
  <si>
    <t>Karen Smith</t>
  </si>
  <si>
    <t>ORD-10508</t>
  </si>
  <si>
    <t>William Chen</t>
  </si>
  <si>
    <t>ORD-11337</t>
  </si>
  <si>
    <t>Diego Anderson</t>
  </si>
  <si>
    <t>ORD-11463</t>
  </si>
  <si>
    <t>Ingrid Zhang</t>
  </si>
  <si>
    <t>ORD-11449</t>
  </si>
  <si>
    <t>ORD-10474</t>
  </si>
  <si>
    <t>Kenji Schmidt</t>
  </si>
  <si>
    <t>ORD-10495</t>
  </si>
  <si>
    <t>Mary Laurent</t>
  </si>
  <si>
    <t>ORD-11233</t>
  </si>
  <si>
    <t>Maria Miller</t>
  </si>
  <si>
    <t>ORD-11248</t>
  </si>
  <si>
    <t>Amina Taylor</t>
  </si>
  <si>
    <t>ORD-11998</t>
  </si>
  <si>
    <t>Zara Smith</t>
  </si>
  <si>
    <t>ORD-10126</t>
  </si>
  <si>
    <t>Diego Thomas</t>
  </si>
  <si>
    <t>ORD-11345</t>
  </si>
  <si>
    <t>Isabella Johnson</t>
  </si>
  <si>
    <t>ORD-11967</t>
  </si>
  <si>
    <t>ORD-10197</t>
  </si>
  <si>
    <t>Sarah Rossi</t>
  </si>
  <si>
    <t>ORD-11579</t>
  </si>
  <si>
    <t>Felix Davis</t>
  </si>
  <si>
    <t>ORD-10237</t>
  </si>
  <si>
    <t>Hans Rossi</t>
  </si>
  <si>
    <t>ORD-10587</t>
  </si>
  <si>
    <t>James Ferrari</t>
  </si>
  <si>
    <t>ORD-10724</t>
  </si>
  <si>
    <t>ORD-10127</t>
  </si>
  <si>
    <t>David Leroy</t>
  </si>
  <si>
    <t>ORD-10230</t>
  </si>
  <si>
    <t>Ava Yamamoto</t>
  </si>
  <si>
    <t>ORD-10318</t>
  </si>
  <si>
    <t>Priya Costa</t>
  </si>
  <si>
    <t>ORD-10827</t>
  </si>
  <si>
    <t>ORD-11663</t>
  </si>
  <si>
    <t>Olivia Patel</t>
  </si>
  <si>
    <t>ORD-10149</t>
  </si>
  <si>
    <t>ORD-11020</t>
  </si>
  <si>
    <t>Liam Romano</t>
  </si>
  <si>
    <t>ORD-10218</t>
  </si>
  <si>
    <t>Olga Davis</t>
  </si>
  <si>
    <t>ORD-10409</t>
  </si>
  <si>
    <t>Noah Ali</t>
  </si>
  <si>
    <t>ORD-10439</t>
  </si>
  <si>
    <t>ORD-10591</t>
  </si>
  <si>
    <t>Isabella Anderson</t>
  </si>
  <si>
    <t>ORD-10825</t>
  </si>
  <si>
    <t>Raj Singh</t>
  </si>
  <si>
    <t>ORD-11187</t>
  </si>
  <si>
    <t>Ali Weber</t>
  </si>
  <si>
    <t>ORD-11830</t>
  </si>
  <si>
    <t>John Miller</t>
  </si>
  <si>
    <t>ORD-11418</t>
  </si>
  <si>
    <t>Ahmed Jackson</t>
  </si>
  <si>
    <t>ORD-11457</t>
  </si>
  <si>
    <t>Hanna Dubois</t>
  </si>
  <si>
    <t>ORD-11996</t>
  </si>
  <si>
    <t>Priya Li</t>
  </si>
  <si>
    <t>ORD-11147</t>
  </si>
  <si>
    <t>Priya Johansson</t>
  </si>
  <si>
    <t>ORD-11437</t>
  </si>
  <si>
    <t>Sarah Johnson</t>
  </si>
  <si>
    <t>ORD-10010</t>
  </si>
  <si>
    <t>James Li</t>
  </si>
  <si>
    <t>ORD-11510</t>
  </si>
  <si>
    <t>Olga Pereira</t>
  </si>
  <si>
    <t>ORD-10052</t>
  </si>
  <si>
    <t>ORD-10430</t>
  </si>
  <si>
    <t>Chen Johansson</t>
  </si>
  <si>
    <t>ORD-11467</t>
  </si>
  <si>
    <t>Jamal Patel</t>
  </si>
  <si>
    <t>ORD-11720</t>
  </si>
  <si>
    <t>Diego Nilsson</t>
  </si>
  <si>
    <t>ORD-10673</t>
  </si>
  <si>
    <t>Jessica Kim</t>
  </si>
  <si>
    <t>ORD-10709</t>
  </si>
  <si>
    <t>Olga Ahmed</t>
  </si>
  <si>
    <t>ORD-10323</t>
  </si>
  <si>
    <t>Hans Costa</t>
  </si>
  <si>
    <t>ORD-10650</t>
  </si>
  <si>
    <t>Carlos Ahmed</t>
  </si>
  <si>
    <t>ORD-10718</t>
  </si>
  <si>
    <t>ORD-10962</t>
  </si>
  <si>
    <t>ORD-11993</t>
  </si>
  <si>
    <t>Hanna Taylor</t>
  </si>
  <si>
    <t>ORD-10925</t>
  </si>
  <si>
    <t>Linda Müller</t>
  </si>
  <si>
    <t>ORD-11362</t>
  </si>
  <si>
    <t>Priya Smith</t>
  </si>
  <si>
    <t>ORD-11372</t>
  </si>
  <si>
    <t>William Ahmed</t>
  </si>
  <si>
    <t>ORD-11551</t>
  </si>
  <si>
    <t>Nadia Martin</t>
  </si>
  <si>
    <t>ORD-10476</t>
  </si>
  <si>
    <t>Jennifer Khan</t>
  </si>
  <si>
    <t>ORD-11431</t>
  </si>
  <si>
    <t>ORD-11861</t>
  </si>
  <si>
    <t>Maria Khan</t>
  </si>
  <si>
    <t>ORD-11992</t>
  </si>
  <si>
    <t>Olivia Miller</t>
  </si>
  <si>
    <t>ORD-10152</t>
  </si>
  <si>
    <t>Ivan Dubois</t>
  </si>
  <si>
    <t>ORD-10672</t>
  </si>
  <si>
    <t>Thomas Miller</t>
  </si>
  <si>
    <t>ORD-10880</t>
  </si>
  <si>
    <t>ORD-11107</t>
  </si>
  <si>
    <t>ORD-11424</t>
  </si>
  <si>
    <t>Felix Taylor</t>
  </si>
  <si>
    <t>ORD-11592</t>
  </si>
  <si>
    <t>ORD-10695</t>
  </si>
  <si>
    <t>ORD-10116</t>
  </si>
  <si>
    <t>Ivan Smith</t>
  </si>
  <si>
    <t>ORD-10775</t>
  </si>
  <si>
    <t>Susan Zhang</t>
  </si>
  <si>
    <t>ORD-11033</t>
  </si>
  <si>
    <t>Yuki Chen</t>
  </si>
  <si>
    <t>ORD-10866</t>
  </si>
  <si>
    <t>ORD-11159</t>
  </si>
  <si>
    <t>James Kumar</t>
  </si>
  <si>
    <t>ORD-10471</t>
  </si>
  <si>
    <t>Zara Müller</t>
  </si>
  <si>
    <t>ORD-10549</t>
  </si>
  <si>
    <t>ORD-11273</t>
  </si>
  <si>
    <t>Richard Rodriguez</t>
  </si>
  <si>
    <t>ORD-10067</t>
  </si>
  <si>
    <t>Noah Leroy</t>
  </si>
  <si>
    <t>ORD-10498</t>
  </si>
  <si>
    <t>Kenji White</t>
  </si>
  <si>
    <t>ORD-10265</t>
  </si>
  <si>
    <t>Nadia Zhang</t>
  </si>
  <si>
    <t>ORD-10662</t>
  </si>
  <si>
    <t>Liam Tanaka</t>
  </si>
  <si>
    <t>ORD-11015</t>
  </si>
  <si>
    <t>Clara Rodriguez</t>
  </si>
  <si>
    <t>ORD-11782</t>
  </si>
  <si>
    <t>Oscar Pereira</t>
  </si>
  <si>
    <t>ORD-10032</t>
  </si>
  <si>
    <t>Oscar Khan</t>
  </si>
  <si>
    <t>ORD-10004</t>
  </si>
  <si>
    <t>ORD-10051</t>
  </si>
  <si>
    <t>ORD-10878</t>
  </si>
  <si>
    <t>Clara Sato</t>
  </si>
  <si>
    <t>ORD-11208</t>
  </si>
  <si>
    <t>Thomas Suzuki</t>
  </si>
  <si>
    <t>ORD-11547</t>
  </si>
  <si>
    <t>Mary Russo</t>
  </si>
  <si>
    <t>ORD-10100</t>
  </si>
  <si>
    <t>Fatima Jones</t>
  </si>
  <si>
    <t>ORD-10110</t>
  </si>
  <si>
    <t>Ayumi White</t>
  </si>
  <si>
    <t>ORD-10928</t>
  </si>
  <si>
    <t>ORD-11928</t>
  </si>
  <si>
    <t>Kenji Dubois</t>
  </si>
  <si>
    <t>ORD-10440</t>
  </si>
  <si>
    <t>Marco Sharma</t>
  </si>
  <si>
    <t>ORD-11047</t>
  </si>
  <si>
    <t>Yuki Ferrari</t>
  </si>
  <si>
    <t>ORD-11456</t>
  </si>
  <si>
    <t>ORD-10297</t>
  </si>
  <si>
    <t>Hans Patel</t>
  </si>
  <si>
    <t>ORD-11139</t>
  </si>
  <si>
    <t>Priya Laurent</t>
  </si>
  <si>
    <t>ORD-11704</t>
  </si>
  <si>
    <t>ORD-10031</t>
  </si>
  <si>
    <t>Yuki Martin</t>
  </si>
  <si>
    <t>ORD-10923</t>
  </si>
  <si>
    <t>Hans Martinez</t>
  </si>
  <si>
    <t>ORD-10958</t>
  </si>
  <si>
    <t>John Zhang</t>
  </si>
  <si>
    <t>ORD-11599</t>
  </si>
  <si>
    <t>ORD-11625</t>
  </si>
  <si>
    <t>Jennifer Ali</t>
  </si>
  <si>
    <t>ORD-11705</t>
  </si>
  <si>
    <t>Jennifer Martinez</t>
  </si>
  <si>
    <t>ORD-10346</t>
  </si>
  <si>
    <t>Marco Hassan</t>
  </si>
  <si>
    <t>ORD-10338</t>
  </si>
  <si>
    <t>Maria Zhang</t>
  </si>
  <si>
    <t>ORD-10935</t>
  </si>
  <si>
    <t>Patricia Khan</t>
  </si>
  <si>
    <t>ORD-11263</t>
  </si>
  <si>
    <t>ORD-11724</t>
  </si>
  <si>
    <t>Lucas Rodriguez</t>
  </si>
  <si>
    <t>ORD-11580</t>
  </si>
  <si>
    <t>ORD-10292</t>
  </si>
  <si>
    <t>ORD-11565</t>
  </si>
  <si>
    <t>ORD-10413</t>
  </si>
  <si>
    <t>Li Laurent</t>
  </si>
  <si>
    <t>ORD-10503</t>
  </si>
  <si>
    <t>Elizabeth Singh</t>
  </si>
  <si>
    <t>ORD-10510</t>
  </si>
  <si>
    <t>Olivia Anderson</t>
  </si>
  <si>
    <t>ORD-10165</t>
  </si>
  <si>
    <t>Hanna Leroy</t>
  </si>
  <si>
    <t>ORD-10529</t>
  </si>
  <si>
    <t>Chen Santos</t>
  </si>
  <si>
    <t>ORD-10819</t>
  </si>
  <si>
    <t>Oscar Wang</t>
  </si>
  <si>
    <t>ORD-11638</t>
  </si>
  <si>
    <t>Maria Ferrari</t>
  </si>
  <si>
    <t>ORD-11671</t>
  </si>
  <si>
    <t>Jennifer Tanaka</t>
  </si>
  <si>
    <t>ORD-10156</t>
  </si>
  <si>
    <t>ORD-10708</t>
  </si>
  <si>
    <t>Susan Li</t>
  </si>
  <si>
    <t>ORD-11059</t>
  </si>
  <si>
    <t>Patricia Clark</t>
  </si>
  <si>
    <t>ORD-11676</t>
  </si>
  <si>
    <t>ORD-11280</t>
  </si>
  <si>
    <t>ORD-10947</t>
  </si>
  <si>
    <t>Kenji Davis</t>
  </si>
  <si>
    <t>ORD-10869</t>
  </si>
  <si>
    <t>ORD-10005</t>
  </si>
  <si>
    <t>ORD-10951</t>
  </si>
  <si>
    <t>Sarah Chen</t>
  </si>
  <si>
    <t>ORD-11594</t>
  </si>
  <si>
    <t>Michael Garcia</t>
  </si>
  <si>
    <t>ORD-11835</t>
  </si>
  <si>
    <t>Noah Clark</t>
  </si>
  <si>
    <t>ORD-10706</t>
  </si>
  <si>
    <t>Priya Rodriguez</t>
  </si>
  <si>
    <t>ORD-11277</t>
  </si>
  <si>
    <t>Sakura Smith</t>
  </si>
  <si>
    <t>ORD-10437</t>
  </si>
  <si>
    <t>Nadia Harris</t>
  </si>
  <si>
    <t>ORD-10841</t>
  </si>
  <si>
    <t>Carlos Martinez</t>
  </si>
  <si>
    <t>ORD-10883</t>
  </si>
  <si>
    <t>ORD-10273</t>
  </si>
  <si>
    <t>Clara Johnson</t>
  </si>
  <si>
    <t>ORD-10893</t>
  </si>
  <si>
    <t>Elizabeth Sharma</t>
  </si>
  <si>
    <t>ORD-11361</t>
  </si>
  <si>
    <t>Olivia Sato</t>
  </si>
  <si>
    <t>ORD-10309</t>
  </si>
  <si>
    <t>ORD-10531</t>
  </si>
  <si>
    <t>William Smith</t>
  </si>
  <si>
    <t>ORD-10537</t>
  </si>
  <si>
    <t>ORD-11284</t>
  </si>
  <si>
    <t>Emma Moreau</t>
  </si>
  <si>
    <t>ORD-11143</t>
  </si>
  <si>
    <t>Layla Park</t>
  </si>
  <si>
    <t>ORD-11742</t>
  </si>
  <si>
    <t>James Wang</t>
  </si>
  <si>
    <t>ORD-11961</t>
  </si>
  <si>
    <t>Nadia Johansson</t>
  </si>
  <si>
    <t>ORD-11956</t>
  </si>
  <si>
    <t>Hanna Müller</t>
  </si>
  <si>
    <t>ORD-10573</t>
  </si>
  <si>
    <t>Hanna Brown</t>
  </si>
  <si>
    <t>ORD-11179</t>
  </si>
  <si>
    <t>Noah Müller</t>
  </si>
  <si>
    <t>ORD-11997</t>
  </si>
  <si>
    <t>Barbara Sato</t>
  </si>
  <si>
    <t>ORD-10084</t>
  </si>
  <si>
    <t>Wei Jones</t>
  </si>
  <si>
    <t>ORD-11941</t>
  </si>
  <si>
    <t>Ivan Patel</t>
  </si>
  <si>
    <t>ORD-11174</t>
  </si>
  <si>
    <t>ORD-11802</t>
  </si>
  <si>
    <t>Giulia Nilsson</t>
  </si>
  <si>
    <t>ORD-11979</t>
  </si>
  <si>
    <t>Nadia Romano</t>
  </si>
  <si>
    <t>ORD-10425</t>
  </si>
  <si>
    <t>ORD-10040</t>
  </si>
  <si>
    <t>ORD-10705</t>
  </si>
  <si>
    <t>Chen Dubois</t>
  </si>
  <si>
    <t>ORD-11101</t>
  </si>
  <si>
    <t>Hans Harris</t>
  </si>
  <si>
    <t>ORD-11914</t>
  </si>
  <si>
    <t>Xiao Ali</t>
  </si>
  <si>
    <t>ORD-10154</t>
  </si>
  <si>
    <t>Jessica Patel</t>
  </si>
  <si>
    <t>ORD-11326</t>
  </si>
  <si>
    <t>Patricia Rossi</t>
  </si>
  <si>
    <t>ORD-10379</t>
  </si>
  <si>
    <t>ORD-10754</t>
  </si>
  <si>
    <t>ORD-10394</t>
  </si>
  <si>
    <t>Oscar Kim</t>
  </si>
  <si>
    <t>ORD-10464</t>
  </si>
  <si>
    <t>ORD-11428</t>
  </si>
  <si>
    <t>ORD-11969</t>
  </si>
  <si>
    <t>Nadia Laurent</t>
  </si>
  <si>
    <t>ORD-11981</t>
  </si>
  <si>
    <t>Fatima Fischer</t>
  </si>
  <si>
    <t>ORD-10660</t>
  </si>
  <si>
    <t>Sarah Moreau</t>
  </si>
  <si>
    <t>ORD-10768</t>
  </si>
  <si>
    <t>Jessica Costa</t>
  </si>
  <si>
    <t>ORD-11299</t>
  </si>
  <si>
    <t>Isabella Yamamoto</t>
  </si>
  <si>
    <t>ORD-10295</t>
  </si>
  <si>
    <t>Ayumi Miller</t>
  </si>
  <si>
    <t>ORD-10832</t>
  </si>
  <si>
    <t>Karen Tanaka</t>
  </si>
  <si>
    <t>ORD-11250</t>
  </si>
  <si>
    <t>Emma Kim</t>
  </si>
  <si>
    <t>ORD-11581</t>
  </si>
  <si>
    <t>ORD-10064</t>
  </si>
  <si>
    <t>ORD-10665</t>
  </si>
  <si>
    <t>Noah Martinez</t>
  </si>
  <si>
    <t>ORD-10687</t>
  </si>
  <si>
    <t>Jennifer Ferrari</t>
  </si>
  <si>
    <t>ORD-10806</t>
  </si>
  <si>
    <t>ORD-10813</t>
  </si>
  <si>
    <t>Raj Li</t>
  </si>
  <si>
    <t>ORD-10956</t>
  </si>
  <si>
    <t>ORD-11558</t>
  </si>
  <si>
    <t>Chen Martin</t>
  </si>
  <si>
    <t>ORD-10078</t>
  </si>
  <si>
    <t>Olivia Nilsson</t>
  </si>
  <si>
    <t>ORD-11634</t>
  </si>
  <si>
    <t>Olivia Robinson</t>
  </si>
  <si>
    <t>ORD-10092</t>
  </si>
  <si>
    <t>Susan Hassan</t>
  </si>
  <si>
    <t>ORD-10964</t>
  </si>
  <si>
    <t>Richard Kumar</t>
  </si>
  <si>
    <t>ORD-11344</t>
  </si>
  <si>
    <t>Amir Wang</t>
  </si>
  <si>
    <t>ORD-10991</t>
  </si>
  <si>
    <t>Marco Weber</t>
  </si>
  <si>
    <t>ORD-11785</t>
  </si>
  <si>
    <t>Michael Sharma</t>
  </si>
  <si>
    <t>ORD-10250</t>
  </si>
  <si>
    <t>Richard Garcia</t>
  </si>
  <si>
    <t>ORD-11053</t>
  </si>
  <si>
    <t>ORD-11489</t>
  </si>
  <si>
    <t>Olga Anderson</t>
  </si>
  <si>
    <t>ORD-11767</t>
  </si>
  <si>
    <t>Robert Schmidt</t>
  </si>
  <si>
    <t>ORD-10305</t>
  </si>
  <si>
    <t>Michael Taylor</t>
  </si>
  <si>
    <t>ORD-11106</t>
  </si>
  <si>
    <t>Sakura Oliveira</t>
  </si>
  <si>
    <t>ORD-10006</t>
  </si>
  <si>
    <t>Hans Kumar</t>
  </si>
  <si>
    <t>ORD-11141</t>
  </si>
  <si>
    <t>Hans Müller</t>
  </si>
  <si>
    <t>ORD-11434</t>
  </si>
  <si>
    <t>Clara Singh</t>
  </si>
  <si>
    <t>ORD-10463</t>
  </si>
  <si>
    <t>Ahmed Johansson</t>
  </si>
  <si>
    <t>ORD-11290</t>
  </si>
  <si>
    <t>Wei Johnson</t>
  </si>
  <si>
    <t>ORD-10075</t>
  </si>
  <si>
    <t>ORD-10460</t>
  </si>
  <si>
    <t>ORD-11887</t>
  </si>
  <si>
    <t>Zara Chen</t>
  </si>
  <si>
    <t>ORD-10171</t>
  </si>
  <si>
    <t>Michael Kim</t>
  </si>
  <si>
    <t>ORD-10354</t>
  </si>
  <si>
    <t>Amina Clark</t>
  </si>
  <si>
    <t>ORD-11171</t>
  </si>
  <si>
    <t>Robert Chen</t>
  </si>
  <si>
    <t>ORD-10332</t>
  </si>
  <si>
    <t>Ali Thomas</t>
  </si>
  <si>
    <t>ORD-10420</t>
  </si>
  <si>
    <t>Layla Kumar</t>
  </si>
  <si>
    <t>ORD-11259</t>
  </si>
  <si>
    <t>Karen Nilsson</t>
  </si>
  <si>
    <t>ORD-11678</t>
  </si>
  <si>
    <t>ORD-10236</t>
  </si>
  <si>
    <t>Priya Brown</t>
  </si>
  <si>
    <t>ORD-10407</t>
  </si>
  <si>
    <t>Isabella Laurent</t>
  </si>
  <si>
    <t>ORD-10575</t>
  </si>
  <si>
    <t>Barbara Nilsson</t>
  </si>
  <si>
    <t>ORD-11315</t>
  </si>
  <si>
    <t>Ahmed Santos</t>
  </si>
  <si>
    <t>ORD-11548</t>
  </si>
  <si>
    <t>ORD-11607</t>
  </si>
  <si>
    <t>Sophie White</t>
  </si>
  <si>
    <t>ORD-11675</t>
  </si>
  <si>
    <t>ORD-10057</t>
  </si>
  <si>
    <t>Ali Wang</t>
  </si>
  <si>
    <t>ORD-10438</t>
  </si>
  <si>
    <t>Omar Fischer</t>
  </si>
  <si>
    <t>ORD-10616</t>
  </si>
  <si>
    <t>Felix White</t>
  </si>
  <si>
    <t>ORD-11373</t>
  </si>
  <si>
    <t>Layla Li</t>
  </si>
  <si>
    <t>ORD-11546</t>
  </si>
  <si>
    <t>Kenji Sharma</t>
  </si>
  <si>
    <t>ORD-11871</t>
  </si>
  <si>
    <t>Ethan Li</t>
  </si>
  <si>
    <t>ORD-11999</t>
  </si>
  <si>
    <t>Linda Sato</t>
  </si>
  <si>
    <t>ORD-10034</t>
  </si>
  <si>
    <t>Ali Dubois</t>
  </si>
  <si>
    <t>ORD-11583</t>
  </si>
  <si>
    <t>ORD-11734</t>
  </si>
  <si>
    <t>Clara Romano</t>
  </si>
  <si>
    <t>ORD-10082</t>
  </si>
  <si>
    <t>Priya Williams</t>
  </si>
  <si>
    <t>ORD-10361</t>
  </si>
  <si>
    <t>Lucas Brown</t>
  </si>
  <si>
    <t>ORD-10515</t>
  </si>
  <si>
    <t>ORD-10640</t>
  </si>
  <si>
    <t>Wei Rodriguez</t>
  </si>
  <si>
    <t>ORD-11108</t>
  </si>
  <si>
    <t>Carlos Robinson</t>
  </si>
  <si>
    <t>ORD-11297</t>
  </si>
  <si>
    <t>Jessica Martin</t>
  </si>
  <si>
    <t>ORD-10804</t>
  </si>
  <si>
    <t>Jamal Khan</t>
  </si>
  <si>
    <t>ORD-10342</t>
  </si>
  <si>
    <t>Lucas Russo</t>
  </si>
  <si>
    <t>ORD-10366</t>
  </si>
  <si>
    <t>Amir Li</t>
  </si>
  <si>
    <t>ORD-10456</t>
  </si>
  <si>
    <t>Wei Martinez</t>
  </si>
  <si>
    <t>ORD-10732</t>
  </si>
  <si>
    <t>ORD-11025</t>
  </si>
  <si>
    <t>Patricia Weber</t>
  </si>
  <si>
    <t>ORD-11198</t>
  </si>
  <si>
    <t>Olivia Williams</t>
  </si>
  <si>
    <t>ORD-10167</t>
  </si>
  <si>
    <t>Amina Harris</t>
  </si>
  <si>
    <t>ORD-10355</t>
  </si>
  <si>
    <t>ORD-11414</t>
  </si>
  <si>
    <t>Amir Yamamoto</t>
  </si>
  <si>
    <t>ORD-10056</t>
  </si>
  <si>
    <t>Wei Patel</t>
  </si>
  <si>
    <t>ORD-10373</t>
  </si>
  <si>
    <t>ORD-10728</t>
  </si>
  <si>
    <t>Layla Thomas</t>
  </si>
  <si>
    <t>ORD-10072</t>
  </si>
  <si>
    <t>Maria Anderson</t>
  </si>
  <si>
    <t>ORD-10049</t>
  </si>
  <si>
    <t>ORD-11626</t>
  </si>
  <si>
    <t>Kenji Anderson</t>
  </si>
  <si>
    <t>ORD-10147</t>
  </si>
  <si>
    <t>Raj Rodriguez</t>
  </si>
  <si>
    <t>ORD-10721</t>
  </si>
  <si>
    <t>ORD-11448</t>
  </si>
  <si>
    <t>Jessica Yamamoto</t>
  </si>
  <si>
    <t>ORD-11817</t>
  </si>
  <si>
    <t>Ava Harris</t>
  </si>
  <si>
    <t>ORD-11735</t>
  </si>
  <si>
    <t>James Ahmed</t>
  </si>
  <si>
    <t>ORD-10900</t>
  </si>
  <si>
    <t>ORD-11104</t>
  </si>
  <si>
    <t>ORD-11572</t>
  </si>
  <si>
    <t>Priya Kumar</t>
  </si>
  <si>
    <t>ORD-11924</t>
  </si>
  <si>
    <t>Ethan Kumar</t>
  </si>
  <si>
    <t>ORD-10835</t>
  </si>
  <si>
    <t>Ingrid Müller</t>
  </si>
  <si>
    <t>ORD-11432</t>
  </si>
  <si>
    <t>ORD-11877</t>
  </si>
  <si>
    <t>Karen Ferrari</t>
  </si>
  <si>
    <t>ORD-10224</t>
  </si>
  <si>
    <t>Sophie Schmidt</t>
  </si>
  <si>
    <t>ORD-11144</t>
  </si>
  <si>
    <t>ORD-10169</t>
  </si>
  <si>
    <t>Hanna Robinson</t>
  </si>
  <si>
    <t>ORD-10396</t>
  </si>
  <si>
    <t>ORD-11152</t>
  </si>
  <si>
    <t>Jessica Russo</t>
  </si>
  <si>
    <t>ORD-11650</t>
  </si>
  <si>
    <t>Mary Garcia</t>
  </si>
  <si>
    <t>ORD-10582</t>
  </si>
  <si>
    <t>Robert Thompson</t>
  </si>
  <si>
    <t>ORD-11696</t>
  </si>
  <si>
    <t>Sophie Martin</t>
  </si>
  <si>
    <t>ORD-10796</t>
  </si>
  <si>
    <t>ORD-11791</t>
  </si>
  <si>
    <t>Mia Jones</t>
  </si>
  <si>
    <t>ORD-10104</t>
  </si>
  <si>
    <t>Olivia Wang</t>
  </si>
  <si>
    <t>ORD-10291</t>
  </si>
  <si>
    <t>Emma Dubois</t>
  </si>
  <si>
    <t>ORD-10016</t>
  </si>
  <si>
    <t>Richard Brown</t>
  </si>
  <si>
    <t>ORD-10359</t>
  </si>
  <si>
    <t>Marco Santos</t>
  </si>
  <si>
    <t>ORD-10989</t>
  </si>
  <si>
    <t>David Laurent</t>
  </si>
  <si>
    <t>ORD-11568</t>
  </si>
  <si>
    <t>James Brown</t>
  </si>
  <si>
    <t>ORD-11021</t>
  </si>
  <si>
    <t>Oscar Anderson</t>
  </si>
  <si>
    <t>ORD-11160</t>
  </si>
  <si>
    <t>ORD-11462</t>
  </si>
  <si>
    <t>Amina Russo</t>
  </si>
  <si>
    <t>ORD-10631</t>
  </si>
  <si>
    <t>ORD-10936</t>
  </si>
  <si>
    <t>Jamal Williams</t>
  </si>
  <si>
    <t>ORD-11287</t>
  </si>
  <si>
    <t>James White</t>
  </si>
  <si>
    <t>ORD-10059</t>
  </si>
  <si>
    <t>William Ferrari</t>
  </si>
  <si>
    <t>ORD-10335</t>
  </si>
  <si>
    <t>Olivia Davis</t>
  </si>
  <si>
    <t>ORD-10595</t>
  </si>
  <si>
    <t>Richard Johnson</t>
  </si>
  <si>
    <t>ORD-10614</t>
  </si>
  <si>
    <t>Lucas Williams</t>
  </si>
  <si>
    <t>ORD-10790</t>
  </si>
  <si>
    <t>Emma Nilsson</t>
  </si>
  <si>
    <t>ORD-11173</t>
  </si>
  <si>
    <t>ORD-11324</t>
  </si>
  <si>
    <t>Omar Nilsson</t>
  </si>
  <si>
    <t>ORD-10364</t>
  </si>
  <si>
    <t>Yuki Johnson</t>
  </si>
  <si>
    <t>ORD-10445</t>
  </si>
  <si>
    <t>Giulia Miller</t>
  </si>
  <si>
    <t>ORD-10584</t>
  </si>
  <si>
    <t>ORD-11658</t>
  </si>
  <si>
    <t>Hanna Kim</t>
  </si>
  <si>
    <t>ORD-11765</t>
  </si>
  <si>
    <t>Emma Weber</t>
  </si>
  <si>
    <t>ORD-10441</t>
  </si>
  <si>
    <t>Susan Kumar</t>
  </si>
  <si>
    <t>ORD-10898</t>
  </si>
  <si>
    <t>ORD-11164</t>
  </si>
  <si>
    <t>Sophie Weber</t>
  </si>
  <si>
    <t>ORD-11588</t>
  </si>
  <si>
    <t>ORD-11686</t>
  </si>
  <si>
    <t>Li Khan</t>
  </si>
  <si>
    <t>ORD-10117</t>
  </si>
  <si>
    <t>Nadia Pereira</t>
  </si>
  <si>
    <t>ORD-11074</t>
  </si>
  <si>
    <t>Wei Taylor</t>
  </si>
  <si>
    <t>ORD-10345</t>
  </si>
  <si>
    <t>ORD-11815</t>
  </si>
  <si>
    <t>Joseph Johansson</t>
  </si>
  <si>
    <t>ORD-10157</t>
  </si>
  <si>
    <t>Xiao Kumar</t>
  </si>
  <si>
    <t>ORD-11803</t>
  </si>
  <si>
    <t>Wei Costa</t>
  </si>
  <si>
    <t>ORD-10734</t>
  </si>
  <si>
    <t>Elizabeth Taylor</t>
  </si>
  <si>
    <t>ORD-10302</t>
  </si>
  <si>
    <t>Emma Tanaka</t>
  </si>
  <si>
    <t>ORD-11365</t>
  </si>
  <si>
    <t>Olga Romano</t>
  </si>
  <si>
    <t>ORD-11759</t>
  </si>
  <si>
    <t>ORD-11750</t>
  </si>
  <si>
    <t>Olga Robinson</t>
  </si>
  <si>
    <t>ORD-10557</t>
  </si>
  <si>
    <t>Joseph Russo</t>
  </si>
  <si>
    <t>ORD-10897</t>
  </si>
  <si>
    <t>ORD-11738</t>
  </si>
  <si>
    <t>Chen Tanaka</t>
  </si>
  <si>
    <t>ORD-11737</t>
  </si>
  <si>
    <t>ORD-10547</t>
  </si>
  <si>
    <t>Olivia Pereira</t>
  </si>
  <si>
    <t>ORD-10882</t>
  </si>
  <si>
    <t>Yuki Thompson</t>
  </si>
  <si>
    <t>ORD-11303</t>
  </si>
  <si>
    <t>ORD-11882</t>
  </si>
  <si>
    <t>Liam Kim</t>
  </si>
  <si>
    <t>ORD-10227</t>
  </si>
  <si>
    <t>Linda Suzuki</t>
  </si>
  <si>
    <t>ORD-10556</t>
  </si>
  <si>
    <t>Pierre Jackson</t>
  </si>
  <si>
    <t>ORD-10884</t>
  </si>
  <si>
    <t>Barbara Dubois</t>
  </si>
  <si>
    <t>ORD-11188</t>
  </si>
  <si>
    <t>Xiao Johnson</t>
  </si>
  <si>
    <t>ORD-11340</t>
  </si>
  <si>
    <t>Carlos Thompson</t>
  </si>
  <si>
    <t>ORD-11325</t>
  </si>
  <si>
    <t>Olga Suzuki</t>
  </si>
  <si>
    <t>ORD-11447</t>
  </si>
  <si>
    <t>Ali Sato</t>
  </si>
  <si>
    <t>ORD-10822</t>
  </si>
  <si>
    <t>Ethan Johnson</t>
  </si>
  <si>
    <t>ORD-11747</t>
  </si>
  <si>
    <t>Ava Patel</t>
  </si>
  <si>
    <t>ORD-11084</t>
  </si>
  <si>
    <t>Sakura Müller</t>
  </si>
  <si>
    <t>ORD-10983</t>
  </si>
  <si>
    <t>ORD-11777</t>
  </si>
  <si>
    <t>Nadia Anderson</t>
  </si>
  <si>
    <t>ORD-10278</t>
  </si>
  <si>
    <t>ORD-11466</t>
  </si>
  <si>
    <t>Oscar Miller</t>
  </si>
  <si>
    <t>ORD-11816</t>
  </si>
  <si>
    <t>ORD-10144</t>
  </si>
  <si>
    <t>ORD-10012</t>
  </si>
  <si>
    <t>ORD-11415</t>
  </si>
  <si>
    <t>Nadia Davis</t>
  </si>
  <si>
    <t>ORD-11265</t>
  </si>
  <si>
    <t>Maria Hassan</t>
  </si>
  <si>
    <t>ORD-11311</t>
  </si>
  <si>
    <t>Sophie Li</t>
  </si>
  <si>
    <t>ORD-11688</t>
  </si>
  <si>
    <t>Hans Schmidt</t>
  </si>
  <si>
    <t>ORD-10121</t>
  </si>
  <si>
    <t>Maria Weber</t>
  </si>
  <si>
    <t>ORD-11099</t>
  </si>
  <si>
    <t>Priya Robinson</t>
  </si>
  <si>
    <t>ORD-11660</t>
  </si>
  <si>
    <t>Fatima Robinson</t>
  </si>
  <si>
    <t>ORD-11768</t>
  </si>
  <si>
    <t>Joseph Singh</t>
  </si>
  <si>
    <t>ORD-10513</t>
  </si>
  <si>
    <t>Maria Rossi</t>
  </si>
  <si>
    <t>ORD-11850</t>
  </si>
  <si>
    <t>ORD-11411</t>
  </si>
  <si>
    <t>Raj Weber</t>
  </si>
  <si>
    <t>ORD-11498</t>
  </si>
  <si>
    <t>Omar Rodriguez</t>
  </si>
  <si>
    <t>ORD-11352</t>
  </si>
  <si>
    <t>Ayumi Moreau</t>
  </si>
  <si>
    <t>ORD-10257</t>
  </si>
  <si>
    <t>Sarah Clark</t>
  </si>
  <si>
    <t>ORD-10261</t>
  </si>
  <si>
    <t>Li Oliveira</t>
  </si>
  <si>
    <t>ORD-10581</t>
  </si>
  <si>
    <t>Pierre Weber</t>
  </si>
  <si>
    <t>ORD-10691</t>
  </si>
  <si>
    <t>Felix Ahmed</t>
  </si>
  <si>
    <t>ORD-11189</t>
  </si>
  <si>
    <t>ORD-10275</t>
  </si>
  <si>
    <t>Mary Clark</t>
  </si>
  <si>
    <t>ORD-11450</t>
  </si>
  <si>
    <t>Li Rossi</t>
  </si>
  <si>
    <t>ORD-11559</t>
  </si>
  <si>
    <t>ORD-11225</t>
  </si>
  <si>
    <t>Christopher Brown</t>
  </si>
  <si>
    <t>ORD-11636</t>
  </si>
  <si>
    <t>Ingrid Davis</t>
  </si>
  <si>
    <t>ORD-11706</t>
  </si>
  <si>
    <t>Priya Oliveira</t>
  </si>
  <si>
    <t>ORD-10222</t>
  </si>
  <si>
    <t>Hanna White</t>
  </si>
  <si>
    <t>ORD-10385</t>
  </si>
  <si>
    <t>Michael Schmidt</t>
  </si>
  <si>
    <t>ORD-11508</t>
  </si>
  <si>
    <t>Ivan Ahmed</t>
  </si>
  <si>
    <t>ORD-10641</t>
  </si>
  <si>
    <t>ORD-11587</t>
  </si>
  <si>
    <t>ORD-10095</t>
  </si>
  <si>
    <t>ORD-11444</t>
  </si>
  <si>
    <t>ORD-11549</t>
  </si>
  <si>
    <t>ORD-10516</t>
  </si>
  <si>
    <t>ORD-10586</t>
  </si>
  <si>
    <t>ORD-10664</t>
  </si>
  <si>
    <t>ORD-11142</t>
  </si>
  <si>
    <t>Ayumi Harris</t>
  </si>
  <si>
    <t>ORD-10824</t>
  </si>
  <si>
    <t>Pierre Rodriguez</t>
  </si>
  <si>
    <t>ORD-11343</t>
  </si>
  <si>
    <t>Amina Romano</t>
  </si>
  <si>
    <t>ORD-11639</t>
  </si>
  <si>
    <t>Mia White</t>
  </si>
  <si>
    <t>ORD-10131</t>
  </si>
  <si>
    <t>Ali Oliveira</t>
  </si>
  <si>
    <t>ORD-10253</t>
  </si>
  <si>
    <t>David Garcia</t>
  </si>
  <si>
    <t>ORD-11402</t>
  </si>
  <si>
    <t>Li Davis</t>
  </si>
  <si>
    <t>ORD-11398</t>
  </si>
  <si>
    <t>Mary Rodriguez</t>
  </si>
  <si>
    <t>ORD-11857</t>
  </si>
  <si>
    <t>Mia Romano</t>
  </si>
  <si>
    <t>ORD-11690</t>
  </si>
  <si>
    <t>ORD-10909</t>
  </si>
  <si>
    <t>Clara Leroy</t>
  </si>
  <si>
    <t>ORD-10138</t>
  </si>
  <si>
    <t>ORD-11165</t>
  </si>
  <si>
    <t>ORD-10340</t>
  </si>
  <si>
    <t>ORD-10388</t>
  </si>
  <si>
    <t>Linda Patel</t>
  </si>
  <si>
    <t>ORD-10868</t>
  </si>
  <si>
    <t>ORD-11918</t>
  </si>
  <si>
    <t>ORD-10590</t>
  </si>
  <si>
    <t>Hans White</t>
  </si>
  <si>
    <t>ORD-11153</t>
  </si>
  <si>
    <t>ORD-11654</t>
  </si>
  <si>
    <t>Christopher Schmidt</t>
  </si>
  <si>
    <t>ORD-11982</t>
  </si>
  <si>
    <t>William Moreau</t>
  </si>
  <si>
    <t>ORD-10263</t>
  </si>
  <si>
    <t>Felix Romano</t>
  </si>
  <si>
    <t>ORD-10066</t>
  </si>
  <si>
    <t>Hanna Ali</t>
  </si>
  <si>
    <t>ORD-10799</t>
  </si>
  <si>
    <t>Susan Schmidt</t>
  </si>
  <si>
    <t>ORD-11203</t>
  </si>
  <si>
    <t>Amir Ali</t>
  </si>
  <si>
    <t>ORD-11849</t>
  </si>
  <si>
    <t>ORD-10867</t>
  </si>
  <si>
    <t>Hans Hassan</t>
  </si>
  <si>
    <t>ORD-11698</t>
  </si>
  <si>
    <t>Layla Zhang</t>
  </si>
  <si>
    <t>ORD-10213</t>
  </si>
  <si>
    <t>Sarah Harris</t>
  </si>
  <si>
    <t>ORD-10311</t>
  </si>
  <si>
    <t>Noah Hassan</t>
  </si>
  <si>
    <t>ORD-11049</t>
  </si>
  <si>
    <t>ORD-10018</t>
  </si>
  <si>
    <t>Amir Smith</t>
  </si>
  <si>
    <t>ORD-10475</t>
  </si>
  <si>
    <t>Chen Anderson</t>
  </si>
  <si>
    <t>ORD-11726</t>
  </si>
  <si>
    <t>Raj Patel</t>
  </si>
  <si>
    <t>ORD-11892</t>
  </si>
  <si>
    <t>Mary Oliveira</t>
  </si>
  <si>
    <t>ORD-10294</t>
  </si>
  <si>
    <t>ORD-10910</t>
  </si>
  <si>
    <t>ORD-10714</t>
  </si>
  <si>
    <t>ORD-10716</t>
  </si>
  <si>
    <t>Ivan Martinez</t>
  </si>
  <si>
    <t>ORD-10810</t>
  </si>
  <si>
    <t>Nadia Wang</t>
  </si>
  <si>
    <t>ORD-10786</t>
  </si>
  <si>
    <t>Jessica Suzuki</t>
  </si>
  <si>
    <t>ORD-10919</t>
  </si>
  <si>
    <t>Priya Ferrari</t>
  </si>
  <si>
    <t>ORD-11751</t>
  </si>
  <si>
    <t>ORD-10058</t>
  </si>
  <si>
    <t>Raj Santos</t>
  </si>
  <si>
    <t>ORD-11383</t>
  </si>
  <si>
    <t>Thomas Wang</t>
  </si>
  <si>
    <t>ORD-11622</t>
  </si>
  <si>
    <t>Zara Anderson</t>
  </si>
  <si>
    <t>ORD-11976</t>
  </si>
  <si>
    <t>Jennifer Anderson</t>
  </si>
  <si>
    <t>ORD-11301</t>
  </si>
  <si>
    <t>Emma Suzuki</t>
  </si>
  <si>
    <t>ORD-11719</t>
  </si>
  <si>
    <t>Sarah Patel</t>
  </si>
  <si>
    <t>ORD-10448</t>
  </si>
  <si>
    <t>Lucas Moreau</t>
  </si>
  <si>
    <t>ORD-10748</t>
  </si>
  <si>
    <t>Richard Patel</t>
  </si>
  <si>
    <t>ORD-11186</t>
  </si>
  <si>
    <t>Karen Hassan</t>
  </si>
  <si>
    <t>ORD-11446</t>
  </si>
  <si>
    <t>Wei Suzuki</t>
  </si>
  <si>
    <t>ORD-11697</t>
  </si>
  <si>
    <t>Thomas Yamamoto</t>
  </si>
  <si>
    <t>ORD-10315</t>
  </si>
  <si>
    <t>Jamal Sharma</t>
  </si>
  <si>
    <t>ORD-11942</t>
  </si>
  <si>
    <t>Lucas Laurent</t>
  </si>
  <si>
    <t>ORD-11094</t>
  </si>
  <si>
    <t>Xiao Romano</t>
  </si>
  <si>
    <t>ORD-10248</t>
  </si>
  <si>
    <t>Amina Thomas</t>
  </si>
  <si>
    <t>ORD-11240</t>
  </si>
  <si>
    <t>Olga Li</t>
  </si>
  <si>
    <t>ORD-10818</t>
  </si>
  <si>
    <t>Kenji Wang</t>
  </si>
  <si>
    <t>ORD-11132</t>
  </si>
  <si>
    <t>Jamal Nilsson</t>
  </si>
  <si>
    <t>ORD-10608</t>
  </si>
  <si>
    <t>Sophie Williams</t>
  </si>
  <si>
    <t>ORD-10629</t>
  </si>
  <si>
    <t>Ahmed Anderson</t>
  </si>
  <si>
    <t>ORD-11246</t>
  </si>
  <si>
    <t>Felix Schmidt</t>
  </si>
  <si>
    <t>ORD-10245</t>
  </si>
  <si>
    <t>ORD-10613</t>
  </si>
  <si>
    <t>Ingrid Martin</t>
  </si>
  <si>
    <t>ORD-11635</t>
  </si>
  <si>
    <t>Yuki Kim</t>
  </si>
  <si>
    <t>ORD-10108</t>
  </si>
  <si>
    <t>ORD-10563</t>
  </si>
  <si>
    <t>ORD-11347</t>
  </si>
  <si>
    <t>Amina Wang</t>
  </si>
  <si>
    <t>ORD-11480</t>
  </si>
  <si>
    <t>Richard Costa</t>
  </si>
  <si>
    <t>ORD-11823</t>
  </si>
  <si>
    <t>Oscar Johansson</t>
  </si>
  <si>
    <t>ORD-11613</t>
  </si>
  <si>
    <t>Ingrid Laurent</t>
  </si>
  <si>
    <t>ORD-10055</t>
  </si>
  <si>
    <t>Hans Park</t>
  </si>
  <si>
    <t>ORD-11966</t>
  </si>
  <si>
    <t>Wei Thompson</t>
  </si>
  <si>
    <t>ORD-10403</t>
  </si>
  <si>
    <t>Ethan Williams</t>
  </si>
  <si>
    <t>ORD-10140</t>
  </si>
  <si>
    <t>ORD-11959</t>
  </si>
  <si>
    <t>Ali Patel</t>
  </si>
  <si>
    <t>ORD-10929</t>
  </si>
  <si>
    <t>Noah Dubois</t>
  </si>
  <si>
    <t>ORD-11370</t>
  </si>
  <si>
    <t>Ivan Müller</t>
  </si>
  <si>
    <t>ORD-11534</t>
  </si>
  <si>
    <t>Jessica Williams</t>
  </si>
  <si>
    <t>ORD-10174</t>
  </si>
  <si>
    <t>Clara Schmidt</t>
  </si>
  <si>
    <t>ORD-10848</t>
  </si>
  <si>
    <t>Pierre Patel</t>
  </si>
  <si>
    <t>ORD-11023</t>
  </si>
  <si>
    <t>Olivia Garcia</t>
  </si>
  <si>
    <t>ORD-11314</t>
  </si>
  <si>
    <t>David Suzuki</t>
  </si>
  <si>
    <t>ORD-11582</t>
  </si>
  <si>
    <t>Christopher Müller</t>
  </si>
  <si>
    <t>ORD-10544</t>
  </si>
  <si>
    <t>William Robinson</t>
  </si>
  <si>
    <t>ORD-11124</t>
  </si>
  <si>
    <t>Omar Weber</t>
  </si>
  <si>
    <t>ORD-10493</t>
  </si>
  <si>
    <t>Linda Fischer</t>
  </si>
  <si>
    <t>ORD-10208</t>
  </si>
  <si>
    <t>Ivan Thomas</t>
  </si>
  <si>
    <t>ORD-10484</t>
  </si>
  <si>
    <t>ORD-10857</t>
  </si>
  <si>
    <t>Layla Johansson</t>
  </si>
  <si>
    <t>ORD-10901</t>
  </si>
  <si>
    <t>ORD-11644</t>
  </si>
  <si>
    <t>ORD-11672</t>
  </si>
  <si>
    <t>Liam Nilsson</t>
  </si>
  <si>
    <t>ORD-11073</t>
  </si>
  <si>
    <t>Elizabeth Chen</t>
  </si>
  <si>
    <t>ORD-11058</t>
  </si>
  <si>
    <t>ORD-10370</t>
  </si>
  <si>
    <t>Linda Santos</t>
  </si>
  <si>
    <t>ORD-11781</t>
  </si>
  <si>
    <t>Ingrid White</t>
  </si>
  <si>
    <t>ORD-11939</t>
  </si>
  <si>
    <t>Amir Moreau</t>
  </si>
  <si>
    <t>ORD-10184</t>
  </si>
  <si>
    <t>Isabella Ferrari</t>
  </si>
  <si>
    <t>ORD-10229</t>
  </si>
  <si>
    <t>Xiao Martin</t>
  </si>
  <si>
    <t>ORD-10286</t>
  </si>
  <si>
    <t>Oscar Williams</t>
  </si>
  <si>
    <t>ORD-10426</t>
  </si>
  <si>
    <t>Ayumi Thomas</t>
  </si>
  <si>
    <t>ORD-11799</t>
  </si>
  <si>
    <t>Jamal Pereira</t>
  </si>
  <si>
    <t>ORD-11951</t>
  </si>
  <si>
    <t>William Romano</t>
  </si>
  <si>
    <t>ORD-10466</t>
  </si>
  <si>
    <t>Zara Harris</t>
  </si>
  <si>
    <t>ORD-11433</t>
  </si>
  <si>
    <t>Pierre Smith</t>
  </si>
  <si>
    <t>ORD-11473</t>
  </si>
  <si>
    <t>Zara Clark</t>
  </si>
  <si>
    <t>ORD-11491</t>
  </si>
  <si>
    <t>Carlos Yamamoto</t>
  </si>
  <si>
    <t>ORD-11504</t>
  </si>
  <si>
    <t>Yuki Pereira</t>
  </si>
  <si>
    <t>ORD-11938</t>
  </si>
  <si>
    <t>ORD-10262</t>
  </si>
  <si>
    <t>Carlos Ferrari</t>
  </si>
  <si>
    <t>ORD-10998</t>
  </si>
  <si>
    <t>Diego Miller</t>
  </si>
  <si>
    <t>ORD-10050</t>
  </si>
  <si>
    <t>Robert Garcia</t>
  </si>
  <si>
    <t>ORD-10697</t>
  </si>
  <si>
    <t>Sakura Garcia</t>
  </si>
  <si>
    <t>ORD-10329</t>
  </si>
  <si>
    <t>ORD-10011</t>
  </si>
  <si>
    <t>ORD-10931</t>
  </si>
  <si>
    <t>Maria Thomas</t>
  </si>
  <si>
    <t>ORD-10141</t>
  </si>
  <si>
    <t>ORD-10648</t>
  </si>
  <si>
    <t>Omar Dubois</t>
  </si>
  <si>
    <t>ORD-11925</t>
  </si>
  <si>
    <t>Sarah Miller</t>
  </si>
  <si>
    <t>ORD-10076</t>
  </si>
  <si>
    <t>ORD-11440</t>
  </si>
  <si>
    <t>ORD-11573</t>
  </si>
  <si>
    <t>Mia Chen</t>
  </si>
  <si>
    <t>ORD-11870</t>
  </si>
  <si>
    <t>Isabella Jones</t>
  </si>
  <si>
    <t>ORD-11920</t>
  </si>
  <si>
    <t>Pierre Jones</t>
  </si>
  <si>
    <t>ORD-10106</t>
  </si>
  <si>
    <t>Karen Ali</t>
  </si>
  <si>
    <t>ORD-11522</t>
  </si>
  <si>
    <t>Amir Anderson</t>
  </si>
  <si>
    <t>ORD-10223</t>
  </si>
  <si>
    <t>Jennifer Yamamoto</t>
  </si>
  <si>
    <t>ORD-11955</t>
  </si>
  <si>
    <t>Olivia Jones</t>
  </si>
  <si>
    <t>ORD-10258</t>
  </si>
  <si>
    <t>ORD-10879</t>
  </si>
  <si>
    <t>Carlos Patel</t>
  </si>
  <si>
    <t>ORD-11947</t>
  </si>
  <si>
    <t>Olivia Johnson</t>
  </si>
  <si>
    <t>ORD-11826</t>
  </si>
  <si>
    <t>Robert Leroy</t>
  </si>
  <si>
    <t>ORD-10296</t>
  </si>
  <si>
    <t>Michael Tanaka</t>
  </si>
  <si>
    <t>ORD-11399</t>
  </si>
  <si>
    <t>ORD-10312</t>
  </si>
  <si>
    <t>Lucas Nilsson</t>
  </si>
  <si>
    <t>ORD-10512</t>
  </si>
  <si>
    <t>ORD-10767</t>
  </si>
  <si>
    <t>Omar Thompson</t>
  </si>
  <si>
    <t>ORD-11092</t>
  </si>
  <si>
    <t>Raj Thompson</t>
  </si>
  <si>
    <t>ORD-11797</t>
  </si>
  <si>
    <t>ORD-10517</t>
  </si>
  <si>
    <t>ORD-10999</t>
  </si>
  <si>
    <t>Layla Romano</t>
  </si>
  <si>
    <t>ORD-11749</t>
  </si>
  <si>
    <t>Ivan Williams</t>
  </si>
  <si>
    <t>ORD-11228</t>
  </si>
  <si>
    <t>ORD-10412</t>
  </si>
  <si>
    <t>Nadia Taylor</t>
  </si>
  <si>
    <t>ORD-10504</t>
  </si>
  <si>
    <t>John Suzuki</t>
  </si>
  <si>
    <t>ORD-10988</t>
  </si>
  <si>
    <t>ORD-11136</t>
  </si>
  <si>
    <t>Emma Müller</t>
  </si>
  <si>
    <t>ORD-11883</t>
  </si>
  <si>
    <t>Mia Costa</t>
  </si>
  <si>
    <t>ORD-10119</t>
  </si>
  <si>
    <t>Zara Thomas</t>
  </si>
  <si>
    <t>ORD-10021</t>
  </si>
  <si>
    <t>Giulia Yamamoto</t>
  </si>
  <si>
    <t>ORD-10663</t>
  </si>
  <si>
    <t>Hans Miller</t>
  </si>
  <si>
    <t>ORD-11018</t>
  </si>
  <si>
    <t>Liam Schmidt</t>
  </si>
  <si>
    <t>ORD-11739</t>
  </si>
  <si>
    <t>ORD-11774</t>
  </si>
  <si>
    <t>John Wang</t>
  </si>
  <si>
    <t>ORD-11881</t>
  </si>
  <si>
    <t>ORD-11965</t>
  </si>
  <si>
    <t>Layla Patel</t>
  </si>
  <si>
    <t>ORD-10520</t>
  </si>
  <si>
    <t>Linda Weber</t>
  </si>
  <si>
    <t>ORD-10877</t>
  </si>
  <si>
    <t>Yuki Sharma</t>
  </si>
  <si>
    <t>ORD-11475</t>
  </si>
  <si>
    <t>Maria Yamamoto</t>
  </si>
  <si>
    <t>ORD-10523</t>
  </si>
  <si>
    <t>Omar Jackson</t>
  </si>
  <si>
    <t>ORD-10833</t>
  </si>
  <si>
    <t>ORD-10871</t>
  </si>
  <si>
    <t>ORD-11209</t>
  </si>
  <si>
    <t>Nadia Martinez</t>
  </si>
  <si>
    <t>ORD-11542</t>
  </si>
  <si>
    <t>Raj Schmidt</t>
  </si>
  <si>
    <t>ORD-11783</t>
  </si>
  <si>
    <t>Li Miller</t>
  </si>
  <si>
    <t>ORD-11994</t>
  </si>
  <si>
    <t>Richard Santos</t>
  </si>
  <si>
    <t>ORD-10391</t>
  </si>
  <si>
    <t>Jessica Taylor</t>
  </si>
  <si>
    <t>ORD-11714</t>
  </si>
  <si>
    <t>ORD-11851</t>
  </si>
  <si>
    <t>Patricia Santos</t>
  </si>
  <si>
    <t>ORD-10162</t>
  </si>
  <si>
    <t>Linda Rodriguez</t>
  </si>
  <si>
    <t>ORD-10416</t>
  </si>
  <si>
    <t>Wei Khan</t>
  </si>
  <si>
    <t>ORD-10038</t>
  </si>
  <si>
    <t>ORD-10168</t>
  </si>
  <si>
    <t>Isabella Schmidt</t>
  </si>
  <si>
    <t>ORD-10580</t>
  </si>
  <si>
    <t>Maria Johnson</t>
  </si>
  <si>
    <t>ORD-11269</t>
  </si>
  <si>
    <t>Sophie Johansson</t>
  </si>
  <si>
    <t>ORD-11341</t>
  </si>
  <si>
    <t>Li Müller</t>
  </si>
  <si>
    <t>ORD-10939</t>
  </si>
  <si>
    <t>Lucas Park</t>
  </si>
  <si>
    <t>ORD-11623</t>
  </si>
  <si>
    <t>Ivan Romano</t>
  </si>
  <si>
    <t>ORD-11874</t>
  </si>
  <si>
    <t>Thomas Johnson</t>
  </si>
  <si>
    <t>ORD-11864</t>
  </si>
  <si>
    <t>Zara Hassan</t>
  </si>
  <si>
    <t>ORD-10540</t>
  </si>
  <si>
    <t>Thomas Jackson</t>
  </si>
  <si>
    <t>ORD-11054</t>
  </si>
  <si>
    <t>Ingrid Martinez</t>
  </si>
  <si>
    <t>ORD-10443</t>
  </si>
  <si>
    <t>Elizabeth Patel</t>
  </si>
  <si>
    <t>ORD-10449</t>
  </si>
  <si>
    <t>Susan Patel</t>
  </si>
  <si>
    <t>ORD-11822</t>
  </si>
  <si>
    <t>Hanna Thomas</t>
  </si>
  <si>
    <t>ORD-11836</t>
  </si>
  <si>
    <t>Richard Jackson</t>
  </si>
  <si>
    <t>ORD-10453</t>
  </si>
  <si>
    <t>ORD-10707</t>
  </si>
  <si>
    <t>Giulia Li</t>
  </si>
  <si>
    <t>ORD-11037</t>
  </si>
  <si>
    <t>ORD-11807</t>
  </si>
  <si>
    <t>ORD-10088</t>
  </si>
  <si>
    <t>David Rodriguez</t>
  </si>
  <si>
    <t>ORD-10693</t>
  </si>
  <si>
    <t>Hanna Weber</t>
  </si>
  <si>
    <t>ORD-10912</t>
  </si>
  <si>
    <t>ORD-11170</t>
  </si>
  <si>
    <t>Ava Miller</t>
  </si>
  <si>
    <t>ORD-11627</t>
  </si>
  <si>
    <t>ORD-11615</t>
  </si>
  <si>
    <t>Marco Rodriguez</t>
  </si>
  <si>
    <t>ORD-11267</t>
  </si>
  <si>
    <t>ORD-11455</t>
  </si>
  <si>
    <t>Omar Thomas</t>
  </si>
  <si>
    <t>ORD-10659</t>
  </si>
  <si>
    <t>Barbara Miller</t>
  </si>
  <si>
    <t>ORD-10944</t>
  </si>
  <si>
    <t>Mary White</t>
  </si>
  <si>
    <t>ORD-11319</t>
  </si>
  <si>
    <t>Raj Sato</t>
  </si>
  <si>
    <t>ORD-10217</t>
  </si>
  <si>
    <t>Layla Garcia</t>
  </si>
  <si>
    <t>ORD-10621</t>
  </si>
  <si>
    <t>David Schmidt</t>
  </si>
  <si>
    <t>ORD-10765</t>
  </si>
  <si>
    <t>Priya Sato</t>
  </si>
  <si>
    <t>ORD-11451</t>
  </si>
  <si>
    <t>Carlos Davis</t>
  </si>
  <si>
    <t>ORD-11502</t>
  </si>
  <si>
    <t>ORD-11716</t>
  </si>
  <si>
    <t>Barbara Moreau</t>
  </si>
  <si>
    <t>ORD-11618</t>
  </si>
  <si>
    <t>Christopher Fischer</t>
  </si>
  <si>
    <t>ORD-11146</t>
  </si>
  <si>
    <t>ORD-11252</t>
  </si>
  <si>
    <t>ORD-10389</t>
  </si>
  <si>
    <t>Ingrid Sato</t>
  </si>
  <si>
    <t>ORD-10405</t>
  </si>
  <si>
    <t>Zara Fischer</t>
  </si>
  <si>
    <t>ORD-10539</t>
  </si>
  <si>
    <t>ORD-10924</t>
  </si>
  <si>
    <t>Sakura Ahmed</t>
  </si>
  <si>
    <t>ORD-11853</t>
  </si>
  <si>
    <t>Elizabeth Johnson</t>
  </si>
  <si>
    <t>ORD-10061</t>
  </si>
  <si>
    <t>Ethan Sato</t>
  </si>
  <si>
    <t>ORD-10014</t>
  </si>
  <si>
    <t>Elizabeth Wang</t>
  </si>
  <si>
    <t>ORD-10865</t>
  </si>
  <si>
    <t>Mia Laurent</t>
  </si>
  <si>
    <t>ORD-11296</t>
  </si>
  <si>
    <t>Linda Thompson</t>
  </si>
  <si>
    <t>ORD-10193</t>
  </si>
  <si>
    <t>Fatima Zhang</t>
  </si>
  <si>
    <t>ORD-10433</t>
  </si>
  <si>
    <t>Mary Fischer</t>
  </si>
  <si>
    <t>ORD-10638</t>
  </si>
  <si>
    <t>Hanna Sharma</t>
  </si>
  <si>
    <t>ORD-10785</t>
  </si>
  <si>
    <t>Ayumi Laurent</t>
  </si>
  <si>
    <t>ORD-10794</t>
  </si>
  <si>
    <t>Noah Ferrari</t>
  </si>
  <si>
    <t>ORD-11629</t>
  </si>
  <si>
    <t>Thomas Costa</t>
  </si>
  <si>
    <t>ORD-11790</t>
  </si>
  <si>
    <t>Wei Wang</t>
  </si>
  <si>
    <t>ORD-10120</t>
  </si>
  <si>
    <t>Ali Hassan</t>
  </si>
  <si>
    <t>ORD-10415</t>
  </si>
  <si>
    <t>Layla Williams</t>
  </si>
  <si>
    <t>ORD-10633</t>
  </si>
  <si>
    <t>Wei Moreau</t>
  </si>
  <si>
    <t>ORD-10715</t>
  </si>
  <si>
    <t>ORD-11371</t>
  </si>
  <si>
    <t>Omar Yamamoto</t>
  </si>
  <si>
    <t>ORD-11223</t>
  </si>
  <si>
    <t>Nadia Dubois</t>
  </si>
  <si>
    <t>ORD-11617</t>
  </si>
  <si>
    <t>ORD-10150</t>
  </si>
  <si>
    <t>Zara Williams</t>
  </si>
  <si>
    <t>ORD-10151</t>
  </si>
  <si>
    <t>Joseph Ali</t>
  </si>
  <si>
    <t>ORD-10400</t>
  </si>
  <si>
    <t>Ahmed Tanaka</t>
  </si>
  <si>
    <t>ORD-10830</t>
  </si>
  <si>
    <t>Ivan Robinson</t>
  </si>
  <si>
    <t>ORD-11902</t>
  </si>
  <si>
    <t>Christopher Miller</t>
  </si>
  <si>
    <t>ORD-10243</t>
  </si>
  <si>
    <t>Pierre Hassan</t>
  </si>
  <si>
    <t>ORD-10048</t>
  </si>
  <si>
    <t>Sophie Kim</t>
  </si>
  <si>
    <t>ORD-10401</t>
  </si>
  <si>
    <t>ORD-11327</t>
  </si>
  <si>
    <t>Amir Johansson</t>
  </si>
  <si>
    <t>ORD-11039</t>
  </si>
  <si>
    <t>ORD-11369</t>
  </si>
  <si>
    <t>Lucas Müller</t>
  </si>
  <si>
    <t>ORD-11506</t>
  </si>
  <si>
    <t>ORD-11590</t>
  </si>
  <si>
    <t>James Oliveira</t>
  </si>
  <si>
    <t>ORD-11943</t>
  </si>
  <si>
    <t>Sophie Pereira</t>
  </si>
  <si>
    <t>ORD-11207</t>
  </si>
  <si>
    <t>Oscar Zhang</t>
  </si>
  <si>
    <t>ORD-11758</t>
  </si>
  <si>
    <t>ORD-10469</t>
  </si>
  <si>
    <t>Carlos Sharma</t>
  </si>
  <si>
    <t>ORD-10669</t>
  </si>
  <si>
    <t>ORD-11335</t>
  </si>
  <si>
    <t>Ivan Martin</t>
  </si>
  <si>
    <t>ORD-10533</t>
  </si>
  <si>
    <t>ORD-10567</t>
  </si>
  <si>
    <t>ORD-10093</t>
  </si>
  <si>
    <t>Raj Johnson</t>
  </si>
  <si>
    <t>ORD-11257</t>
  </si>
  <si>
    <t>Olivia Zhang</t>
  </si>
  <si>
    <t>ORD-11445</t>
  </si>
  <si>
    <t>Ava Rodriguez</t>
  </si>
  <si>
    <t>ORD-10239</t>
  </si>
  <si>
    <t>James Ali</t>
  </si>
  <si>
    <t>ORD-11043</t>
  </si>
  <si>
    <t>Liam Patel</t>
  </si>
  <si>
    <t>ORD-11113</t>
  </si>
  <si>
    <t>ORD-10046</t>
  </si>
  <si>
    <t>Ethan Moreau</t>
  </si>
  <si>
    <t>ORD-10543</t>
  </si>
  <si>
    <t>Maria Suzuki</t>
  </si>
  <si>
    <t>ORD-10602</t>
  </si>
  <si>
    <t>ORD-10969</t>
  </si>
  <si>
    <t>Jessica Moreau</t>
  </si>
  <si>
    <t>ORD-11869</t>
  </si>
  <si>
    <t>ORD-10491</t>
  </si>
  <si>
    <t>Sarah Santos</t>
  </si>
  <si>
    <t>ORD-11211</t>
  </si>
  <si>
    <t>James Johansson</t>
  </si>
  <si>
    <t>ORD-10436</t>
  </si>
  <si>
    <t>ORD-10701</t>
  </si>
  <si>
    <t>Yuki Thomas</t>
  </si>
  <si>
    <t>ORD-11338</t>
  </si>
  <si>
    <t>ORD-11778</t>
  </si>
  <si>
    <t>Clara Garcia</t>
  </si>
  <si>
    <t>ORD-11973</t>
  </si>
  <si>
    <t>Lucas Sato</t>
  </si>
  <si>
    <t>ORD-11980</t>
  </si>
  <si>
    <t>Ingrid Yamamoto</t>
  </si>
  <si>
    <t>ORD-10073</t>
  </si>
  <si>
    <t>Xiao Robinson</t>
  </si>
  <si>
    <t>ORD-10134</t>
  </si>
  <si>
    <t>Wei Ali</t>
  </si>
  <si>
    <t>ORD-11792</t>
  </si>
  <si>
    <t>Jamal Wang</t>
  </si>
  <si>
    <t>ORD-10160</t>
  </si>
  <si>
    <t>Ivan Moreau</t>
  </si>
  <si>
    <t>ORD-10178</t>
  </si>
  <si>
    <t>Sarah Johansson</t>
  </si>
  <si>
    <t>ORD-10690</t>
  </si>
  <si>
    <t>ORD-10812</t>
  </si>
  <si>
    <t>Linda Harris</t>
  </si>
  <si>
    <t>ORD-11514</t>
  </si>
  <si>
    <t>Ivan Park</t>
  </si>
  <si>
    <t>ORD-11709</t>
  </si>
  <si>
    <t>Elizabeth Leroy</t>
  </si>
  <si>
    <t>ORD-10624</t>
  </si>
  <si>
    <t>Jennifer Zhang</t>
  </si>
  <si>
    <t>ORD-10742</t>
  </si>
  <si>
    <t>ORD-11067</t>
  </si>
  <si>
    <t>Mia Li</t>
  </si>
  <si>
    <t>ORD-10494</t>
  </si>
  <si>
    <t>ORD-11384</t>
  </si>
  <si>
    <t>Ahmed Ali</t>
  </si>
  <si>
    <t>ORD-10645</t>
  </si>
  <si>
    <t>Ahmed Thomas</t>
  </si>
  <si>
    <t>ORD-10666</t>
  </si>
  <si>
    <t>Ahmed Johnson</t>
  </si>
  <si>
    <t>ORD-10759</t>
  </si>
  <si>
    <t>ORD-11276</t>
  </si>
  <si>
    <t>Barbara Johnson</t>
  </si>
  <si>
    <t>ORD-11950</t>
  </si>
  <si>
    <t>ORD-10994</t>
  </si>
  <si>
    <t>Jessica Nilsson</t>
  </si>
  <si>
    <t>ORD-11908</t>
  </si>
  <si>
    <t>Zara Weber</t>
  </si>
  <si>
    <t>ORD-10741</t>
  </si>
  <si>
    <t>Ivan Ali</t>
  </si>
  <si>
    <t>ORD-11476</t>
  </si>
  <si>
    <t>Ava Rossi</t>
  </si>
  <si>
    <t>ORD-10260</t>
  </si>
  <si>
    <t>Ayumi Taylor</t>
  </si>
  <si>
    <t>ORD-10967</t>
  </si>
  <si>
    <t>ORD-11242</t>
  </si>
  <si>
    <t>Clara Müller</t>
  </si>
  <si>
    <t>ORD-10029</t>
  </si>
  <si>
    <t>Clara Ali</t>
  </si>
  <si>
    <t>ORD-10815</t>
  </si>
  <si>
    <t>ORD-11948</t>
  </si>
  <si>
    <t>Ingrid Santos</t>
  </si>
  <si>
    <t>ORD-10588</t>
  </si>
  <si>
    <t>Patricia Costa</t>
  </si>
  <si>
    <t>ORD-10761</t>
  </si>
  <si>
    <t>Liam Russo</t>
  </si>
  <si>
    <t>ORD-11477</t>
  </si>
  <si>
    <t>Karen Romano</t>
  </si>
  <si>
    <t>ORD-11880</t>
  </si>
  <si>
    <t>Richard Park</t>
  </si>
  <si>
    <t>ORD-11764</t>
  </si>
  <si>
    <t>ORD-11426</t>
  </si>
  <si>
    <t>Jamal Chen</t>
  </si>
  <si>
    <t>ORD-11195</t>
  </si>
  <si>
    <t>Nadia Robinson</t>
  </si>
  <si>
    <t>ORD-11309</t>
  </si>
  <si>
    <t>Giulia Johansson</t>
  </si>
  <si>
    <t>ORD-10654</t>
  </si>
  <si>
    <t>Pierre Ahmed</t>
  </si>
  <si>
    <t>ORD-11517</t>
  </si>
  <si>
    <t>Zara Davis</t>
  </si>
  <si>
    <t>ORD-10241</t>
  </si>
  <si>
    <t>Liam Taylor</t>
  </si>
  <si>
    <t>ORD-10808</t>
  </si>
  <si>
    <t>ORD-10899</t>
  </si>
  <si>
    <t>ORD-11129</t>
  </si>
  <si>
    <t>Jamal Taylor</t>
  </si>
  <si>
    <t>ORD-10026</t>
  </si>
  <si>
    <t>Layla Ahmed</t>
  </si>
  <si>
    <t>ORD-11083</t>
  </si>
  <si>
    <t>ORD-10948</t>
  </si>
  <si>
    <t>ORD-11036</t>
  </si>
  <si>
    <t>David Rossi</t>
  </si>
  <si>
    <t>ORD-11331</t>
  </si>
  <si>
    <t>Thomas Thomas</t>
  </si>
  <si>
    <t>ORD-10975</t>
  </si>
  <si>
    <t>Oscar Nilsson</t>
  </si>
  <si>
    <t>ORD-10074</t>
  </si>
  <si>
    <t>Nadia Oliveira</t>
  </si>
  <si>
    <t>ORD-11866</t>
  </si>
  <si>
    <t>ORD-10807</t>
  </si>
  <si>
    <t>ORD-11852</t>
  </si>
  <si>
    <t>ORD-10259</t>
  </si>
  <si>
    <t>Sakura Costa</t>
  </si>
  <si>
    <t>ORD-10973</t>
  </si>
  <si>
    <t>Richard Rossi</t>
  </si>
  <si>
    <t>ORD-10497</t>
  </si>
  <si>
    <t>ORD-11804</t>
  </si>
  <si>
    <t>Jamal Kim</t>
  </si>
  <si>
    <t>ORD-11381</t>
  </si>
  <si>
    <t>Sophie Ahmed</t>
  </si>
  <si>
    <t>ORD-10668</t>
  </si>
  <si>
    <t>Christopher Jackson</t>
  </si>
  <si>
    <t>ORD-10970</t>
  </si>
  <si>
    <t>ORD-11364</t>
  </si>
  <si>
    <t>Barbara Khan</t>
  </si>
  <si>
    <t>ORD-10699</t>
  </si>
  <si>
    <t>ORD-11901</t>
  </si>
  <si>
    <t>ORD-11236</t>
  </si>
  <si>
    <t>Clara Laurent</t>
  </si>
  <si>
    <t>ORD-10215</t>
  </si>
  <si>
    <t>Liam Rodriguez</t>
  </si>
  <si>
    <t>ORD-10702</t>
  </si>
  <si>
    <t>Marco Kim</t>
  </si>
  <si>
    <t>ORD-11730</t>
  </si>
  <si>
    <t>Robert Rodriguez</t>
  </si>
  <si>
    <t>ORD-11359</t>
  </si>
  <si>
    <t>Michael Nilsson</t>
  </si>
  <si>
    <t>ORD-11600</t>
  </si>
  <si>
    <t>Ali Leroy</t>
  </si>
  <si>
    <t>ORD-11282</t>
  </si>
  <si>
    <t>Amir Rodriguez</t>
  </si>
  <si>
    <t>ORD-11421</t>
  </si>
  <si>
    <t>Karen Santos</t>
  </si>
  <si>
    <t>ORD-10655</t>
  </si>
  <si>
    <t>Patricia Ferrari</t>
  </si>
  <si>
    <t>ORD-11194</t>
  </si>
  <si>
    <t>Robert Harris</t>
  </si>
  <si>
    <t>ORD-11403</t>
  </si>
  <si>
    <t>ORD-11606</t>
  </si>
  <si>
    <t>ORD-10601</t>
  </si>
  <si>
    <t>Christopher Martinez</t>
  </si>
  <si>
    <t>ORD-10022</t>
  </si>
  <si>
    <t>Giulia Rodriguez</t>
  </si>
  <si>
    <t>ORD-10249</t>
  </si>
  <si>
    <t>ORD-11042</t>
  </si>
  <si>
    <t>Thomas Laurent</t>
  </si>
  <si>
    <t>ORD-11893</t>
  </si>
  <si>
    <t>ORD-11930</t>
  </si>
  <si>
    <t>Isabella Tanaka</t>
  </si>
  <si>
    <t>ORD-11957</t>
  </si>
  <si>
    <t>Barbara Singh</t>
  </si>
  <si>
    <t>ORD-11351</t>
  </si>
  <si>
    <t>Raj Garcia</t>
  </si>
  <si>
    <t>ORD-11115</t>
  </si>
  <si>
    <t>ORD-11122</t>
  </si>
  <si>
    <t>Isabella Davis</t>
  </si>
  <si>
    <t>ORD-11138</t>
  </si>
  <si>
    <t>Mary Patel</t>
  </si>
  <si>
    <t>ORD-10308</t>
  </si>
  <si>
    <t>Christopher Clark</t>
  </si>
  <si>
    <t>ORD-10644</t>
  </si>
  <si>
    <t>ORD-10805</t>
  </si>
  <si>
    <t>Marco Davis</t>
  </si>
  <si>
    <t>ORD-10993</t>
  </si>
  <si>
    <t>Maria Moreau</t>
  </si>
  <si>
    <t>ORD-11056</t>
  </si>
  <si>
    <t>James Patel</t>
  </si>
  <si>
    <t>ORD-11509</t>
  </si>
  <si>
    <t>Priya Singh</t>
  </si>
  <si>
    <t>ORD-11689</t>
  </si>
  <si>
    <t>Ayumi Smith</t>
  </si>
  <si>
    <t>ORD-11732</t>
  </si>
  <si>
    <t>Emma Clark</t>
  </si>
  <si>
    <t>ORD-10604</t>
  </si>
  <si>
    <t>Li Harris</t>
  </si>
  <si>
    <t>ORD-11436</t>
  </si>
  <si>
    <t>Noah Suzuki</t>
  </si>
  <si>
    <t>ORD-10802</t>
  </si>
  <si>
    <t>ORD-11496</t>
  </si>
  <si>
    <t>Robert Wang</t>
  </si>
  <si>
    <t>ORD-10611</t>
  </si>
  <si>
    <t>Ayumi Pereira</t>
  </si>
  <si>
    <t>ORD-11694</t>
  </si>
  <si>
    <t>Chen Rossi</t>
  </si>
  <si>
    <t>ORD-10506</t>
  </si>
  <si>
    <t>ORD-10509</t>
  </si>
  <si>
    <t>ORD-11744</t>
  </si>
  <si>
    <t>Kenji Smith</t>
  </si>
  <si>
    <t>ORD-11876</t>
  </si>
  <si>
    <t>ORD-10814</t>
  </si>
  <si>
    <t>Patricia Park</t>
  </si>
  <si>
    <t>ORD-11350</t>
  </si>
  <si>
    <t>ORD-11408</t>
  </si>
  <si>
    <t>ORD-11839</t>
  </si>
  <si>
    <t>Li Suzuki</t>
  </si>
  <si>
    <t>ORD-10079</t>
  </si>
  <si>
    <t>Jessica Schmidt</t>
  </si>
  <si>
    <t>ORD-11001</t>
  </si>
  <si>
    <t>ORD-11801</t>
  </si>
  <si>
    <t>Thomas Tanaka</t>
  </si>
  <si>
    <t>ORD-11897</t>
  </si>
  <si>
    <t>ORD-11919</t>
  </si>
  <si>
    <t>Sakura Harris</t>
  </si>
  <si>
    <t>ORD-10730</t>
  </si>
  <si>
    <t>Richard Dubois</t>
  </si>
  <si>
    <t>ORD-11412</t>
  </si>
  <si>
    <t>Raj Yamamoto</t>
  </si>
  <si>
    <t>ORD-10873</t>
  </si>
  <si>
    <t>ORD-11472</t>
  </si>
  <si>
    <t>Amir Taylor</t>
  </si>
  <si>
    <t>ORD-11818</t>
  </si>
  <si>
    <t>Clara Costa</t>
  </si>
  <si>
    <t>ORD-10035</t>
  </si>
  <si>
    <t>Elizabeth Schmidt</t>
  </si>
  <si>
    <t>ORD-11120</t>
  </si>
  <si>
    <t>ORD-10647</t>
  </si>
  <si>
    <t>Ahmed Smith</t>
  </si>
  <si>
    <t>ORD-11796</t>
  </si>
  <si>
    <t>ORD-10657</t>
  </si>
  <si>
    <t>Jamal Singh</t>
  </si>
  <si>
    <t>ORD-11443</t>
  </si>
  <si>
    <t>Ayumi Clark</t>
  </si>
  <si>
    <t>ORD-10481</t>
  </si>
  <si>
    <t>Lucas Yamamoto</t>
  </si>
  <si>
    <t>ORD-11017</t>
  </si>
  <si>
    <t>ORD-11755</t>
  </si>
  <si>
    <t>ORD-10317</t>
  </si>
  <si>
    <t>Ingrid Williams</t>
  </si>
  <si>
    <t>ORD-11275</t>
  </si>
  <si>
    <t>Jennifer Thomas</t>
  </si>
  <si>
    <t>ORD-11471</t>
  </si>
  <si>
    <t>Joseph Weber</t>
  </si>
  <si>
    <t>ORD-11595</t>
  </si>
  <si>
    <t>Hanna Williams</t>
  </si>
  <si>
    <t>ORD-11821</t>
  </si>
  <si>
    <t>ORD-10905</t>
  </si>
  <si>
    <t>ORD-11427</t>
  </si>
  <si>
    <t>Michael Leroy</t>
  </si>
  <si>
    <t>ORD-11511</t>
  </si>
  <si>
    <t>Kenji Johansson</t>
  </si>
  <si>
    <t>ORD-11727</t>
  </si>
  <si>
    <t>Robert Patel</t>
  </si>
  <si>
    <t>ORD-10519</t>
  </si>
  <si>
    <t>ORD-11845</t>
  </si>
  <si>
    <t>Maria Müller</t>
  </si>
  <si>
    <t>ORD-11166</t>
  </si>
  <si>
    <t>ORD-10619</t>
  </si>
  <si>
    <t>John Rodriguez</t>
  </si>
  <si>
    <t>ORD-11249</t>
  </si>
  <si>
    <t>ORD-11308</t>
  </si>
  <si>
    <t>Ivan Leroy</t>
  </si>
  <si>
    <t>ORD-10159</t>
  </si>
  <si>
    <t>ORD-10247</t>
  </si>
  <si>
    <t>Giulia Singh</t>
  </si>
  <si>
    <t>ORD-10444</t>
  </si>
  <si>
    <t>ORD-10136</t>
  </si>
  <si>
    <t>Xiao Weber</t>
  </si>
  <si>
    <t>ORD-10387</t>
  </si>
  <si>
    <t>Jennifer Harris</t>
  </si>
  <si>
    <t>ORD-10751</t>
  </si>
  <si>
    <t>ORD-11820</t>
  </si>
  <si>
    <t>Mia Anderson</t>
  </si>
  <si>
    <t>ORD-10538</t>
  </si>
  <si>
    <t>ORD-11584</t>
  </si>
  <si>
    <t>Richard Zhang</t>
  </si>
  <si>
    <t>ORD-11281</t>
  </si>
  <si>
    <t>Ali Taylor</t>
  </si>
  <si>
    <t>ORD-10348</t>
  </si>
  <si>
    <t>Olivia White</t>
  </si>
  <si>
    <t>ORD-10585</t>
  </si>
  <si>
    <t>Ahmed Zhang</t>
  </si>
  <si>
    <t>ORD-10889</t>
  </si>
  <si>
    <t>ORD-10987</t>
  </si>
  <si>
    <t>Patricia Wang</t>
  </si>
  <si>
    <t>ORD-11487</t>
  </si>
  <si>
    <t>Sakura Zhang</t>
  </si>
  <si>
    <t>ORD-11238</t>
  </si>
  <si>
    <t>Carlos Jones</t>
  </si>
  <si>
    <t>ORD-10894</t>
  </si>
  <si>
    <t>John Martin</t>
  </si>
  <si>
    <t>ORD-11005</t>
  </si>
  <si>
    <t>Emma Anderson</t>
  </si>
  <si>
    <t>ORD-11310</t>
  </si>
  <si>
    <t>Hans Ali</t>
  </si>
  <si>
    <t>ORD-11862</t>
  </si>
  <si>
    <t>Thomas Clark</t>
  </si>
  <si>
    <t>ORD-11221</t>
  </si>
  <si>
    <t>Olivia Kim</t>
  </si>
  <si>
    <t>ORD-11757</t>
  </si>
  <si>
    <t>ORD-11860</t>
  </si>
  <si>
    <t>ORD-10337</t>
  </si>
  <si>
    <t>ORD-11695</t>
  </si>
  <si>
    <t>Sophie Jackson</t>
  </si>
  <si>
    <t>ORD-10774</t>
  </si>
  <si>
    <t>Lucas Tanaka</t>
  </si>
  <si>
    <t>ORD-11193</t>
  </si>
  <si>
    <t>Raj Harris</t>
  </si>
  <si>
    <t>ORD-10331</t>
  </si>
  <si>
    <t>Giulia White</t>
  </si>
  <si>
    <t>ORD-10704</t>
  </si>
  <si>
    <t>Fatima Müller</t>
  </si>
  <si>
    <t>ORD-11754</t>
  </si>
  <si>
    <t>Sakura Chen</t>
  </si>
  <si>
    <t>ORD-10976</t>
  </si>
  <si>
    <t>ORD-10087</t>
  </si>
  <si>
    <t>Omar Schmidt</t>
  </si>
  <si>
    <t>ORD-11637</t>
  </si>
  <si>
    <t>Sarah Brown</t>
  </si>
  <si>
    <t>ORD-11935</t>
  </si>
  <si>
    <t>Isabella Thompson</t>
  </si>
  <si>
    <t>ORD-10541</t>
  </si>
  <si>
    <t>ORD-11429</t>
  </si>
  <si>
    <t>Olga Wang</t>
  </si>
  <si>
    <t>ORD-11614</t>
  </si>
  <si>
    <t>ORD-11856</t>
  </si>
  <si>
    <t>ORD-10255</t>
  </si>
  <si>
    <t>Diego Rossi</t>
  </si>
  <si>
    <t>ORD-10906</t>
  </si>
  <si>
    <t>ORD-11368</t>
  </si>
  <si>
    <t>ORD-10300</t>
  </si>
  <si>
    <t>David Johansson</t>
  </si>
  <si>
    <t>ORD-10803</t>
  </si>
  <si>
    <t>Emma Romano</t>
  </si>
  <si>
    <t>ORD-10264</t>
  </si>
  <si>
    <t>ORD-10615</t>
  </si>
  <si>
    <t>Giulia Smith</t>
  </si>
  <si>
    <t>ORD-11666</t>
  </si>
  <si>
    <t>ORD-10778</t>
  </si>
  <si>
    <t>ORD-11647</t>
  </si>
  <si>
    <t>Emma Chen</t>
  </si>
  <si>
    <t>ORD-11591</t>
  </si>
  <si>
    <t>Priya Romano</t>
  </si>
  <si>
    <t>ORD-11057</t>
  </si>
  <si>
    <t>Ali Müller</t>
  </si>
  <si>
    <t>ORD-11127</t>
  </si>
  <si>
    <t>Diego Weber</t>
  </si>
  <si>
    <t>ORD-11410</t>
  </si>
  <si>
    <t>William Wang</t>
  </si>
  <si>
    <t>ORD-10123</t>
  </si>
  <si>
    <t>Priya Patel</t>
  </si>
  <si>
    <t>ORD-11126</t>
  </si>
  <si>
    <t>David Park</t>
  </si>
  <si>
    <t>ORD-11157</t>
  </si>
  <si>
    <t>James Miller</t>
  </si>
  <si>
    <t>ORD-11219</t>
  </si>
  <si>
    <t>Olga Ali</t>
  </si>
  <si>
    <t>ORD-11438</t>
  </si>
  <si>
    <t>ORD-11493</t>
  </si>
  <si>
    <t>Amina Khan</t>
  </si>
  <si>
    <t>ORD-10684</t>
  </si>
  <si>
    <t>Ingrid Clark</t>
  </si>
  <si>
    <t>ORD-11089</t>
  </si>
  <si>
    <t>Hans Zhang</t>
  </si>
  <si>
    <t>ORD-11190</t>
  </si>
  <si>
    <t>Jennifer Leroy</t>
  </si>
  <si>
    <t>ORD-11312</t>
  </si>
  <si>
    <t>Ahmed Hassan</t>
  </si>
  <si>
    <t>ORD-11485</t>
  </si>
  <si>
    <t>Joseph Garcia</t>
  </si>
  <si>
    <t>ORD-10148</t>
  </si>
  <si>
    <t>Sarah Smith</t>
  </si>
  <si>
    <t>ORD-10679</t>
  </si>
  <si>
    <t>Sophie Jones</t>
  </si>
  <si>
    <t>ORD-11027</t>
  </si>
  <si>
    <t>ORD-10990</t>
  </si>
  <si>
    <t>ORD-11848</t>
  </si>
  <si>
    <t>Richard Weber</t>
  </si>
  <si>
    <t>ORD-10080</t>
  </si>
  <si>
    <t>Hans Sharma</t>
  </si>
  <si>
    <t>ORD-10187</t>
  </si>
  <si>
    <t>ORD-10198</t>
  </si>
  <si>
    <t>ORD-11003</t>
  </si>
  <si>
    <t>Layla Jackson</t>
  </si>
  <si>
    <t>ORD-11524</t>
  </si>
  <si>
    <t>ORD-11540</t>
  </si>
  <si>
    <t>ORD-11554</t>
  </si>
  <si>
    <t>Hanna Li</t>
  </si>
  <si>
    <t>ORD-11278</t>
  </si>
  <si>
    <t>Wei Anderson</t>
  </si>
  <si>
    <t>ORD-11829</t>
  </si>
  <si>
    <t>ORD-10966</t>
  </si>
  <si>
    <t>ORD-11078</t>
  </si>
  <si>
    <t>Layla Leroy</t>
  </si>
  <si>
    <t>ORD-11656</t>
  </si>
  <si>
    <t>ORD-10634</t>
  </si>
  <si>
    <t>Priya Sharma</t>
  </si>
  <si>
    <t>ORD-11841</t>
  </si>
  <si>
    <t>Pierre Garcia</t>
  </si>
  <si>
    <t>ORD-10172</t>
  </si>
  <si>
    <t>Amina Singh</t>
  </si>
  <si>
    <t>ORD-10626</t>
  </si>
  <si>
    <t>David Chen</t>
  </si>
  <si>
    <t>ORD-11577</t>
  </si>
  <si>
    <t>Xiao White</t>
  </si>
  <si>
    <t>ORD-10027</t>
  </si>
  <si>
    <t>Pierre Pereira</t>
  </si>
  <si>
    <t>ORD-11416</t>
  </si>
  <si>
    <t>ORD-11879</t>
  </si>
  <si>
    <t>ORD-10854</t>
  </si>
  <si>
    <t>Ingrid Robinson</t>
  </si>
  <si>
    <t>ORD-10244</t>
  </si>
  <si>
    <t>ORD-10756</t>
  </si>
  <si>
    <t>Lucas Costa</t>
  </si>
  <si>
    <t>ORD-10289</t>
  </si>
  <si>
    <t>ORD-10982</t>
  </si>
  <si>
    <t>Sophie Johnson</t>
  </si>
  <si>
    <t>ORD-11772</t>
  </si>
  <si>
    <t>Christopher Tanaka</t>
  </si>
  <si>
    <t>ORD-10371</t>
  </si>
  <si>
    <t>Sophie Rossi</t>
  </si>
  <si>
    <t>ORD-10856</t>
  </si>
  <si>
    <t>Raj Pereira</t>
  </si>
  <si>
    <t>ORD-10191</t>
  </si>
  <si>
    <t>ORD-11469</t>
  </si>
  <si>
    <t>ORD-11952</t>
  </si>
  <si>
    <t>Hanna Rodriguez</t>
  </si>
  <si>
    <t>ORD-11041</t>
  </si>
  <si>
    <t>ORD-11317</t>
  </si>
  <si>
    <t>John Pereira</t>
  </si>
  <si>
    <t>ORD-11405</t>
  </si>
  <si>
    <t>Layla Ferrari</t>
  </si>
  <si>
    <t>ORD-11819</t>
  </si>
  <si>
    <t>Mia Johansson</t>
  </si>
  <si>
    <t>ORD-10293</t>
  </si>
  <si>
    <t>Emma Wang</t>
  </si>
  <si>
    <t>ORD-10485</t>
  </si>
  <si>
    <t>Omar Patel</t>
  </si>
  <si>
    <t>ORD-10490</t>
  </si>
  <si>
    <t>ORD-11756</t>
  </si>
  <si>
    <t>Jessica Brown</t>
  </si>
  <si>
    <t>ORD-10135</t>
  </si>
  <si>
    <t>ORD-10698</t>
  </si>
  <si>
    <t>Joseph Thompson</t>
  </si>
  <si>
    <t>ORD-10911</t>
  </si>
  <si>
    <t>Xiao Sharma</t>
  </si>
  <si>
    <t>ORD-11206</t>
  </si>
  <si>
    <t>Christopher Jones</t>
  </si>
  <si>
    <t>ORD-11578</t>
  </si>
  <si>
    <t>Sarah Leroy</t>
  </si>
  <si>
    <t>ORD-11677</t>
  </si>
  <si>
    <t>Robert Davis</t>
  </si>
  <si>
    <t>ORD-10081</t>
  </si>
  <si>
    <t>ORD-10618</t>
  </si>
  <si>
    <t>Isabella Nilsson</t>
  </si>
  <si>
    <t>ORD-11389</t>
  </si>
  <si>
    <t>ORD-11495</t>
  </si>
  <si>
    <t>Joseph Schmidt</t>
  </si>
  <si>
    <t>ORD-11913</t>
  </si>
  <si>
    <t>Richard Williams</t>
  </si>
  <si>
    <t>ORD-10002</t>
  </si>
  <si>
    <t>Patricia Leroy</t>
  </si>
  <si>
    <t>ORD-10324</t>
  </si>
  <si>
    <t>Nadia Rodriguez</t>
  </si>
  <si>
    <t>ORD-10849</t>
  </si>
  <si>
    <t>ORD-10039</t>
  </si>
  <si>
    <t>Oscar Ali</t>
  </si>
  <si>
    <t>ORD-10158</t>
  </si>
  <si>
    <t>David Fischer</t>
  </si>
  <si>
    <t>ORD-10267</t>
  </si>
  <si>
    <t>Barbara White</t>
  </si>
  <si>
    <t>ORD-11873</t>
  </si>
  <si>
    <t>Susan Garcia</t>
  </si>
  <si>
    <t>ORD-10692</t>
  </si>
  <si>
    <t>Sakura Davis</t>
  </si>
  <si>
    <t>ORD-11014</t>
  </si>
  <si>
    <t>ORD-11563</t>
  </si>
  <si>
    <t>Oscar Martin</t>
  </si>
  <si>
    <t>ORD-10764</t>
  </si>
  <si>
    <t>ORD-11386</t>
  </si>
  <si>
    <t>ORD-11397</t>
  </si>
  <si>
    <t>Thomas Zhang</t>
  </si>
  <si>
    <t>ORD-11538</t>
  </si>
  <si>
    <t>ORD-11978</t>
  </si>
  <si>
    <t>ORD-11989</t>
  </si>
  <si>
    <t>Fatima Davis</t>
  </si>
  <si>
    <t>ORD-11459</t>
  </si>
  <si>
    <t>ORD-10789</t>
  </si>
  <si>
    <t>Jamal Hassan</t>
  </si>
  <si>
    <t>ORD-11076</t>
  </si>
  <si>
    <t>ORD-11611</t>
  </si>
  <si>
    <t>ORD-10470</t>
  </si>
  <si>
    <t>Hans Khan</t>
  </si>
  <si>
    <t>ORD-11729</t>
  </si>
  <si>
    <t>ORD-11916</t>
  </si>
  <si>
    <t>ORD-10328</t>
  </si>
  <si>
    <t>Ivan Sharma</t>
  </si>
  <si>
    <t>ORD-10583</t>
  </si>
  <si>
    <t>Christopher Ahmed</t>
  </si>
  <si>
    <t>ORD-10482</t>
  </si>
  <si>
    <t>Hanna Nilsson</t>
  </si>
  <si>
    <t>ORD-10685</t>
  </si>
  <si>
    <t>William Zhang</t>
  </si>
  <si>
    <t>ORD-10946</t>
  </si>
  <si>
    <t>Liam White</t>
  </si>
  <si>
    <t>ORD-11954</t>
  </si>
  <si>
    <t>Kenji Yamamoto</t>
  </si>
  <si>
    <t>ORD-10492</t>
  </si>
  <si>
    <t>ORD-10851</t>
  </si>
  <si>
    <t>Emma Martin</t>
  </si>
  <si>
    <t>ORD-11521</t>
  </si>
  <si>
    <t>Michael Miller</t>
  </si>
  <si>
    <t>ORD-11571</t>
  </si>
  <si>
    <t>Olivia Clark</t>
  </si>
  <si>
    <t>ORD-11528</t>
  </si>
  <si>
    <t>Noah Nilsson</t>
  </si>
  <si>
    <t>ORD-10122</t>
  </si>
  <si>
    <t>William Khan</t>
  </si>
  <si>
    <t>ORD-10612</t>
  </si>
  <si>
    <t>Ingrid Romano</t>
  </si>
  <si>
    <t>ORD-10163</t>
  </si>
  <si>
    <t>ORD-10406</t>
  </si>
  <si>
    <t>Barbara Fischer</t>
  </si>
  <si>
    <t>ORD-10507</t>
  </si>
  <si>
    <t>ORD-11235</t>
  </si>
  <si>
    <t>Ayumi Zhang</t>
  </si>
  <si>
    <t>ORD-10194</t>
  </si>
  <si>
    <t>Patricia Zhang</t>
  </si>
  <si>
    <t>ORD-10206</t>
  </si>
  <si>
    <t>Ava Oliveira</t>
  </si>
  <si>
    <t>ORD-10209</t>
  </si>
  <si>
    <t>ORD-10762</t>
  </si>
  <si>
    <t>ORD-10390</t>
  </si>
  <si>
    <t>Layla Chen</t>
  </si>
  <si>
    <t>ORD-10534</t>
  </si>
  <si>
    <t>Thomas Weber</t>
  </si>
  <si>
    <t>ORD-11645</t>
  </si>
  <si>
    <t>ORD-11536</t>
  </si>
  <si>
    <t>Linda Wang</t>
  </si>
  <si>
    <t>ORD-11725</t>
  </si>
  <si>
    <t>ORD-10181</t>
  </si>
  <si>
    <t>ORD-10423</t>
  </si>
  <si>
    <t>Amina Tanaka</t>
  </si>
  <si>
    <t>ORD-10784</t>
  </si>
  <si>
    <t>Christopher Hassan</t>
  </si>
  <si>
    <t>ORD-11616</t>
  </si>
  <si>
    <t>Sarah Hassan</t>
  </si>
  <si>
    <t>ORD-10597</t>
  </si>
  <si>
    <t>Thomas Brown</t>
  </si>
  <si>
    <t>ORD-10974</t>
  </si>
  <si>
    <t>ORD-11013</t>
  </si>
  <si>
    <t>ORD-11486</t>
  </si>
  <si>
    <t>ORD-10622</t>
  </si>
  <si>
    <t>ORD-11736</t>
  </si>
  <si>
    <t>ORD-11844</t>
  </si>
  <si>
    <t>Linda Johnson</t>
  </si>
  <si>
    <t>ORD-11985</t>
  </si>
  <si>
    <t>Richard Leroy</t>
  </si>
  <si>
    <t>ORD-10777</t>
  </si>
  <si>
    <t>ORD-11116</t>
  </si>
  <si>
    <t>Mia Brown</t>
  </si>
  <si>
    <t>ORD-10270</t>
  </si>
  <si>
    <t>Ahmed Weber</t>
  </si>
  <si>
    <t>ORD-11392</t>
  </si>
  <si>
    <t>Diego Li</t>
  </si>
  <si>
    <t>ORD-11662</t>
  </si>
  <si>
    <t>Jennifer Thompson</t>
  </si>
  <si>
    <t>ORD-11722</t>
  </si>
  <si>
    <t>ORD-11050</t>
  </si>
  <si>
    <t>ORD-11800</t>
  </si>
  <si>
    <t>Ethan Jones</t>
  </si>
  <si>
    <t>ORD-10304</t>
  </si>
  <si>
    <t>ORD-10428</t>
  </si>
  <si>
    <t>Felix Patel</t>
  </si>
  <si>
    <t>ORD-11134</t>
  </si>
  <si>
    <t>ORD-11313</t>
  </si>
  <si>
    <t>Clara Moreau</t>
  </si>
  <si>
    <t>ORD-11243</t>
  </si>
  <si>
    <t>Isabella Russo</t>
  </si>
  <si>
    <t>ORD-11097</t>
  </si>
  <si>
    <t>ORD-11105</t>
  </si>
  <si>
    <t>Diego Suzuki</t>
  </si>
  <si>
    <t>ORD-11878</t>
  </si>
  <si>
    <t>Sophie Chen</t>
  </si>
  <si>
    <t>ORD-10357</t>
  </si>
  <si>
    <t>ORD-11377</t>
  </si>
  <si>
    <t>Giulia Müller</t>
  </si>
  <si>
    <t>ORD-10617</t>
  </si>
  <si>
    <t>Yuki Suzuki</t>
  </si>
  <si>
    <t>ORD-10797</t>
  </si>
  <si>
    <t>ORD-10886</t>
  </si>
  <si>
    <t>ORD-11185</t>
  </si>
  <si>
    <t>William Garcia</t>
  </si>
  <si>
    <t>ORD-11382</t>
  </si>
  <si>
    <t>Ivan Santos</t>
  </si>
  <si>
    <t>ORD-10870</t>
  </si>
  <si>
    <t>Emma Jones</t>
  </si>
  <si>
    <t>ORD-10535</t>
  </si>
  <si>
    <t>Liam Zhang</t>
  </si>
  <si>
    <t>ORD-10570</t>
  </si>
  <si>
    <t>Felix Pereira</t>
  </si>
  <si>
    <t>ORD-11320</t>
  </si>
  <si>
    <t>ORD-10735</t>
  </si>
  <si>
    <t>Ali Yamamoto</t>
  </si>
  <si>
    <t>ORD-10200</t>
  </si>
  <si>
    <t>ORD-10776</t>
  </si>
  <si>
    <t>Karen Yamamoto</t>
  </si>
  <si>
    <t>ORD-11022</t>
  </si>
  <si>
    <t>Amina Anderson</t>
  </si>
  <si>
    <t>ORD-10033</t>
  </si>
  <si>
    <t>Olga Johansson</t>
  </si>
  <si>
    <t>ORD-11875</t>
  </si>
  <si>
    <t>David Kumar</t>
  </si>
  <si>
    <t>ORD-11958</t>
  </si>
  <si>
    <t>Susan Harris</t>
  </si>
  <si>
    <t>ORD-10564</t>
  </si>
  <si>
    <t>Christopher Chen</t>
  </si>
  <si>
    <t>ORD-10630</t>
  </si>
  <si>
    <t>Carlos Jackson</t>
  </si>
  <si>
    <t>ORD-10639</t>
  </si>
  <si>
    <t>Hans Ferrari</t>
  </si>
  <si>
    <t>ORD-11585</t>
  </si>
  <si>
    <t>Clara Martinez</t>
  </si>
  <si>
    <t>ORD-11963</t>
  </si>
  <si>
    <t>ORD-10522</t>
  </si>
  <si>
    <t>ORD-11032</t>
  </si>
  <si>
    <t>ORD-11425</t>
  </si>
  <si>
    <t>ORD-11602</t>
  </si>
  <si>
    <t>ORD-11865</t>
  </si>
  <si>
    <t>Olga Yamamoto</t>
  </si>
  <si>
    <t>ORD-11907</t>
  </si>
  <si>
    <t>Nadia Thomas</t>
  </si>
  <si>
    <t>ORD-10232</t>
  </si>
  <si>
    <t>ORD-10829</t>
  </si>
  <si>
    <t>ORD-10914</t>
  </si>
  <si>
    <t>ORD-10656</t>
  </si>
  <si>
    <t>ORD-11872</t>
  </si>
  <si>
    <t>Noah Tanaka</t>
  </si>
  <si>
    <t>ORD-10834</t>
  </si>
  <si>
    <t>Chen Khan</t>
  </si>
  <si>
    <t>ORD-11775</t>
  </si>
  <si>
    <t>Ayumi Romano</t>
  </si>
  <si>
    <t>ORD-10479</t>
  </si>
  <si>
    <t>Joseph Clark</t>
  </si>
  <si>
    <t>ORD-10161</t>
  </si>
  <si>
    <t>ORD-10596</t>
  </si>
  <si>
    <t>Elizabeth Park</t>
  </si>
  <si>
    <t>ORD-11574</t>
  </si>
  <si>
    <t>ORD-10859</t>
  </si>
  <si>
    <t>ORD-10285</t>
  </si>
  <si>
    <t>ORD-10995</t>
  </si>
  <si>
    <t>Olivia Schmidt</t>
  </si>
  <si>
    <t>ORD-11291</t>
  </si>
  <si>
    <t>ORD-11983</t>
  </si>
  <si>
    <t>Clara Sharma</t>
  </si>
  <si>
    <t>ORD-10553</t>
  </si>
  <si>
    <t>Hanna Fischer</t>
  </si>
  <si>
    <t>ORD-11640</t>
  </si>
  <si>
    <t>ORD-10101</t>
  </si>
  <si>
    <t>ORD-11004</t>
  </si>
  <si>
    <t>Marco Ferrari</t>
  </si>
  <si>
    <t>ORD-11114</t>
  </si>
  <si>
    <t>Sakura Kim</t>
  </si>
  <si>
    <t>ORD-11388</t>
  </si>
  <si>
    <t>Chen Ali</t>
  </si>
  <si>
    <t>ORD-10526</t>
  </si>
  <si>
    <t>ORD-10740</t>
  </si>
  <si>
    <t>ORD-11305</t>
  </si>
  <si>
    <t>Clara Martin</t>
  </si>
  <si>
    <t>ORD-11937</t>
  </si>
  <si>
    <t>Carlos Tanaka</t>
  </si>
  <si>
    <t>ORD-10959</t>
  </si>
  <si>
    <t>Ethan Thomas</t>
  </si>
  <si>
    <t>ORD-11527</t>
  </si>
  <si>
    <t>Elizabeth Santos</t>
  </si>
  <si>
    <t>ORD-10192</t>
  </si>
  <si>
    <t>Wei Laurent</t>
  </si>
  <si>
    <t>ORD-10465</t>
  </si>
  <si>
    <t>ORD-10782</t>
  </si>
  <si>
    <t>ORD-11016</t>
  </si>
  <si>
    <t>ORD-11150</t>
  </si>
  <si>
    <t>ORD-11213</t>
  </si>
  <si>
    <t>David Nilsson</t>
  </si>
  <si>
    <t>ORD-11630</t>
  </si>
  <si>
    <t>Giulia Russo</t>
  </si>
  <si>
    <t>ORD-10089</t>
  </si>
  <si>
    <t>ORD-10598</t>
  </si>
  <si>
    <t>Ingrid Pereira</t>
  </si>
  <si>
    <t>ORD-10094</t>
  </si>
  <si>
    <t>Patricia Garcia</t>
  </si>
  <si>
    <t>ORD-11072</t>
  </si>
  <si>
    <t>Oscar Chen</t>
  </si>
  <si>
    <t>ORD-10603</t>
  </si>
  <si>
    <t>ORD-10875</t>
  </si>
  <si>
    <t>Patricia Pereira</t>
  </si>
  <si>
    <t>ORD-11516</t>
  </si>
  <si>
    <t>Michael Ahmed</t>
  </si>
  <si>
    <t>ORD-11854</t>
  </si>
  <si>
    <t>Richard Sharma</t>
  </si>
  <si>
    <t>ORD-10205</t>
  </si>
  <si>
    <t>Clara Dubois</t>
  </si>
  <si>
    <t>ORD-10334</t>
  </si>
  <si>
    <t>Ethan Santos</t>
  </si>
  <si>
    <t>ORD-10895</t>
  </si>
  <si>
    <t>Mary Anderson</t>
  </si>
  <si>
    <t>ORD-11012</t>
  </si>
  <si>
    <t>Diego Russo</t>
  </si>
  <si>
    <t>ORD-11063</t>
  </si>
  <si>
    <t>ORD-10036</t>
  </si>
  <si>
    <t>Xiao Brown</t>
  </si>
  <si>
    <t>ORD-10280</t>
  </si>
  <si>
    <t>ORD-11214</t>
  </si>
  <si>
    <t>Hanna Park</t>
  </si>
  <si>
    <t>ORD-10065</t>
  </si>
  <si>
    <t>ORD-10934</t>
  </si>
  <si>
    <t>Clara Brown</t>
  </si>
  <si>
    <t>ORD-11400</t>
  </si>
  <si>
    <t>Linda Hassan</t>
  </si>
  <si>
    <t>ORD-10115</t>
  </si>
  <si>
    <t>ORD-11977</t>
  </si>
  <si>
    <t>Li Smith</t>
  </si>
  <si>
    <t>ORD-10683</t>
  </si>
  <si>
    <t>Mia Wang</t>
  </si>
  <si>
    <t>ORD-10913</t>
  </si>
  <si>
    <t>Nadia Leroy</t>
  </si>
  <si>
    <t>ORD-11241</t>
  </si>
  <si>
    <t>ORD-11525</t>
  </si>
  <si>
    <t>ORD-11923</t>
  </si>
  <si>
    <t>ORD-10226</t>
  </si>
  <si>
    <t>Jennifer White</t>
  </si>
  <si>
    <t>ORD-10477</t>
  </si>
  <si>
    <t>Jessica Johnson</t>
  </si>
  <si>
    <t>ORD-10746</t>
  </si>
  <si>
    <t>Ivan Laurent</t>
  </si>
  <si>
    <t>ORD-11095</t>
  </si>
  <si>
    <t>ORD-11838</t>
  </si>
  <si>
    <t>Barbara Robinson</t>
  </si>
  <si>
    <t>ORD-11118</t>
  </si>
  <si>
    <t>Mia Johnson</t>
  </si>
  <si>
    <t>ORD-11439</t>
  </si>
  <si>
    <t>ORD-10770</t>
  </si>
  <si>
    <t>ORD-11176</t>
  </si>
  <si>
    <t>Carlos Thomas</t>
  </si>
  <si>
    <t>ORD-10310</t>
  </si>
  <si>
    <t>Michael Oliveira</t>
  </si>
  <si>
    <t>ORD-10397</t>
  </si>
  <si>
    <t>Yuki Robinson</t>
  </si>
  <si>
    <t>ORD-11289</t>
  </si>
  <si>
    <t>ORD-10627</t>
  </si>
  <si>
    <t>Oscar Müller</t>
  </si>
  <si>
    <t>ORD-10410</t>
  </si>
  <si>
    <t>Karen Patel</t>
  </si>
  <si>
    <t>ORD-11465</t>
  </si>
  <si>
    <t>Kenji Santos</t>
  </si>
  <si>
    <t>ORD-11264</t>
  </si>
  <si>
    <t>Sophie Sato</t>
  </si>
  <si>
    <t>ORD-11619</t>
  </si>
  <si>
    <t>Emma Sato</t>
  </si>
  <si>
    <t>ORD-10670</t>
  </si>
  <si>
    <t>ORD-10118</t>
  </si>
  <si>
    <t>Noah Rodriguez</t>
  </si>
  <si>
    <t>ORD-11621</t>
  </si>
  <si>
    <t>ORD-10985</t>
  </si>
  <si>
    <t>ORD-11180</t>
  </si>
  <si>
    <t>Robert Thomas</t>
  </si>
  <si>
    <t>ORD-10763</t>
  </si>
  <si>
    <t>ORD-11112</t>
  </si>
  <si>
    <t>Felix Leroy</t>
  </si>
  <si>
    <t>ORD-10369</t>
  </si>
  <si>
    <t>Wei Sharma</t>
  </si>
  <si>
    <t>ORD-10800</t>
  </si>
  <si>
    <t>Kenji Williams</t>
  </si>
  <si>
    <t>ORD-11420</t>
  </si>
  <si>
    <t>ORD-11366</t>
  </si>
  <si>
    <t>Ingrid Nilsson</t>
  </si>
  <si>
    <t>ORD-10393</t>
  </si>
  <si>
    <t>ORD-11899</t>
  </si>
  <si>
    <t>Ivan Nilsson</t>
  </si>
  <si>
    <t>ORD-10028</t>
  </si>
  <si>
    <t>ORD-11669</t>
  </si>
  <si>
    <t>Amina Sharma</t>
  </si>
  <si>
    <t>ORD-10451</t>
  </si>
  <si>
    <t>ORD-10221</t>
  </si>
  <si>
    <t>James Williams</t>
  </si>
  <si>
    <t>ORD-11905</t>
  </si>
  <si>
    <t>Xiao Santos</t>
  </si>
  <si>
    <t>ORD-10781</t>
  </si>
  <si>
    <t>ORD-11354</t>
  </si>
  <si>
    <t>ORD-10287</t>
  </si>
  <si>
    <t>Hans Oliveira</t>
  </si>
  <si>
    <t>ORD-10164</t>
  </si>
  <si>
    <t>ORD-10739</t>
  </si>
  <si>
    <t>Amir Brown</t>
  </si>
  <si>
    <t>ORD-10307</t>
  </si>
  <si>
    <t>Ali Kim</t>
  </si>
  <si>
    <t>ORD-10610</t>
  </si>
  <si>
    <t>ORD-11971</t>
  </si>
  <si>
    <t>William Martin</t>
  </si>
  <si>
    <t>ORD-10458</t>
  </si>
  <si>
    <t>ORD-11140</t>
  </si>
  <si>
    <t>Jennifer Robinson</t>
  </si>
  <si>
    <t>ORD-10037</t>
  </si>
  <si>
    <t>Ivan Costa</t>
  </si>
  <si>
    <t>ORD-11894</t>
  </si>
  <si>
    <t>Elizabeth Miller</t>
  </si>
  <si>
    <t>ORD-10486</t>
  </si>
  <si>
    <t>Lucas Romano</t>
  </si>
  <si>
    <t>ORD-10351</t>
  </si>
  <si>
    <t>Fatima Johnson</t>
  </si>
  <si>
    <t>ORD-10798</t>
  </si>
  <si>
    <t>Pierre Anderson</t>
  </si>
  <si>
    <t>ORD-10965</t>
  </si>
  <si>
    <t>ORD-11990</t>
  </si>
  <si>
    <t>Jennifer Clark</t>
  </si>
  <si>
    <t>ORD-10986</t>
  </si>
  <si>
    <t>ORD-11620</t>
  </si>
  <si>
    <t>Pierre Costa</t>
  </si>
  <si>
    <t>ORD-10771</t>
  </si>
  <si>
    <t>Ayumi Singh</t>
  </si>
  <si>
    <t>ORD-11087</t>
  </si>
  <si>
    <t>ORD-11075</t>
  </si>
  <si>
    <t>Nadia Ahmed</t>
  </si>
  <si>
    <t>ORD-10053</t>
  </si>
  <si>
    <t>ORD-11086</t>
  </si>
  <si>
    <t>Amina Nilsson</t>
  </si>
  <si>
    <t>ORD-10166</t>
  </si>
  <si>
    <t>Jennifer Pereira</t>
  </si>
  <si>
    <t>ORD-10185</t>
  </si>
  <si>
    <t>ORD-10234</t>
  </si>
  <si>
    <t>Sophie Sharma</t>
  </si>
  <si>
    <t>ORD-10145</t>
  </si>
  <si>
    <t>ORD-10671</t>
  </si>
  <si>
    <t>Diego Sharma</t>
  </si>
  <si>
    <t>ORD-11794</t>
  </si>
  <si>
    <t>ORD-10111</t>
  </si>
  <si>
    <t>Sakura Nilsson</t>
  </si>
  <si>
    <t>ORD-10643</t>
  </si>
  <si>
    <t>Marco Tanaka</t>
  </si>
  <si>
    <t>ORD-11831</t>
  </si>
  <si>
    <t>ORD-10555</t>
  </si>
  <si>
    <t>Ahmed Russo</t>
  </si>
  <si>
    <t>ORD-11046</t>
  </si>
  <si>
    <t>ORD-11931</t>
  </si>
  <si>
    <t>Kenji Miller</t>
  </si>
  <si>
    <t>ORD-10133</t>
  </si>
  <si>
    <t>ORD-10282</t>
  </si>
  <si>
    <t>ORD-10290</t>
  </si>
  <si>
    <t>Isabella Smith</t>
  </si>
  <si>
    <t>ORD-10862</t>
  </si>
  <si>
    <t>Isabella Khan</t>
  </si>
  <si>
    <t>ORD-11715</t>
  </si>
  <si>
    <t>Olga Weber</t>
  </si>
  <si>
    <t>ORD-11753</t>
  </si>
  <si>
    <t>Christopher Rodriguez</t>
  </si>
  <si>
    <t>ORD-10047</t>
  </si>
  <si>
    <t>ORD-10235</t>
  </si>
  <si>
    <t>Robert Tanaka</t>
  </si>
  <si>
    <t>ORD-10386</t>
  </si>
  <si>
    <t>Amir Dubois</t>
  </si>
  <si>
    <t>ORD-10501</t>
  </si>
  <si>
    <t>Clara Hassan</t>
  </si>
  <si>
    <t>ORD-10628</t>
  </si>
  <si>
    <t>Joseph Wang</t>
  </si>
  <si>
    <t>ORD-11748</t>
  </si>
  <si>
    <t>Susan Laurent</t>
  </si>
  <si>
    <t>ORD-10536</t>
  </si>
  <si>
    <t>ORD-10653</t>
  </si>
  <si>
    <t>Amir Ferrari</t>
  </si>
  <si>
    <t>ORD-11721</t>
  </si>
  <si>
    <t>Elizabeth Zhang</t>
  </si>
  <si>
    <t>ORD-10548</t>
  </si>
  <si>
    <t>Chen Chen</t>
  </si>
  <si>
    <t>ORD-10940</t>
  </si>
  <si>
    <t>ORD-11541</t>
  </si>
  <si>
    <t>Sarah Weber</t>
  </si>
  <si>
    <t>ORD-10313</t>
  </si>
  <si>
    <t>Noah Fischer</t>
  </si>
  <si>
    <t>ORD-10319</t>
  </si>
  <si>
    <t>ORD-10269</t>
  </si>
  <si>
    <t>Chen Martinez</t>
  </si>
  <si>
    <t>ORD-10505</t>
  </si>
  <si>
    <t>Fatima Weber</t>
  </si>
  <si>
    <t>ORD-10960</t>
  </si>
  <si>
    <t>Olivia Ali</t>
  </si>
  <si>
    <t>ORD-11040</t>
  </si>
  <si>
    <t>Diego Ferrari</t>
  </si>
  <si>
    <t>ORD-10552</t>
  </si>
  <si>
    <t>ORD-10689</t>
  </si>
  <si>
    <t>Layla Sharma</t>
  </si>
  <si>
    <t>ORD-10972</t>
  </si>
  <si>
    <t>ORD-10170</t>
  </si>
  <si>
    <t>ORD-11044</t>
  </si>
  <si>
    <t>Ingrid Wang</t>
  </si>
  <si>
    <t>ORD-10850</t>
  </si>
  <si>
    <t>ORD-11071</t>
  </si>
  <si>
    <t>ORD-10195</t>
  </si>
  <si>
    <t>Maria Ahmed</t>
  </si>
  <si>
    <t>ORD-10204</t>
  </si>
  <si>
    <t>ORD-10542</t>
  </si>
  <si>
    <t>Thomas Hassan</t>
  </si>
  <si>
    <t>ORD-10368</t>
  </si>
  <si>
    <t>Yuki Miller</t>
  </si>
  <si>
    <t>ORD-11945</t>
  </si>
  <si>
    <t>Sakura Rossi</t>
  </si>
  <si>
    <t>ORD-10179</t>
  </si>
  <si>
    <t>ORD-10299</t>
  </si>
  <si>
    <t>Michael Park</t>
  </si>
  <si>
    <t>ORD-11130</t>
  </si>
  <si>
    <t>James Santos</t>
  </si>
  <si>
    <t>ORD-11984</t>
  </si>
  <si>
    <t>Linda Khan</t>
  </si>
  <si>
    <t>ORD-11703</t>
  </si>
  <si>
    <t>Zara Oliveira</t>
  </si>
  <si>
    <t>ORD-10918</t>
  </si>
  <si>
    <t>ORD-11055</t>
  </si>
  <si>
    <t>David Williams</t>
  </si>
  <si>
    <t>ORD-11567</t>
  </si>
  <si>
    <t>ORD-10649</t>
  </si>
  <si>
    <t>Wei Zhang</t>
  </si>
  <si>
    <t>ORD-10238</t>
  </si>
  <si>
    <t>ORD-10719</t>
  </si>
  <si>
    <t>Sophie Tanaka</t>
  </si>
  <si>
    <t>ORD-10890</t>
  </si>
  <si>
    <t>Olga Garcia</t>
  </si>
  <si>
    <t>ORD-11052</t>
  </si>
  <si>
    <t>Lucas Hassan</t>
  </si>
  <si>
    <t>ORD-11200</t>
  </si>
  <si>
    <t>ORD-11081</t>
  </si>
  <si>
    <t>Amir Williams</t>
  </si>
  <si>
    <t>ORD-11832</t>
  </si>
  <si>
    <t>Giulia Garcia</t>
  </si>
  <si>
    <t>ORD-10836</t>
  </si>
  <si>
    <t>ORD-10981</t>
  </si>
  <si>
    <t>Sophie Leroy</t>
  </si>
  <si>
    <t>ORD-11230</t>
  </si>
  <si>
    <t>ORD-11975</t>
  </si>
  <si>
    <t>ORD-10214</t>
  </si>
  <si>
    <t>Felix Robinson</t>
  </si>
  <si>
    <t>ORD-11024</t>
  </si>
  <si>
    <t>Zara Wang</t>
  </si>
  <si>
    <t>ORD-11096</t>
  </si>
  <si>
    <t>ORD-11285</t>
  </si>
  <si>
    <t>ORD-10068</t>
  </si>
  <si>
    <t>Amir Tanaka</t>
  </si>
  <si>
    <t>ORD-10099</t>
  </si>
  <si>
    <t>ORD-10284</t>
  </si>
  <si>
    <t>Michael Smith</t>
  </si>
  <si>
    <t>ORD-10930</t>
  </si>
  <si>
    <t>ORD-11283</t>
  </si>
  <si>
    <t>ORD-11051</t>
  </si>
  <si>
    <t>Jennifer Dubois</t>
  </si>
  <si>
    <t>ORD-11201</t>
  </si>
  <si>
    <t>Elizabeth Garcia</t>
  </si>
  <si>
    <t>ORD-11266</t>
  </si>
  <si>
    <t>ORD-11360</t>
  </si>
  <si>
    <t>ORD-11842</t>
  </si>
  <si>
    <t>ORD-10097</t>
  </si>
  <si>
    <t>ORD-11482</t>
  </si>
  <si>
    <t>ORD-11752</t>
  </si>
  <si>
    <t>Ahmed Rodriguez</t>
  </si>
  <si>
    <t>ORD-10502</t>
  </si>
  <si>
    <t>ORD-11192</t>
  </si>
  <si>
    <t>Giulia Oliveira</t>
  </si>
  <si>
    <t>ORD-11691</t>
  </si>
  <si>
    <t>ORD-10733</t>
  </si>
  <si>
    <t>Mary Martinez</t>
  </si>
  <si>
    <t>ORD-10809</t>
  </si>
  <si>
    <t>William Rodriguez</t>
  </si>
  <si>
    <t>ORD-10125</t>
  </si>
  <si>
    <t>Priya Harris</t>
  </si>
  <si>
    <t>ORD-10743</t>
  </si>
  <si>
    <t>Liam Smith</t>
  </si>
  <si>
    <t>ORD-10175</t>
  </si>
  <si>
    <t>Jamal Brown</t>
  </si>
  <si>
    <t>ORD-11232</t>
  </si>
  <si>
    <t>Felix Fischer</t>
  </si>
  <si>
    <t>ORD-10431</t>
  </si>
  <si>
    <t>ORD-10729</t>
  </si>
  <si>
    <t>Layla Smith</t>
  </si>
  <si>
    <t>ORD-11215</t>
  </si>
  <si>
    <t>ORD-11197</t>
  </si>
  <si>
    <t>ORD-10216</t>
  </si>
  <si>
    <t>Jennifer Brown</t>
  </si>
  <si>
    <t>ORD-10731</t>
  </si>
  <si>
    <t>Ingrid Jackson</t>
  </si>
  <si>
    <t>ORD-10251</t>
  </si>
  <si>
    <t>ORD-11679</t>
  </si>
  <si>
    <t>ORD-10019</t>
  </si>
  <si>
    <t>Linda Zhang</t>
  </si>
  <si>
    <t>ORD-11773</t>
  </si>
  <si>
    <t>Christopher White</t>
  </si>
  <si>
    <t>ORD-11593</t>
  </si>
  <si>
    <t>ORD-11605</t>
  </si>
  <si>
    <t>ORD-11010</t>
  </si>
  <si>
    <t>Robert Russo</t>
  </si>
  <si>
    <t>ORD-11334</t>
  </si>
  <si>
    <t>Layla Rodriguez</t>
  </si>
  <si>
    <t>ORD-11646</t>
  </si>
  <si>
    <t>ORD-11500</t>
  </si>
  <si>
    <t>ORD-11531</t>
  </si>
  <si>
    <t>Wei White</t>
  </si>
  <si>
    <t>ORD-11972</t>
  </si>
  <si>
    <t>Emma Miller</t>
  </si>
  <si>
    <t>ORD-10566</t>
  </si>
  <si>
    <t>Giulia Harris</t>
  </si>
  <si>
    <t>ORD-11915</t>
  </si>
  <si>
    <t>ORD-11125</t>
  </si>
  <si>
    <t>ORD-11490</t>
  </si>
  <si>
    <t>Wei Jackson</t>
  </si>
  <si>
    <t>ORD-11608</t>
  </si>
  <si>
    <t>Isabella Sato</t>
  </si>
  <si>
    <t>ORD-11119</t>
  </si>
  <si>
    <t>ORD-11743</t>
  </si>
  <si>
    <t>Xiao Jackson</t>
  </si>
  <si>
    <t>ORD-10858</t>
  </si>
  <si>
    <t>Hans Sato</t>
  </si>
  <si>
    <t>ORD-11256</t>
  </si>
  <si>
    <t>Ivan Sato</t>
  </si>
  <si>
    <t>ORD-11940</t>
  </si>
  <si>
    <t>Hanna Hassan</t>
  </si>
  <si>
    <t>ORD-11987</t>
  </si>
  <si>
    <t>Hanna Ferrari</t>
  </si>
  <si>
    <t>ORD-11474</t>
  </si>
  <si>
    <t>ORD-10971</t>
  </si>
  <si>
    <t>ORD-11413</t>
  </si>
  <si>
    <t>Mary Rossi</t>
  </si>
  <si>
    <t>ORD-11492</t>
  </si>
  <si>
    <t>Hans Wang</t>
  </si>
  <si>
    <t>ORD-11741</t>
  </si>
  <si>
    <t>William Ali</t>
  </si>
  <si>
    <t>ORD-10139</t>
  </si>
  <si>
    <t>Olivia Leroy</t>
  </si>
  <si>
    <t>ORD-11028</t>
  </si>
  <si>
    <t>ORD-11543</t>
  </si>
  <si>
    <t>James Rossi</t>
  </si>
  <si>
    <t>ORD-11674</t>
  </si>
  <si>
    <t>ORD-11926</t>
  </si>
  <si>
    <t>Susan Yamamoto</t>
  </si>
  <si>
    <t>ORD-10839</t>
  </si>
  <si>
    <t>ORD-11556</t>
  </si>
  <si>
    <t>ORD-11145</t>
  </si>
  <si>
    <t>ORD-11348</t>
  </si>
  <si>
    <t>Liam Sharma</t>
  </si>
  <si>
    <t>ORD-11970</t>
  </si>
  <si>
    <t>Sophie Zhang</t>
  </si>
  <si>
    <t>ORD-10831</t>
  </si>
  <si>
    <t>ORD-10565</t>
  </si>
  <si>
    <t>ORD-10678</t>
  </si>
  <si>
    <t>ORD-10758</t>
  </si>
  <si>
    <t>Jessica Thomas</t>
  </si>
  <si>
    <t>ORD-11787</t>
  </si>
  <si>
    <t>ORD-10086</t>
  </si>
  <si>
    <t>Joseph Zhang</t>
  </si>
  <si>
    <t>ORD-10682</t>
  </si>
  <si>
    <t>Clara Fischer</t>
  </si>
  <si>
    <t>ORD-11102</t>
  </si>
  <si>
    <t>William Sato</t>
  </si>
  <si>
    <t>ORD-11407</t>
  </si>
  <si>
    <t>Emma Thompson</t>
  </si>
  <si>
    <t>ORD-10303</t>
  </si>
  <si>
    <t>Diego Williams</t>
  </si>
  <si>
    <t>ORD-10773</t>
  </si>
  <si>
    <t>Susan Ali</t>
  </si>
  <si>
    <t>ORD-10902</t>
  </si>
  <si>
    <t>ORD-11222</t>
  </si>
  <si>
    <t>ORD-10062</t>
  </si>
  <si>
    <t>Liam Martin</t>
  </si>
  <si>
    <t>ORD-11274</t>
  </si>
  <si>
    <t>Kenji Hassan</t>
  </si>
  <si>
    <t>ORD-11131</t>
  </si>
  <si>
    <t>ORD-11367</t>
  </si>
  <si>
    <t>Jamal Park</t>
  </si>
  <si>
    <t>ORD-11896</t>
  </si>
  <si>
    <t>Noah Thomas</t>
  </si>
  <si>
    <t>ORD-10749</t>
  </si>
  <si>
    <t>ORD-10414</t>
  </si>
  <si>
    <t>ORD-10921</t>
  </si>
  <si>
    <t>Christopher Romano</t>
  </si>
  <si>
    <t>ORD-11805</t>
  </si>
  <si>
    <t>Joseph Martin</t>
  </si>
  <si>
    <t>ORD-10013</t>
  </si>
  <si>
    <t>Layla Yamamoto</t>
  </si>
  <si>
    <t>ORD-10333</t>
  </si>
  <si>
    <t>ORD-11183</t>
  </si>
  <si>
    <t>Sarah Nilsson</t>
  </si>
  <si>
    <t>ORD-11710</t>
  </si>
  <si>
    <t>Felix Singh</t>
  </si>
  <si>
    <t>ORD-10130</t>
  </si>
  <si>
    <t>ORD-10593</t>
  </si>
  <si>
    <t>ORD-10060</t>
  </si>
  <si>
    <t>ORD-10190</t>
  </si>
  <si>
    <t>Olga Miller</t>
  </si>
  <si>
    <t>ORD-11163</t>
  </si>
  <si>
    <t>Jessica Pereira</t>
  </si>
  <si>
    <t>ORD-10933</t>
  </si>
  <si>
    <t>Raj White</t>
  </si>
  <si>
    <t>ORD-11172</t>
  </si>
  <si>
    <t>ORD-10957</t>
  </si>
  <si>
    <t>Omar Ali</t>
  </si>
  <si>
    <t>ORD-11123</t>
  </si>
  <si>
    <t>Emma Laurent</t>
  </si>
  <si>
    <t>ORD-11889</t>
  </si>
  <si>
    <t>Mary Yamamoto</t>
  </si>
  <si>
    <t>ORD-10472</t>
  </si>
  <si>
    <t>ORD-11151</t>
  </si>
  <si>
    <t>James Khan</t>
  </si>
  <si>
    <t>ORD-11843</t>
  </si>
  <si>
    <t>ORD-11927</t>
  </si>
  <si>
    <t>Pierre Suzuki</t>
  </si>
  <si>
    <t>ORD-11648</t>
  </si>
  <si>
    <t>Lucas Clark</t>
  </si>
  <si>
    <t>ORD-10518</t>
  </si>
  <si>
    <t>ORD-11251</t>
  </si>
  <si>
    <t>Joseph Fischer</t>
  </si>
  <si>
    <t>ORD-10327</t>
  </si>
  <si>
    <t>ORD-10572</t>
  </si>
  <si>
    <t>Oscar Davis</t>
  </si>
  <si>
    <t>ORD-10864</t>
  </si>
  <si>
    <t>ORD-11604</t>
  </si>
  <si>
    <t>Mary Jackson</t>
  </si>
  <si>
    <t>ORD-11933</t>
  </si>
  <si>
    <t>Maria Martin</t>
  </si>
  <si>
    <t>ORD-10276</t>
  </si>
  <si>
    <t>ORD-10353</t>
  </si>
  <si>
    <t>ORD-11374</t>
  </si>
  <si>
    <t>Robert Martinez</t>
  </si>
  <si>
    <t>ORD-11779</t>
  </si>
  <si>
    <t>Richard Martinez</t>
  </si>
  <si>
    <t>ORD-10352</t>
  </si>
  <si>
    <t>ORD-11596</t>
  </si>
  <si>
    <t>ORD-10173</t>
  </si>
  <si>
    <t>ORD-10272</t>
  </si>
  <si>
    <t>ORD-10888</t>
  </si>
  <si>
    <t>ORD-11404</t>
  </si>
  <si>
    <t>Karen Garcia</t>
  </si>
  <si>
    <t>ORD-11693</t>
  </si>
  <si>
    <t>ORD-10922</t>
  </si>
  <si>
    <t>Mia Tanaka</t>
  </si>
  <si>
    <t>ORD-10963</t>
  </si>
  <si>
    <t>Ava Laurent</t>
  </si>
  <si>
    <t>ORD-10155</t>
  </si>
  <si>
    <t>Li Kim</t>
  </si>
  <si>
    <t>ORD-11255</t>
  </si>
  <si>
    <t>Amina Smith</t>
  </si>
  <si>
    <t>ORD-10096</t>
  </si>
  <si>
    <t>ORD-10760</t>
  </si>
  <si>
    <t>ORD-11898</t>
  </si>
  <si>
    <t>Xiao Johansson</t>
  </si>
  <si>
    <t>ORD-10723</t>
  </si>
  <si>
    <t>Hanna Martinez</t>
  </si>
  <si>
    <t>ORD-10943</t>
  </si>
  <si>
    <t>ORD-11342</t>
  </si>
  <si>
    <t>Nadia Nilsson</t>
  </si>
  <si>
    <t>ORD-10142</t>
  </si>
  <si>
    <t>Ingrid Li</t>
  </si>
  <si>
    <t>ORD-10186</t>
  </si>
  <si>
    <t>Sophie Khan</t>
  </si>
  <si>
    <t>ORD-11009</t>
  </si>
  <si>
    <t>Kenji Johnson</t>
  </si>
  <si>
    <t>ORD-11254</t>
  </si>
  <si>
    <t>Barbara Williams</t>
  </si>
  <si>
    <t>ORD-11692</t>
  </si>
  <si>
    <t>Ingrid Suzuki</t>
  </si>
  <si>
    <t>ORD-10268</t>
  </si>
  <si>
    <t>ORD-11168</t>
  </si>
  <si>
    <t>Pierre Robinson</t>
  </si>
  <si>
    <t>ORD-10378</t>
  </si>
  <si>
    <t>ORD-11034</t>
  </si>
  <si>
    <t>Ali Jackson</t>
  </si>
  <si>
    <t>ORD-10077</t>
  </si>
  <si>
    <t>ORD-10938</t>
  </si>
  <si>
    <t>Kenji Harris</t>
  </si>
  <si>
    <t>ORD-11286</t>
  </si>
  <si>
    <t>Robert Sato</t>
  </si>
  <si>
    <t>ORD-11409</t>
  </si>
  <si>
    <t>Chen Taylor</t>
  </si>
  <si>
    <t>ORD-11612</t>
  </si>
  <si>
    <t>Xiao Davis</t>
  </si>
  <si>
    <t>ORD-10577</t>
  </si>
  <si>
    <t>ORD-11570</t>
  </si>
  <si>
    <t>Isabella Thomas</t>
  </si>
  <si>
    <t>ORD-10592</t>
  </si>
  <si>
    <t>ORD-10419</t>
  </si>
  <si>
    <t>Ayumi Russo</t>
  </si>
  <si>
    <t>ORD-10766</t>
  </si>
  <si>
    <t>ORD-10372</t>
  </si>
  <si>
    <t>Maria Leroy</t>
  </si>
  <si>
    <t>ORD-10675</t>
  </si>
  <si>
    <t>ORD-10188</t>
  </si>
  <si>
    <t>Elizabeth Müller</t>
  </si>
  <si>
    <t>ORD-11353</t>
  </si>
  <si>
    <t>ORD-11814</t>
  </si>
  <si>
    <t>Jennifer Oliveira</t>
  </si>
  <si>
    <t>ORD-10823</t>
  </si>
  <si>
    <t>Linda Nilsson</t>
  </si>
  <si>
    <t>ORD-10896</t>
  </si>
  <si>
    <t>Ayumi Dubois</t>
  </si>
  <si>
    <t>ORD-11148</t>
  </si>
  <si>
    <t>ORD-11519</t>
  </si>
  <si>
    <t>ORD-11701</t>
  </si>
  <si>
    <t>Susan Russo</t>
  </si>
  <si>
    <t>Year</t>
  </si>
  <si>
    <t>Month Name</t>
  </si>
  <si>
    <t>net_sales</t>
  </si>
  <si>
    <t>profit_margin</t>
  </si>
  <si>
    <t>price_tier</t>
  </si>
  <si>
    <t>profit_status</t>
  </si>
  <si>
    <t>January</t>
  </si>
  <si>
    <t>medium</t>
  </si>
  <si>
    <t>profit</t>
  </si>
  <si>
    <t>low</t>
  </si>
  <si>
    <t>high</t>
  </si>
  <si>
    <t>loss</t>
  </si>
  <si>
    <t>February</t>
  </si>
  <si>
    <t>March</t>
  </si>
  <si>
    <t>April</t>
  </si>
  <si>
    <t>May</t>
  </si>
  <si>
    <t>June</t>
  </si>
  <si>
    <t>July</t>
  </si>
  <si>
    <t>August</t>
  </si>
  <si>
    <t>September</t>
  </si>
  <si>
    <t>October</t>
  </si>
  <si>
    <t>November</t>
  </si>
  <si>
    <t>December</t>
  </si>
  <si>
    <t>Sum of Total_Sales</t>
  </si>
  <si>
    <t>total sales</t>
  </si>
  <si>
    <t>Row Labels</t>
  </si>
  <si>
    <t>Grand Total</t>
  </si>
  <si>
    <t>Count of Order_ID</t>
  </si>
  <si>
    <t>total orders</t>
  </si>
  <si>
    <t>2023</t>
  </si>
  <si>
    <t>2024</t>
  </si>
  <si>
    <t>2025</t>
  </si>
  <si>
    <t>Qtr1</t>
  </si>
  <si>
    <t>Qtr2</t>
  </si>
  <si>
    <t>Qtr3</t>
  </si>
  <si>
    <t>Qtr4</t>
  </si>
  <si>
    <t>Average of Total_Sales</t>
  </si>
  <si>
    <t>average</t>
  </si>
  <si>
    <t>Sum of Quantity</t>
  </si>
  <si>
    <t>total quantity</t>
  </si>
  <si>
    <t>Sum of Shipping_Cost</t>
  </si>
  <si>
    <t>total shipping cost</t>
  </si>
  <si>
    <t>corprate share</t>
  </si>
  <si>
    <t>top region</t>
  </si>
  <si>
    <t>top category</t>
  </si>
  <si>
    <t>average order value</t>
  </si>
  <si>
    <t>Count of Unit_Price</t>
  </si>
  <si>
    <t>Sum of net_sales</t>
  </si>
  <si>
    <t>PRODUCT</t>
  </si>
  <si>
    <t>Count of Product_Category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</si>
</sst>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Aptos Narrow"/>
      <family val="2"/>
      <scheme val="minor"/>
    </font>
    <font>
      <sz val="8"/>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4"/>
        <bgColor indexed="64"/>
      </patternFill>
    </fill>
    <fill>
      <patternFill patternType="solid">
        <fgColor theme="4" tint="-0.499984740745262"/>
        <bgColor indexed="64"/>
      </patternFill>
    </fill>
    <fill>
      <patternFill patternType="solid">
        <fgColor rgb="FF80800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0">
    <xf numFmtId="0" fontId="0" fillId="0" borderId="0" xfId="0"/>
    <xf numFmtId="14" fontId="0" fillId="0" borderId="0" xfId="0" applyNumberFormat="1"/>
    <xf numFmtId="164" fontId="0" fillId="0" borderId="0" xfId="0" applyNumberFormat="1"/>
    <xf numFmtId="164" fontId="0" fillId="0" borderId="0" xfId="0" pivotButton="1" applyNumberFormat="1"/>
    <xf numFmtId="164" fontId="0" fillId="0" borderId="0" xfId="0" applyNumberFormat="1" applyAlignment="1">
      <alignment horizontal="left"/>
    </xf>
    <xf numFmtId="10" fontId="0" fillId="0" borderId="0" xfId="0" applyNumberFormat="1"/>
    <xf numFmtId="0" fontId="0" fillId="0" borderId="0" xfId="0" applyAlignment="1">
      <alignment horizontal="left"/>
    </xf>
    <xf numFmtId="0" fontId="2" fillId="2" borderId="0" xfId="0" applyFont="1" applyFill="1"/>
    <xf numFmtId="0" fontId="0" fillId="3" borderId="0" xfId="0" applyFill="1"/>
    <xf numFmtId="0" fontId="0" fillId="0" borderId="0" xfId="0" pivotButton="1"/>
    <xf numFmtId="0" fontId="0" fillId="0" borderId="1" xfId="0" applyBorder="1"/>
    <xf numFmtId="0" fontId="0" fillId="0" borderId="2" xfId="0" applyBorder="1"/>
    <xf numFmtId="0" fontId="0" fillId="0" borderId="3" xfId="0" applyBorder="1"/>
    <xf numFmtId="164" fontId="0" fillId="0" borderId="4"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0" fontId="2" fillId="4" borderId="0" xfId="0" applyFont="1" applyFill="1"/>
  </cellXfs>
  <cellStyles count="1">
    <cellStyle name="Normal" xfId="0" builtinId="0"/>
  </cellStyles>
  <dxfs count="8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quot;₹&quot;\ #,##0.00"/>
    </dxf>
    <dxf>
      <numFmt numFmtId="164" formatCode="&quot;₹&quot;\ #,##0.00"/>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164" formatCode="&quot;₹&quot;\ #,##0.00"/>
    </dxf>
    <dxf>
      <numFmt numFmtId="164" formatCode="&quot;₹&quot;\ #,##0.00"/>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164" formatCode="&quot;₹&quot;\ #,##0.00"/>
    </dxf>
    <dxf>
      <numFmt numFmtId="164" formatCode="&quot;₹&quot;\ #,##0.00"/>
    </dxf>
    <dxf>
      <numFmt numFmtId="0" formatCode="General"/>
    </dxf>
    <dxf>
      <numFmt numFmtId="164" formatCode="&quot;₹&quot;\ #,##0.00"/>
    </dxf>
    <dxf>
      <numFmt numFmtId="164" formatCode="&quot;₹&quot;\ #,##0.00"/>
    </dxf>
    <dxf>
      <numFmt numFmtId="0" formatCode="General"/>
    </dxf>
    <dxf>
      <numFmt numFmtId="164" formatCode="&quot;₹&quot;\ #,##0.00"/>
    </dxf>
    <dxf>
      <numFmt numFmtId="164" formatCode="&quot;₹&quot;\ #,##0.00"/>
    </dxf>
    <dxf>
      <numFmt numFmtId="0" formatCode="General"/>
    </dxf>
    <dxf>
      <numFmt numFmtId="14"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4" formatCode="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0" formatCode="General"/>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s>
  <tableStyles count="0" defaultTableStyle="TableStyleMedium2" defaultPivotStyle="PivotStyleLight16"/>
  <colors>
    <mruColors>
      <color rgb="FF66FFCC"/>
      <color rgb="FF808000"/>
      <color rgb="FF00FFCC"/>
      <color rgb="FF0033CC"/>
      <color rgb="FF0000FF"/>
      <color rgb="FF304D68"/>
      <color rgb="FF3333FF"/>
      <color rgb="FF135F85"/>
      <color rgb="FF106B88"/>
      <color rgb="FF6293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RichValueTypes" Target="richData/rdRichValueTypes.xml"/><Relationship Id="rId28" Type="http://schemas.openxmlformats.org/officeDocument/2006/relationships/customXml" Target="../customXml/item4.xml"/><Relationship Id="rId10" Type="http://schemas.microsoft.com/office/2007/relationships/slicerCache" Target="slicerCaches/slicerCache3.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charts!$A$4:$A$15</c:f>
              <c:strCache>
                <c:ptCount val="11"/>
                <c:pt idx="0">
                  <c:v>January</c:v>
                </c:pt>
                <c:pt idx="1">
                  <c:v>February</c:v>
                </c:pt>
                <c:pt idx="2">
                  <c:v>March</c:v>
                </c:pt>
                <c:pt idx="3">
                  <c:v>April</c:v>
                </c:pt>
                <c:pt idx="4">
                  <c:v>May</c:v>
                </c:pt>
                <c:pt idx="5">
                  <c:v>July</c:v>
                </c:pt>
                <c:pt idx="6">
                  <c:v>August</c:v>
                </c:pt>
                <c:pt idx="7">
                  <c:v>September</c:v>
                </c:pt>
                <c:pt idx="8">
                  <c:v>October</c:v>
                </c:pt>
                <c:pt idx="9">
                  <c:v>November</c:v>
                </c:pt>
                <c:pt idx="10">
                  <c:v>December</c:v>
                </c:pt>
              </c:strCache>
            </c:strRef>
          </c:cat>
          <c:val>
            <c:numRef>
              <c:f>charts!$B$4:$B$15</c:f>
              <c:numCache>
                <c:formatCode>"₹"\ #,##0.00</c:formatCode>
                <c:ptCount val="11"/>
                <c:pt idx="0">
                  <c:v>31611.59</c:v>
                </c:pt>
                <c:pt idx="1">
                  <c:v>36260.55000000001</c:v>
                </c:pt>
                <c:pt idx="2">
                  <c:v>34378.890000000007</c:v>
                </c:pt>
                <c:pt idx="3">
                  <c:v>44203.66</c:v>
                </c:pt>
                <c:pt idx="4">
                  <c:v>42434.470000000008</c:v>
                </c:pt>
                <c:pt idx="5">
                  <c:v>45671.219999999987</c:v>
                </c:pt>
                <c:pt idx="6">
                  <c:v>34157.009999999995</c:v>
                </c:pt>
                <c:pt idx="7">
                  <c:v>36002.050000000003</c:v>
                </c:pt>
                <c:pt idx="8">
                  <c:v>51095.400000000016</c:v>
                </c:pt>
                <c:pt idx="9">
                  <c:v>39669.780000000013</c:v>
                </c:pt>
                <c:pt idx="10">
                  <c:v>45379.869999999988</c:v>
                </c:pt>
              </c:numCache>
            </c:numRef>
          </c:val>
          <c:smooth val="0"/>
          <c:extLst>
            <c:ext xmlns:c16="http://schemas.microsoft.com/office/drawing/2014/chart" uri="{C3380CC4-5D6E-409C-BE32-E72D297353CC}">
              <c16:uniqueId val="{00000000-EECC-4798-A515-DBF68F23A18C}"/>
            </c:ext>
          </c:extLst>
        </c:ser>
        <c:dLbls>
          <c:showLegendKey val="0"/>
          <c:showVal val="0"/>
          <c:showCatName val="0"/>
          <c:showSerName val="0"/>
          <c:showPercent val="0"/>
          <c:showBubbleSize val="0"/>
        </c:dLbls>
        <c:marker val="1"/>
        <c:smooth val="0"/>
        <c:axId val="495875327"/>
        <c:axId val="1922739503"/>
      </c:lineChart>
      <c:catAx>
        <c:axId val="49587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39503"/>
        <c:crosses val="autoZero"/>
        <c:auto val="1"/>
        <c:lblAlgn val="ctr"/>
        <c:lblOffset val="100"/>
        <c:noMultiLvlLbl val="0"/>
      </c:catAx>
      <c:valAx>
        <c:axId val="1922739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87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data.xlsx]charts!PivotTable14</c:name>
    <c:fmtId val="5"/>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21370778652668415"/>
          <c:y val="0.24476633129192185"/>
          <c:w val="0.41147353455818025"/>
          <c:h val="0.68578922426363376"/>
        </c:manualLayout>
      </c:layout>
      <c:pieChart>
        <c:varyColors val="1"/>
        <c:ser>
          <c:idx val="0"/>
          <c:order val="0"/>
          <c:tx>
            <c:strRef>
              <c:f>charts!$N$4</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9B43-49AA-A253-952CF7BE765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B43-49AA-A253-952CF7BE765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9B43-49AA-A253-952CF7BE765D}"/>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B43-49AA-A253-952CF7BE765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charts!$M$5:$M$9</c:f>
              <c:strCache>
                <c:ptCount val="4"/>
                <c:pt idx="0">
                  <c:v>Credit Card</c:v>
                </c:pt>
                <c:pt idx="1">
                  <c:v>PayPal</c:v>
                </c:pt>
                <c:pt idx="2">
                  <c:v>Cash on Delivery</c:v>
                </c:pt>
                <c:pt idx="3">
                  <c:v>Bank Transfer</c:v>
                </c:pt>
              </c:strCache>
            </c:strRef>
          </c:cat>
          <c:val>
            <c:numRef>
              <c:f>charts!$N$5:$N$9</c:f>
              <c:numCache>
                <c:formatCode>"₹"\ #,##0.00</c:formatCode>
                <c:ptCount val="4"/>
                <c:pt idx="0">
                  <c:v>175548.56000000003</c:v>
                </c:pt>
                <c:pt idx="1">
                  <c:v>130957.66</c:v>
                </c:pt>
                <c:pt idx="2">
                  <c:v>67300.799999999988</c:v>
                </c:pt>
                <c:pt idx="3">
                  <c:v>67057.47</c:v>
                </c:pt>
              </c:numCache>
            </c:numRef>
          </c:val>
          <c:extLst>
            <c:ext xmlns:c16="http://schemas.microsoft.com/office/drawing/2014/chart" uri="{C3380CC4-5D6E-409C-BE32-E72D297353CC}">
              <c16:uniqueId val="{00000000-9B43-49AA-A253-952CF7BE765D}"/>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endParaRPr lang="en-US"/>
          </a:p>
        </c:rich>
      </c:tx>
      <c:layout>
        <c:manualLayout>
          <c:xMode val="edge"/>
          <c:yMode val="edge"/>
          <c:x val="0.41432036875430089"/>
          <c:y val="2.58732485767069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charts!$Y$4</c:f>
              <c:strCache>
                <c:ptCount val="1"/>
                <c:pt idx="0">
                  <c:v>Total</c:v>
                </c:pt>
              </c:strCache>
            </c:strRef>
          </c:tx>
          <c:spPr>
            <a:solidFill>
              <a:schemeClr val="accent1"/>
            </a:solidFill>
            <a:ln>
              <a:noFill/>
            </a:ln>
            <a:effectLst/>
            <a:sp3d/>
          </c:spPr>
          <c:invertIfNegative val="0"/>
          <c:cat>
            <c:strRef>
              <c:f>charts!$X$5:$X$10</c:f>
              <c:strCache>
                <c:ptCount val="5"/>
                <c:pt idx="0">
                  <c:v>Europe</c:v>
                </c:pt>
                <c:pt idx="1">
                  <c:v>North America</c:v>
                </c:pt>
                <c:pt idx="2">
                  <c:v>Asia Pacific</c:v>
                </c:pt>
                <c:pt idx="3">
                  <c:v>Middle East &amp; Africa</c:v>
                </c:pt>
                <c:pt idx="4">
                  <c:v>South America</c:v>
                </c:pt>
              </c:strCache>
            </c:strRef>
          </c:cat>
          <c:val>
            <c:numRef>
              <c:f>charts!$Y$5:$Y$10</c:f>
              <c:numCache>
                <c:formatCode>"₹"\ #,##0.00</c:formatCode>
                <c:ptCount val="5"/>
                <c:pt idx="0">
                  <c:v>126559.63999999998</c:v>
                </c:pt>
                <c:pt idx="1">
                  <c:v>115745.20999999986</c:v>
                </c:pt>
                <c:pt idx="2">
                  <c:v>113057.5100000001</c:v>
                </c:pt>
                <c:pt idx="3">
                  <c:v>43194.51999999999</c:v>
                </c:pt>
                <c:pt idx="4">
                  <c:v>42307.609999999986</c:v>
                </c:pt>
              </c:numCache>
            </c:numRef>
          </c:val>
          <c:extLst>
            <c:ext xmlns:c16="http://schemas.microsoft.com/office/drawing/2014/chart" uri="{C3380CC4-5D6E-409C-BE32-E72D297353CC}">
              <c16:uniqueId val="{00000000-9502-4EB2-9131-710F0630E891}"/>
            </c:ext>
          </c:extLst>
        </c:ser>
        <c:dLbls>
          <c:showLegendKey val="0"/>
          <c:showVal val="0"/>
          <c:showCatName val="0"/>
          <c:showSerName val="0"/>
          <c:showPercent val="0"/>
          <c:showBubbleSize val="0"/>
        </c:dLbls>
        <c:gapWidth val="150"/>
        <c:shape val="box"/>
        <c:axId val="706587247"/>
        <c:axId val="1922724623"/>
        <c:axId val="0"/>
      </c:bar3DChart>
      <c:catAx>
        <c:axId val="70658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24623"/>
        <c:crosses val="autoZero"/>
        <c:auto val="1"/>
        <c:lblAlgn val="ctr"/>
        <c:lblOffset val="100"/>
        <c:noMultiLvlLbl val="0"/>
      </c:catAx>
      <c:valAx>
        <c:axId val="1922724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8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charts!$AJ$4</c:f>
              <c:strCache>
                <c:ptCount val="1"/>
                <c:pt idx="0">
                  <c:v>Total</c:v>
                </c:pt>
              </c:strCache>
            </c:strRef>
          </c:tx>
          <c:spPr>
            <a:solidFill>
              <a:schemeClr val="accent1"/>
            </a:solidFill>
            <a:ln>
              <a:noFill/>
            </a:ln>
            <a:effectLst/>
          </c:spPr>
          <c:invertIfNegative val="0"/>
          <c:cat>
            <c:strRef>
              <c:f>charts!$AI$5:$AI$9</c:f>
              <c:strCache>
                <c:ptCount val="4"/>
                <c:pt idx="0">
                  <c:v>Credit Card</c:v>
                </c:pt>
                <c:pt idx="1">
                  <c:v>PayPal</c:v>
                </c:pt>
                <c:pt idx="2">
                  <c:v>Bank Transfer</c:v>
                </c:pt>
                <c:pt idx="3">
                  <c:v>Cash on Delivery</c:v>
                </c:pt>
              </c:strCache>
            </c:strRef>
          </c:cat>
          <c:val>
            <c:numRef>
              <c:f>charts!$AJ$5:$AJ$9</c:f>
              <c:numCache>
                <c:formatCode>General</c:formatCode>
                <c:ptCount val="4"/>
                <c:pt idx="0">
                  <c:v>722</c:v>
                </c:pt>
                <c:pt idx="1">
                  <c:v>567</c:v>
                </c:pt>
                <c:pt idx="2">
                  <c:v>277</c:v>
                </c:pt>
                <c:pt idx="3">
                  <c:v>267</c:v>
                </c:pt>
              </c:numCache>
            </c:numRef>
          </c:val>
          <c:extLst>
            <c:ext xmlns:c16="http://schemas.microsoft.com/office/drawing/2014/chart" uri="{C3380CC4-5D6E-409C-BE32-E72D297353CC}">
              <c16:uniqueId val="{00000000-EBA0-4161-8616-AE142EE844A3}"/>
            </c:ext>
          </c:extLst>
        </c:ser>
        <c:dLbls>
          <c:showLegendKey val="0"/>
          <c:showVal val="0"/>
          <c:showCatName val="0"/>
          <c:showSerName val="0"/>
          <c:showPercent val="0"/>
          <c:showBubbleSize val="0"/>
        </c:dLbls>
        <c:gapWidth val="219"/>
        <c:overlap val="-27"/>
        <c:axId val="495300719"/>
        <c:axId val="1922726543"/>
      </c:barChart>
      <c:catAx>
        <c:axId val="49530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26543"/>
        <c:crosses val="autoZero"/>
        <c:auto val="1"/>
        <c:lblAlgn val="ctr"/>
        <c:lblOffset val="100"/>
        <c:noMultiLvlLbl val="0"/>
      </c:catAx>
      <c:valAx>
        <c:axId val="192272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30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charts!$B$21</c:f>
              <c:strCache>
                <c:ptCount val="1"/>
                <c:pt idx="0">
                  <c:v>Total</c:v>
                </c:pt>
              </c:strCache>
            </c:strRef>
          </c:tx>
          <c:spPr>
            <a:solidFill>
              <a:schemeClr val="accent1"/>
            </a:solidFill>
            <a:ln>
              <a:noFill/>
            </a:ln>
            <a:effectLst/>
          </c:spPr>
          <c:invertIfNegative val="0"/>
          <c:cat>
            <c:strRef>
              <c:f>charts!$A$22:$A$32</c:f>
              <c:strCache>
                <c:ptCount val="10"/>
                <c:pt idx="0">
                  <c:v>Standing Desk Converter</c:v>
                </c:pt>
                <c:pt idx="1">
                  <c:v>Ergonomic Office Chair</c:v>
                </c:pt>
                <c:pt idx="2">
                  <c:v>Corner L-Shaped Desk</c:v>
                </c:pt>
                <c:pt idx="3">
                  <c:v>Mesh Back Task Chair</c:v>
                </c:pt>
                <c:pt idx="4">
                  <c:v>Wireless Bluetooth Headphones</c:v>
                </c:pt>
                <c:pt idx="5">
                  <c:v>Mechanical Gaming Keyboard</c:v>
                </c:pt>
                <c:pt idx="6">
                  <c:v>Filing Cabinet 3-Drawer</c:v>
                </c:pt>
                <c:pt idx="7">
                  <c:v>Folding Table Portable</c:v>
                </c:pt>
                <c:pt idx="8">
                  <c:v>Portable External SSD 1TB</c:v>
                </c:pt>
                <c:pt idx="9">
                  <c:v>Bookshelf 5-Tier</c:v>
                </c:pt>
              </c:strCache>
            </c:strRef>
          </c:cat>
          <c:val>
            <c:numRef>
              <c:f>charts!$B$22:$B$32</c:f>
              <c:numCache>
                <c:formatCode>"₹"\ #,##0.00</c:formatCode>
                <c:ptCount val="10"/>
                <c:pt idx="0">
                  <c:v>42242.299999999988</c:v>
                </c:pt>
                <c:pt idx="1">
                  <c:v>41015.689999999988</c:v>
                </c:pt>
                <c:pt idx="2">
                  <c:v>34920.749999999993</c:v>
                </c:pt>
                <c:pt idx="3">
                  <c:v>32246.979999999996</c:v>
                </c:pt>
                <c:pt idx="4">
                  <c:v>25336.090000000004</c:v>
                </c:pt>
                <c:pt idx="5">
                  <c:v>22625.78</c:v>
                </c:pt>
                <c:pt idx="6">
                  <c:v>21876.03</c:v>
                </c:pt>
                <c:pt idx="7">
                  <c:v>18254.219999999994</c:v>
                </c:pt>
                <c:pt idx="8">
                  <c:v>16858.789999999997</c:v>
                </c:pt>
                <c:pt idx="9">
                  <c:v>16488.900000000001</c:v>
                </c:pt>
              </c:numCache>
            </c:numRef>
          </c:val>
          <c:extLst>
            <c:ext xmlns:c16="http://schemas.microsoft.com/office/drawing/2014/chart" uri="{C3380CC4-5D6E-409C-BE32-E72D297353CC}">
              <c16:uniqueId val="{00000000-8340-47DF-86F1-1E31D535FF6F}"/>
            </c:ext>
          </c:extLst>
        </c:ser>
        <c:dLbls>
          <c:showLegendKey val="0"/>
          <c:showVal val="0"/>
          <c:showCatName val="0"/>
          <c:showSerName val="0"/>
          <c:showPercent val="0"/>
          <c:showBubbleSize val="0"/>
        </c:dLbls>
        <c:gapWidth val="150"/>
        <c:overlap val="100"/>
        <c:axId val="712148959"/>
        <c:axId val="1922805743"/>
      </c:barChart>
      <c:catAx>
        <c:axId val="71214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05743"/>
        <c:crosses val="autoZero"/>
        <c:auto val="1"/>
        <c:lblAlgn val="ctr"/>
        <c:lblOffset val="100"/>
        <c:noMultiLvlLbl val="0"/>
      </c:catAx>
      <c:valAx>
        <c:axId val="19228057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14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charts!$S$21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31-4E03-8952-8CC03B8A0E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31-4E03-8952-8CC03B8A0E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31-4E03-8952-8CC03B8A0EBF}"/>
              </c:ext>
            </c:extLst>
          </c:dPt>
          <c:cat>
            <c:strRef>
              <c:f>charts!$R$22:$R$25</c:f>
              <c:strCache>
                <c:ptCount val="3"/>
                <c:pt idx="0">
                  <c:v>Consumer</c:v>
                </c:pt>
                <c:pt idx="1">
                  <c:v>Corporate</c:v>
                </c:pt>
                <c:pt idx="2">
                  <c:v>Home Office</c:v>
                </c:pt>
              </c:strCache>
            </c:strRef>
          </c:cat>
          <c:val>
            <c:numRef>
              <c:f>charts!$S$22:$S$25</c:f>
              <c:numCache>
                <c:formatCode>"₹"\ #,##0.00</c:formatCode>
                <c:ptCount val="3"/>
                <c:pt idx="0">
                  <c:v>234573.86000000002</c:v>
                </c:pt>
                <c:pt idx="1">
                  <c:v>130088.52999999991</c:v>
                </c:pt>
                <c:pt idx="2">
                  <c:v>76202.099999999919</c:v>
                </c:pt>
              </c:numCache>
            </c:numRef>
          </c:val>
          <c:extLst>
            <c:ext xmlns:c16="http://schemas.microsoft.com/office/drawing/2014/chart" uri="{C3380CC4-5D6E-409C-BE32-E72D297353CC}">
              <c16:uniqueId val="{00000000-734A-4E5E-A7B4-5274EFA8C5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3169291338583"/>
          <c:y val="0.25865522018081066"/>
          <c:w val="0.62404571303587053"/>
          <c:h val="0.53811424613589964"/>
        </c:manualLayout>
      </c:layout>
      <c:bar3DChart>
        <c:barDir val="col"/>
        <c:grouping val="standard"/>
        <c:varyColors val="0"/>
        <c:ser>
          <c:idx val="0"/>
          <c:order val="0"/>
          <c:tx>
            <c:strRef>
              <c:f>charts!$Z$21</c:f>
              <c:strCache>
                <c:ptCount val="1"/>
                <c:pt idx="0">
                  <c:v>Total</c:v>
                </c:pt>
              </c:strCache>
            </c:strRef>
          </c:tx>
          <c:spPr>
            <a:solidFill>
              <a:schemeClr val="accent1"/>
            </a:solidFill>
            <a:ln>
              <a:noFill/>
            </a:ln>
            <a:effectLst/>
            <a:sp3d/>
          </c:spPr>
          <c:invertIfNegative val="0"/>
          <c:cat>
            <c:strRef>
              <c:f>charts!$Y$22:$Y$25</c:f>
              <c:strCache>
                <c:ptCount val="3"/>
                <c:pt idx="0">
                  <c:v>low</c:v>
                </c:pt>
                <c:pt idx="1">
                  <c:v>medium</c:v>
                </c:pt>
                <c:pt idx="2">
                  <c:v>high</c:v>
                </c:pt>
              </c:strCache>
            </c:strRef>
          </c:cat>
          <c:val>
            <c:numRef>
              <c:f>charts!$Z$22:$Z$25</c:f>
              <c:numCache>
                <c:formatCode>"₹"\ #,##0.00</c:formatCode>
                <c:ptCount val="3"/>
                <c:pt idx="0">
                  <c:v>840</c:v>
                </c:pt>
                <c:pt idx="1">
                  <c:v>756</c:v>
                </c:pt>
                <c:pt idx="2">
                  <c:v>237</c:v>
                </c:pt>
              </c:numCache>
            </c:numRef>
          </c:val>
          <c:extLst>
            <c:ext xmlns:c16="http://schemas.microsoft.com/office/drawing/2014/chart" uri="{C3380CC4-5D6E-409C-BE32-E72D297353CC}">
              <c16:uniqueId val="{00000000-732A-4B65-AEFE-42581C5B5D0D}"/>
            </c:ext>
          </c:extLst>
        </c:ser>
        <c:dLbls>
          <c:showLegendKey val="0"/>
          <c:showVal val="0"/>
          <c:showCatName val="0"/>
          <c:showSerName val="0"/>
          <c:showPercent val="0"/>
          <c:showBubbleSize val="0"/>
        </c:dLbls>
        <c:gapWidth val="150"/>
        <c:shape val="box"/>
        <c:axId val="717082703"/>
        <c:axId val="1922722223"/>
        <c:axId val="1888671663"/>
      </c:bar3DChart>
      <c:catAx>
        <c:axId val="717082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22223"/>
        <c:crosses val="autoZero"/>
        <c:auto val="1"/>
        <c:lblAlgn val="ctr"/>
        <c:lblOffset val="100"/>
        <c:noMultiLvlLbl val="0"/>
      </c:catAx>
      <c:valAx>
        <c:axId val="1922722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82703"/>
        <c:crosses val="autoZero"/>
        <c:crossBetween val="between"/>
      </c:valAx>
      <c:serAx>
        <c:axId val="188867166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222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data.xlsx]charts!PivotTable20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charts!$AI$20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42E-45E5-857C-DC0F961286E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42E-45E5-857C-DC0F961286E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42E-45E5-857C-DC0F961286E3}"/>
              </c:ext>
            </c:extLst>
          </c:dPt>
          <c:cat>
            <c:strRef>
              <c:f>charts!$AH$21:$AH$24</c:f>
              <c:strCache>
                <c:ptCount val="3"/>
                <c:pt idx="0">
                  <c:v>2023</c:v>
                </c:pt>
                <c:pt idx="1">
                  <c:v>2024</c:v>
                </c:pt>
                <c:pt idx="2">
                  <c:v>2025</c:v>
                </c:pt>
              </c:strCache>
            </c:strRef>
          </c:cat>
          <c:val>
            <c:numRef>
              <c:f>charts!$AI$21:$AI$24</c:f>
              <c:numCache>
                <c:formatCode>"₹"\ #,##0.00</c:formatCode>
                <c:ptCount val="3"/>
                <c:pt idx="0">
                  <c:v>148251.83999999991</c:v>
                </c:pt>
                <c:pt idx="1">
                  <c:v>145715.5799999999</c:v>
                </c:pt>
                <c:pt idx="2">
                  <c:v>146897.0699999998</c:v>
                </c:pt>
              </c:numCache>
            </c:numRef>
          </c:val>
          <c:extLst>
            <c:ext xmlns:c16="http://schemas.microsoft.com/office/drawing/2014/chart" uri="{C3380CC4-5D6E-409C-BE32-E72D297353CC}">
              <c16:uniqueId val="{00000000-CAFB-46BC-9048-0E7BB43FFF2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data.xlsx]charts!PivotTable21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sales</a:t>
            </a:r>
            <a:endParaRPr lang="en-US"/>
          </a:p>
        </c:rich>
      </c:tx>
      <c:layout>
        <c:manualLayout>
          <c:xMode val="edge"/>
          <c:yMode val="edge"/>
          <c:x val="0.37861628856118712"/>
          <c:y val="3.56486686593358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charts!$AR$19</c:f>
              <c:strCache>
                <c:ptCount val="1"/>
                <c:pt idx="0">
                  <c:v>Total</c:v>
                </c:pt>
              </c:strCache>
            </c:strRef>
          </c:tx>
          <c:spPr>
            <a:solidFill>
              <a:schemeClr val="accent1"/>
            </a:solidFill>
            <a:ln>
              <a:noFill/>
            </a:ln>
            <a:effectLst/>
            <a:sp3d/>
          </c:spPr>
          <c:invertIfNegative val="0"/>
          <c:cat>
            <c:strRef>
              <c:f>charts!$AQ$20:$AQ$24</c:f>
              <c:strCache>
                <c:ptCount val="4"/>
                <c:pt idx="0">
                  <c:v>Furniture</c:v>
                </c:pt>
                <c:pt idx="1">
                  <c:v>Technology</c:v>
                </c:pt>
                <c:pt idx="2">
                  <c:v>Clothing &amp; Accessories</c:v>
                </c:pt>
                <c:pt idx="3">
                  <c:v>Office Supplies</c:v>
                </c:pt>
              </c:strCache>
            </c:strRef>
          </c:cat>
          <c:val>
            <c:numRef>
              <c:f>charts!$AR$20:$AR$24</c:f>
              <c:numCache>
                <c:formatCode>"₹"\ #,##0.00</c:formatCode>
                <c:ptCount val="4"/>
                <c:pt idx="0">
                  <c:v>229048.17000000004</c:v>
                </c:pt>
                <c:pt idx="1">
                  <c:v>128007.06999999998</c:v>
                </c:pt>
                <c:pt idx="2">
                  <c:v>65715.930000000051</c:v>
                </c:pt>
                <c:pt idx="3">
                  <c:v>18093.32</c:v>
                </c:pt>
              </c:numCache>
            </c:numRef>
          </c:val>
          <c:extLst>
            <c:ext xmlns:c16="http://schemas.microsoft.com/office/drawing/2014/chart" uri="{C3380CC4-5D6E-409C-BE32-E72D297353CC}">
              <c16:uniqueId val="{00000000-215B-460D-89EA-5B85A08BEC40}"/>
            </c:ext>
          </c:extLst>
        </c:ser>
        <c:dLbls>
          <c:showLegendKey val="0"/>
          <c:showVal val="0"/>
          <c:showCatName val="0"/>
          <c:showSerName val="0"/>
          <c:showPercent val="0"/>
          <c:showBubbleSize val="0"/>
        </c:dLbls>
        <c:gapWidth val="150"/>
        <c:shape val="box"/>
        <c:axId val="717083631"/>
        <c:axId val="1922779343"/>
        <c:axId val="0"/>
      </c:bar3DChart>
      <c:catAx>
        <c:axId val="717083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79343"/>
        <c:crosses val="autoZero"/>
        <c:auto val="1"/>
        <c:lblAlgn val="ctr"/>
        <c:lblOffset val="100"/>
        <c:noMultiLvlLbl val="0"/>
      </c:catAx>
      <c:valAx>
        <c:axId val="1922779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8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data.xlsx]charts!PivotTable22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charts!$B$39</c:f>
              <c:strCache>
                <c:ptCount val="1"/>
                <c:pt idx="0">
                  <c:v>Total</c:v>
                </c:pt>
              </c:strCache>
            </c:strRef>
          </c:tx>
          <c:spPr>
            <a:solidFill>
              <a:schemeClr val="accent1"/>
            </a:solidFill>
            <a:ln>
              <a:noFill/>
            </a:ln>
            <a:effectLst/>
            <a:sp3d/>
          </c:spPr>
          <c:invertIfNegative val="0"/>
          <c:cat>
            <c:strRef>
              <c:f>charts!$A$40:$A$60</c:f>
              <c:strCache>
                <c:ptCount val="20"/>
                <c:pt idx="0">
                  <c:v>Argentina</c:v>
                </c:pt>
                <c:pt idx="1">
                  <c:v>Australia</c:v>
                </c:pt>
                <c:pt idx="2">
                  <c:v>Brazil</c:v>
                </c:pt>
                <c:pt idx="3">
                  <c:v>Canada</c:v>
                </c:pt>
                <c:pt idx="4">
                  <c:v>China</c:v>
                </c:pt>
                <c:pt idx="5">
                  <c:v>Colombia</c:v>
                </c:pt>
                <c:pt idx="6">
                  <c:v>France</c:v>
                </c:pt>
                <c:pt idx="7">
                  <c:v>Germany</c:v>
                </c:pt>
                <c:pt idx="8">
                  <c:v>India</c:v>
                </c:pt>
                <c:pt idx="9">
                  <c:v>Italy</c:v>
                </c:pt>
                <c:pt idx="10">
                  <c:v>Japan</c:v>
                </c:pt>
                <c:pt idx="11">
                  <c:v>Mexico</c:v>
                </c:pt>
                <c:pt idx="12">
                  <c:v>Nigeria</c:v>
                </c:pt>
                <c:pt idx="13">
                  <c:v>Saudi Arabia</c:v>
                </c:pt>
                <c:pt idx="14">
                  <c:v>South Africa</c:v>
                </c:pt>
                <c:pt idx="15">
                  <c:v>South Korea</c:v>
                </c:pt>
                <c:pt idx="16">
                  <c:v>Spain</c:v>
                </c:pt>
                <c:pt idx="17">
                  <c:v>UAE</c:v>
                </c:pt>
                <c:pt idx="18">
                  <c:v>United Kingdom</c:v>
                </c:pt>
                <c:pt idx="19">
                  <c:v>United States</c:v>
                </c:pt>
              </c:strCache>
            </c:strRef>
          </c:cat>
          <c:val>
            <c:numRef>
              <c:f>charts!$B$40:$B$60</c:f>
              <c:numCache>
                <c:formatCode>General</c:formatCode>
                <c:ptCount val="20"/>
                <c:pt idx="0">
                  <c:v>216</c:v>
                </c:pt>
                <c:pt idx="1">
                  <c:v>359</c:v>
                </c:pt>
                <c:pt idx="2">
                  <c:v>221</c:v>
                </c:pt>
                <c:pt idx="3">
                  <c:v>542</c:v>
                </c:pt>
                <c:pt idx="4">
                  <c:v>381</c:v>
                </c:pt>
                <c:pt idx="5">
                  <c:v>187</c:v>
                </c:pt>
                <c:pt idx="6">
                  <c:v>382</c:v>
                </c:pt>
                <c:pt idx="7">
                  <c:v>367</c:v>
                </c:pt>
                <c:pt idx="8">
                  <c:v>287</c:v>
                </c:pt>
                <c:pt idx="9">
                  <c:v>344</c:v>
                </c:pt>
                <c:pt idx="10">
                  <c:v>445</c:v>
                </c:pt>
                <c:pt idx="11">
                  <c:v>629</c:v>
                </c:pt>
                <c:pt idx="12">
                  <c:v>142</c:v>
                </c:pt>
                <c:pt idx="13">
                  <c:v>169</c:v>
                </c:pt>
                <c:pt idx="14">
                  <c:v>197</c:v>
                </c:pt>
                <c:pt idx="15">
                  <c:v>286</c:v>
                </c:pt>
                <c:pt idx="16">
                  <c:v>263</c:v>
                </c:pt>
                <c:pt idx="17">
                  <c:v>155</c:v>
                </c:pt>
                <c:pt idx="18">
                  <c:v>343</c:v>
                </c:pt>
                <c:pt idx="19">
                  <c:v>628</c:v>
                </c:pt>
              </c:numCache>
            </c:numRef>
          </c:val>
          <c:extLst>
            <c:ext xmlns:c16="http://schemas.microsoft.com/office/drawing/2014/chart" uri="{C3380CC4-5D6E-409C-BE32-E72D297353CC}">
              <c16:uniqueId val="{00000000-6122-4D17-81E3-F18A5580EFAC}"/>
            </c:ext>
          </c:extLst>
        </c:ser>
        <c:dLbls>
          <c:showLegendKey val="0"/>
          <c:showVal val="0"/>
          <c:showCatName val="0"/>
          <c:showSerName val="0"/>
          <c:showPercent val="0"/>
          <c:showBubbleSize val="0"/>
        </c:dLbls>
        <c:gapWidth val="150"/>
        <c:shape val="box"/>
        <c:axId val="694433551"/>
        <c:axId val="1922784143"/>
        <c:axId val="0"/>
      </c:bar3DChart>
      <c:catAx>
        <c:axId val="694433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84143"/>
        <c:crosses val="autoZero"/>
        <c:auto val="1"/>
        <c:lblAlgn val="ctr"/>
        <c:lblOffset val="100"/>
        <c:noMultiLvlLbl val="0"/>
      </c:catAx>
      <c:valAx>
        <c:axId val="192278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43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data.xlsx]charts!PivotTable23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Unit</a:t>
            </a:r>
            <a:r>
              <a:rPr lang="en-US" baseline="0"/>
              <a:t> sales</a:t>
            </a:r>
            <a:endParaRPr lang="en-US"/>
          </a:p>
        </c:rich>
      </c:tx>
      <c:layout>
        <c:manualLayout>
          <c:xMode val="edge"/>
          <c:yMode val="edge"/>
          <c:x val="0.31603974741463531"/>
          <c:y val="5.06784208026588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charts!$M$39</c:f>
              <c:strCache>
                <c:ptCount val="1"/>
                <c:pt idx="0">
                  <c:v>Total</c:v>
                </c:pt>
              </c:strCache>
            </c:strRef>
          </c:tx>
          <c:spPr>
            <a:solidFill>
              <a:schemeClr val="accent1"/>
            </a:solidFill>
            <a:ln>
              <a:noFill/>
            </a:ln>
            <a:effectLst/>
          </c:spPr>
          <c:invertIfNegative val="0"/>
          <c:cat>
            <c:strRef>
              <c:f>charts!$L$40:$L$51</c:f>
              <c:strCache>
                <c:ptCount val="11"/>
                <c:pt idx="0">
                  <c:v>January</c:v>
                </c:pt>
                <c:pt idx="1">
                  <c:v>February</c:v>
                </c:pt>
                <c:pt idx="2">
                  <c:v>March</c:v>
                </c:pt>
                <c:pt idx="3">
                  <c:v>April</c:v>
                </c:pt>
                <c:pt idx="4">
                  <c:v>May</c:v>
                </c:pt>
                <c:pt idx="5">
                  <c:v>July</c:v>
                </c:pt>
                <c:pt idx="6">
                  <c:v>August</c:v>
                </c:pt>
                <c:pt idx="7">
                  <c:v>September</c:v>
                </c:pt>
                <c:pt idx="8">
                  <c:v>October</c:v>
                </c:pt>
                <c:pt idx="9">
                  <c:v>November</c:v>
                </c:pt>
                <c:pt idx="10">
                  <c:v>December</c:v>
                </c:pt>
              </c:strCache>
            </c:strRef>
          </c:cat>
          <c:val>
            <c:numRef>
              <c:f>charts!$M$40:$M$51</c:f>
              <c:numCache>
                <c:formatCode>General</c:formatCode>
                <c:ptCount val="11"/>
                <c:pt idx="0">
                  <c:v>138</c:v>
                </c:pt>
                <c:pt idx="1">
                  <c:v>128</c:v>
                </c:pt>
                <c:pt idx="2">
                  <c:v>143</c:v>
                </c:pt>
                <c:pt idx="3">
                  <c:v>182</c:v>
                </c:pt>
                <c:pt idx="4">
                  <c:v>174</c:v>
                </c:pt>
                <c:pt idx="5">
                  <c:v>170</c:v>
                </c:pt>
                <c:pt idx="6">
                  <c:v>162</c:v>
                </c:pt>
                <c:pt idx="7">
                  <c:v>178</c:v>
                </c:pt>
                <c:pt idx="8">
                  <c:v>205</c:v>
                </c:pt>
                <c:pt idx="9">
                  <c:v>162</c:v>
                </c:pt>
                <c:pt idx="10">
                  <c:v>191</c:v>
                </c:pt>
              </c:numCache>
            </c:numRef>
          </c:val>
          <c:extLst>
            <c:ext xmlns:c16="http://schemas.microsoft.com/office/drawing/2014/chart" uri="{C3380CC4-5D6E-409C-BE32-E72D297353CC}">
              <c16:uniqueId val="{00000000-9983-4CD0-81C2-621274BC63CE}"/>
            </c:ext>
          </c:extLst>
        </c:ser>
        <c:dLbls>
          <c:showLegendKey val="0"/>
          <c:showVal val="0"/>
          <c:showCatName val="0"/>
          <c:showSerName val="0"/>
          <c:showPercent val="0"/>
          <c:showBubbleSize val="0"/>
        </c:dLbls>
        <c:gapWidth val="150"/>
        <c:overlap val="100"/>
        <c:axId val="495302575"/>
        <c:axId val="1922736623"/>
      </c:barChart>
      <c:catAx>
        <c:axId val="49530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36623"/>
        <c:crosses val="autoZero"/>
        <c:auto val="1"/>
        <c:lblAlgn val="ctr"/>
        <c:lblOffset val="100"/>
        <c:noMultiLvlLbl val="0"/>
      </c:catAx>
      <c:valAx>
        <c:axId val="1922736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30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data.xlsx]charts!PivotTable24</c:name>
    <c:fmtId val="1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net</a:t>
            </a:r>
            <a:r>
              <a:rPr lang="en-US" baseline="0"/>
              <a:t> sales</a:t>
            </a:r>
            <a:endParaRPr lang="en-US"/>
          </a:p>
        </c:rich>
      </c:tx>
      <c:layout>
        <c:manualLayout>
          <c:xMode val="edge"/>
          <c:yMode val="edge"/>
          <c:x val="0.42437248143479761"/>
          <c:y val="3.111433778317751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charts!$V$39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23-4358-8A85-A7CED152D5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23-4358-8A85-A7CED152D5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23-4358-8A85-A7CED152D5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23-4358-8A85-A7CED152D5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D1-4A18-BE30-7A757F6A618C}"/>
              </c:ext>
            </c:extLst>
          </c:dPt>
          <c:cat>
            <c:strRef>
              <c:f>charts!$U$40:$U$45</c:f>
              <c:strCache>
                <c:ptCount val="5"/>
                <c:pt idx="0">
                  <c:v>Europe</c:v>
                </c:pt>
                <c:pt idx="1">
                  <c:v>North America</c:v>
                </c:pt>
                <c:pt idx="2">
                  <c:v>Asia Pacific</c:v>
                </c:pt>
                <c:pt idx="3">
                  <c:v>Middle East &amp; Africa</c:v>
                </c:pt>
                <c:pt idx="4">
                  <c:v>South America</c:v>
                </c:pt>
              </c:strCache>
            </c:strRef>
          </c:cat>
          <c:val>
            <c:numRef>
              <c:f>charts!$V$40:$V$45</c:f>
              <c:numCache>
                <c:formatCode>"₹"\ #,##0.00</c:formatCode>
                <c:ptCount val="5"/>
                <c:pt idx="0">
                  <c:v>116254.43149999995</c:v>
                </c:pt>
                <c:pt idx="1">
                  <c:v>107419.95750000006</c:v>
                </c:pt>
                <c:pt idx="2">
                  <c:v>104043.66800000009</c:v>
                </c:pt>
                <c:pt idx="3">
                  <c:v>39394.519999999997</c:v>
                </c:pt>
                <c:pt idx="4">
                  <c:v>38686.054500000006</c:v>
                </c:pt>
              </c:numCache>
            </c:numRef>
          </c:val>
          <c:extLst>
            <c:ext xmlns:c16="http://schemas.microsoft.com/office/drawing/2014/chart" uri="{C3380CC4-5D6E-409C-BE32-E72D297353CC}">
              <c16:uniqueId val="{00000000-3CCE-4D23-8083-9B441F8901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 commerce data.xlsx]charts!PivotTable13</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Bodoni MT Black" panose="02070A03080606020203" pitchFamily="18" charset="0"/>
                <a:ea typeface="+mn-ea"/>
                <a:cs typeface="+mn-cs"/>
              </a:defRPr>
            </a:pPr>
            <a:r>
              <a:rPr lang="en-US" sz="1600">
                <a:latin typeface="Bodoni MT Black" panose="02070A03080606020203" pitchFamily="18" charset="0"/>
              </a:rPr>
              <a:t>monthly</a:t>
            </a:r>
            <a:r>
              <a:rPr lang="en-US" sz="1600" baseline="0">
                <a:latin typeface="Bodoni MT Black" panose="02070A03080606020203" pitchFamily="18" charset="0"/>
              </a:rPr>
              <a:t> sales</a:t>
            </a:r>
            <a:endParaRPr lang="en-US" sz="1600">
              <a:latin typeface="Bodoni MT Black" panose="02070A03080606020203" pitchFamily="18" charset="0"/>
            </a:endParaRPr>
          </a:p>
        </c:rich>
      </c:tx>
      <c:layout>
        <c:manualLayout>
          <c:xMode val="edge"/>
          <c:yMode val="edge"/>
          <c:x val="0.43158514967952732"/>
          <c:y val="1.854793336035424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51691472216841"/>
          <c:y val="0.11520954242493017"/>
          <c:w val="0.84606708323107116"/>
          <c:h val="0.71007855525037156"/>
        </c:manualLayout>
      </c:layout>
      <c:lineChart>
        <c:grouping val="standard"/>
        <c:varyColors val="0"/>
        <c:ser>
          <c:idx val="0"/>
          <c:order val="0"/>
          <c:tx>
            <c:strRef>
              <c:f>charts!$B$3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charts!$A$4:$A$15</c:f>
              <c:strCache>
                <c:ptCount val="11"/>
                <c:pt idx="0">
                  <c:v>January</c:v>
                </c:pt>
                <c:pt idx="1">
                  <c:v>February</c:v>
                </c:pt>
                <c:pt idx="2">
                  <c:v>March</c:v>
                </c:pt>
                <c:pt idx="3">
                  <c:v>April</c:v>
                </c:pt>
                <c:pt idx="4">
                  <c:v>May</c:v>
                </c:pt>
                <c:pt idx="5">
                  <c:v>July</c:v>
                </c:pt>
                <c:pt idx="6">
                  <c:v>August</c:v>
                </c:pt>
                <c:pt idx="7">
                  <c:v>September</c:v>
                </c:pt>
                <c:pt idx="8">
                  <c:v>October</c:v>
                </c:pt>
                <c:pt idx="9">
                  <c:v>November</c:v>
                </c:pt>
                <c:pt idx="10">
                  <c:v>December</c:v>
                </c:pt>
              </c:strCache>
            </c:strRef>
          </c:cat>
          <c:val>
            <c:numRef>
              <c:f>charts!$B$4:$B$15</c:f>
              <c:numCache>
                <c:formatCode>"₹"\ #,##0.00</c:formatCode>
                <c:ptCount val="11"/>
                <c:pt idx="0">
                  <c:v>31611.59</c:v>
                </c:pt>
                <c:pt idx="1">
                  <c:v>36260.55000000001</c:v>
                </c:pt>
                <c:pt idx="2">
                  <c:v>34378.890000000007</c:v>
                </c:pt>
                <c:pt idx="3">
                  <c:v>44203.66</c:v>
                </c:pt>
                <c:pt idx="4">
                  <c:v>42434.470000000008</c:v>
                </c:pt>
                <c:pt idx="5">
                  <c:v>45671.219999999987</c:v>
                </c:pt>
                <c:pt idx="6">
                  <c:v>34157.009999999995</c:v>
                </c:pt>
                <c:pt idx="7">
                  <c:v>36002.050000000003</c:v>
                </c:pt>
                <c:pt idx="8">
                  <c:v>51095.400000000016</c:v>
                </c:pt>
                <c:pt idx="9">
                  <c:v>39669.780000000013</c:v>
                </c:pt>
                <c:pt idx="10">
                  <c:v>45379.869999999988</c:v>
                </c:pt>
              </c:numCache>
            </c:numRef>
          </c:val>
          <c:smooth val="0"/>
          <c:extLst>
            <c:ext xmlns:c16="http://schemas.microsoft.com/office/drawing/2014/chart" uri="{C3380CC4-5D6E-409C-BE32-E72D297353CC}">
              <c16:uniqueId val="{00000000-365B-466E-94D5-92E4E86298F2}"/>
            </c:ext>
          </c:extLst>
        </c:ser>
        <c:dLbls>
          <c:showLegendKey val="0"/>
          <c:showVal val="0"/>
          <c:showCatName val="0"/>
          <c:showSerName val="0"/>
          <c:showPercent val="0"/>
          <c:showBubbleSize val="0"/>
        </c:dLbls>
        <c:marker val="1"/>
        <c:smooth val="0"/>
        <c:axId val="495875327"/>
        <c:axId val="1922739503"/>
      </c:lineChart>
      <c:catAx>
        <c:axId val="49587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crossAx val="1922739503"/>
        <c:crosses val="autoZero"/>
        <c:auto val="1"/>
        <c:lblAlgn val="ctr"/>
        <c:lblOffset val="100"/>
        <c:noMultiLvlLbl val="0"/>
      </c:catAx>
      <c:valAx>
        <c:axId val="1922739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Bodoni MT Black" panose="02070A03080606020203" pitchFamily="18" charset="0"/>
                <a:ea typeface="+mn-ea"/>
                <a:cs typeface="+mn-cs"/>
              </a:defRPr>
            </a:pPr>
            <a:endParaRPr lang="en-US"/>
          </a:p>
        </c:txPr>
        <c:crossAx val="49587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Bodoni MT Black" panose="02070A030806060202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data.xlsx]charts!PivotTable14</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63500" sx="102000" sy="102000" algn="ctr" rotWithShape="0">
              <a:prstClr val="black">
                <a:alpha val="20000"/>
              </a:prstClr>
            </a:outerShdw>
          </a:effectLst>
        </c:spPr>
      </c:pivotFmt>
      <c:pivotFmt>
        <c:idx val="2"/>
        <c:spPr>
          <a:solidFill>
            <a:schemeClr val="accent6"/>
          </a:solidFill>
          <a:ln>
            <a:noFill/>
          </a:ln>
          <a:effectLst>
            <a:outerShdw blurRad="63500" sx="102000" sy="102000" algn="ctr" rotWithShape="0">
              <a:prstClr val="black">
                <a:alpha val="20000"/>
              </a:prstClr>
            </a:outerShdw>
          </a:effectLst>
        </c:spPr>
      </c:pivotFmt>
      <c:pivotFmt>
        <c:idx val="3"/>
        <c:spPr>
          <a:solidFill>
            <a:schemeClr val="accent6"/>
          </a:solidFill>
          <a:ln>
            <a:noFill/>
          </a:ln>
          <a:effectLst>
            <a:outerShdw blurRad="63500" sx="102000" sy="102000" algn="ctr" rotWithShape="0">
              <a:prstClr val="black">
                <a:alpha val="20000"/>
              </a:prstClr>
            </a:outerShdw>
          </a:effectLst>
        </c:spPr>
      </c:pivotFmt>
      <c:pivotFmt>
        <c:idx val="4"/>
        <c:spPr>
          <a:solidFill>
            <a:schemeClr val="accent6"/>
          </a:solidFill>
          <a:ln>
            <a:noFill/>
          </a:ln>
          <a:effectLst>
            <a:outerShdw blurRad="63500" sx="102000" sy="102000" algn="ctr" rotWithShape="0">
              <a:prstClr val="black">
                <a:alpha val="20000"/>
              </a:prstClr>
            </a:outerShdw>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outerShdw blurRad="63500" sx="102000" sy="102000" algn="ctr" rotWithShape="0">
              <a:prstClr val="black">
                <a:alpha val="20000"/>
              </a:prstClr>
            </a:outerShdw>
          </a:effectLst>
        </c:spPr>
      </c:pivotFmt>
      <c:pivotFmt>
        <c:idx val="7"/>
        <c:spPr>
          <a:solidFill>
            <a:schemeClr val="accent6"/>
          </a:solidFill>
          <a:ln>
            <a:noFill/>
          </a:ln>
          <a:effectLst>
            <a:outerShdw blurRad="63500" sx="102000" sy="102000" algn="ctr" rotWithShape="0">
              <a:prstClr val="black">
                <a:alpha val="20000"/>
              </a:prstClr>
            </a:outerShdw>
          </a:effectLst>
        </c:spPr>
      </c:pivotFmt>
      <c:pivotFmt>
        <c:idx val="8"/>
        <c:spPr>
          <a:solidFill>
            <a:schemeClr val="accent6"/>
          </a:solidFill>
          <a:ln>
            <a:noFill/>
          </a:ln>
          <a:effectLst>
            <a:outerShdw blurRad="63500" sx="102000" sy="102000" algn="ctr" rotWithShape="0">
              <a:prstClr val="black">
                <a:alpha val="20000"/>
              </a:prstClr>
            </a:outerShdw>
          </a:effectLst>
        </c:spPr>
      </c:pivotFmt>
      <c:pivotFmt>
        <c:idx val="9"/>
        <c:spPr>
          <a:solidFill>
            <a:schemeClr val="accent6"/>
          </a:solidFill>
          <a:ln>
            <a:noFill/>
          </a:ln>
          <a:effectLst>
            <a:outerShdw blurRad="63500" sx="102000" sy="102000" algn="ctr" rotWithShape="0">
              <a:prstClr val="black">
                <a:alpha val="20000"/>
              </a:prstClr>
            </a:outerShdw>
          </a:effectLst>
        </c:spP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outerShdw blurRad="63500" sx="102000" sy="102000" algn="ctr" rotWithShape="0">
              <a:prstClr val="black">
                <a:alpha val="20000"/>
              </a:prstClr>
            </a:outerShdw>
          </a:effectLst>
        </c:spPr>
      </c:pivotFmt>
      <c:pivotFmt>
        <c:idx val="12"/>
        <c:spPr>
          <a:solidFill>
            <a:schemeClr val="accent6"/>
          </a:solidFill>
          <a:ln>
            <a:noFill/>
          </a:ln>
          <a:effectLst>
            <a:outerShdw blurRad="63500" sx="102000" sy="102000" algn="ctr" rotWithShape="0">
              <a:prstClr val="black">
                <a:alpha val="20000"/>
              </a:prstClr>
            </a:outerShdw>
          </a:effectLst>
        </c:spPr>
      </c:pivotFmt>
      <c:pivotFmt>
        <c:idx val="13"/>
        <c:spPr>
          <a:solidFill>
            <a:schemeClr val="accent6"/>
          </a:solidFill>
          <a:ln>
            <a:noFill/>
          </a:ln>
          <a:effectLst>
            <a:outerShdw blurRad="63500" sx="102000" sy="102000" algn="ctr" rotWithShape="0">
              <a:prstClr val="black">
                <a:alpha val="20000"/>
              </a:prstClr>
            </a:outerShdw>
          </a:effectLst>
        </c:spPr>
      </c:pivotFmt>
      <c:pivotFmt>
        <c:idx val="14"/>
        <c:spPr>
          <a:solidFill>
            <a:schemeClr val="accent6"/>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21370778652668415"/>
          <c:y val="0.24476633129192185"/>
          <c:w val="0.41147353455818025"/>
          <c:h val="0.68578922426363376"/>
        </c:manualLayout>
      </c:layout>
      <c:pieChart>
        <c:varyColors val="1"/>
        <c:ser>
          <c:idx val="0"/>
          <c:order val="0"/>
          <c:tx>
            <c:strRef>
              <c:f>charts!$N$4</c:f>
              <c:strCache>
                <c:ptCount val="1"/>
                <c:pt idx="0">
                  <c:v>Total</c:v>
                </c:pt>
              </c:strCache>
            </c:strRef>
          </c:tx>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FC7-447B-A20C-449ED17A317F}"/>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FC7-447B-A20C-449ED17A317F}"/>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FC7-447B-A20C-449ED17A317F}"/>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FC7-447B-A20C-449ED17A317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charts!$M$5:$M$9</c:f>
              <c:strCache>
                <c:ptCount val="4"/>
                <c:pt idx="0">
                  <c:v>Credit Card</c:v>
                </c:pt>
                <c:pt idx="1">
                  <c:v>PayPal</c:v>
                </c:pt>
                <c:pt idx="2">
                  <c:v>Cash on Delivery</c:v>
                </c:pt>
                <c:pt idx="3">
                  <c:v>Bank Transfer</c:v>
                </c:pt>
              </c:strCache>
            </c:strRef>
          </c:cat>
          <c:val>
            <c:numRef>
              <c:f>charts!$N$5:$N$9</c:f>
              <c:numCache>
                <c:formatCode>"₹"\ #,##0.00</c:formatCode>
                <c:ptCount val="4"/>
                <c:pt idx="0">
                  <c:v>175548.56000000003</c:v>
                </c:pt>
                <c:pt idx="1">
                  <c:v>130957.66</c:v>
                </c:pt>
                <c:pt idx="2">
                  <c:v>67300.799999999988</c:v>
                </c:pt>
                <c:pt idx="3">
                  <c:v>67057.47</c:v>
                </c:pt>
              </c:numCache>
            </c:numRef>
          </c:val>
          <c:extLst>
            <c:ext xmlns:c16="http://schemas.microsoft.com/office/drawing/2014/chart" uri="{C3380CC4-5D6E-409C-BE32-E72D297353CC}">
              <c16:uniqueId val="{00000008-EFC7-447B-A20C-449ED17A317F}"/>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prstDash val="solid"/>
      <a:round/>
    </a:ln>
    <a:effectLst>
      <a:glow rad="139700">
        <a:schemeClr val="accent3">
          <a:satMod val="175000"/>
          <a:alpha val="40000"/>
        </a:schemeClr>
      </a:glow>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doni MT Black" panose="02070A03080606020203" pitchFamily="18" charset="0"/>
                <a:ea typeface="+mn-ea"/>
                <a:cs typeface="+mn-cs"/>
              </a:defRPr>
            </a:pPr>
            <a:r>
              <a:rPr lang="en-US">
                <a:latin typeface="Bodoni MT Black" panose="02070A03080606020203" pitchFamily="18" charset="0"/>
              </a:rPr>
              <a:t>order</a:t>
            </a:r>
            <a:r>
              <a:rPr lang="en-US" baseline="0">
                <a:latin typeface="Bodoni MT Black" panose="02070A03080606020203" pitchFamily="18" charset="0"/>
              </a:rPr>
              <a:t> method</a:t>
            </a:r>
            <a:endParaRPr lang="en-US">
              <a:latin typeface="Bodoni MT Black" panose="02070A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charts!$AJ$4</c:f>
              <c:strCache>
                <c:ptCount val="1"/>
                <c:pt idx="0">
                  <c:v>Total</c:v>
                </c:pt>
              </c:strCache>
            </c:strRef>
          </c:tx>
          <c:spPr>
            <a:solidFill>
              <a:schemeClr val="tx2">
                <a:lumMod val="50000"/>
                <a:lumOff val="50000"/>
              </a:schemeClr>
            </a:solidFill>
            <a:ln>
              <a:noFill/>
            </a:ln>
            <a:effectLst/>
          </c:spPr>
          <c:invertIfNegative val="0"/>
          <c:cat>
            <c:strRef>
              <c:f>charts!$AI$5:$AI$9</c:f>
              <c:strCache>
                <c:ptCount val="4"/>
                <c:pt idx="0">
                  <c:v>Credit Card</c:v>
                </c:pt>
                <c:pt idx="1">
                  <c:v>PayPal</c:v>
                </c:pt>
                <c:pt idx="2">
                  <c:v>Bank Transfer</c:v>
                </c:pt>
                <c:pt idx="3">
                  <c:v>Cash on Delivery</c:v>
                </c:pt>
              </c:strCache>
            </c:strRef>
          </c:cat>
          <c:val>
            <c:numRef>
              <c:f>charts!$AJ$5:$AJ$9</c:f>
              <c:numCache>
                <c:formatCode>General</c:formatCode>
                <c:ptCount val="4"/>
                <c:pt idx="0">
                  <c:v>722</c:v>
                </c:pt>
                <c:pt idx="1">
                  <c:v>567</c:v>
                </c:pt>
                <c:pt idx="2">
                  <c:v>277</c:v>
                </c:pt>
                <c:pt idx="3">
                  <c:v>267</c:v>
                </c:pt>
              </c:numCache>
            </c:numRef>
          </c:val>
          <c:extLst>
            <c:ext xmlns:c16="http://schemas.microsoft.com/office/drawing/2014/chart" uri="{C3380CC4-5D6E-409C-BE32-E72D297353CC}">
              <c16:uniqueId val="{00000000-D21E-425E-83CA-9B622A3467A5}"/>
            </c:ext>
          </c:extLst>
        </c:ser>
        <c:dLbls>
          <c:showLegendKey val="0"/>
          <c:showVal val="0"/>
          <c:showCatName val="0"/>
          <c:showSerName val="0"/>
          <c:showPercent val="0"/>
          <c:showBubbleSize val="0"/>
        </c:dLbls>
        <c:gapWidth val="219"/>
        <c:overlap val="-27"/>
        <c:axId val="495300719"/>
        <c:axId val="1922726543"/>
      </c:barChart>
      <c:catAx>
        <c:axId val="49530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Cooper Black" panose="0208090404030B020404" pitchFamily="18" charset="0"/>
                <a:ea typeface="+mn-ea"/>
                <a:cs typeface="+mn-cs"/>
              </a:defRPr>
            </a:pPr>
            <a:endParaRPr lang="en-US"/>
          </a:p>
        </c:txPr>
        <c:crossAx val="1922726543"/>
        <c:crosses val="autoZero"/>
        <c:auto val="1"/>
        <c:lblAlgn val="ctr"/>
        <c:lblOffset val="100"/>
        <c:noMultiLvlLbl val="0"/>
      </c:catAx>
      <c:valAx>
        <c:axId val="192272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Eras Bold ITC" panose="020B0907030504020204" pitchFamily="34" charset="0"/>
                <a:ea typeface="+mn-ea"/>
                <a:cs typeface="+mn-cs"/>
              </a:defRPr>
            </a:pPr>
            <a:endParaRPr lang="en-US"/>
          </a:p>
        </c:txPr>
        <c:crossAx val="49530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odoni MT Black" panose="02070A030806060202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noFill/>
      <a:round/>
    </a:ln>
    <a:effectLst>
      <a:glow rad="101600">
        <a:schemeClr val="accent3">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data.xlsx]charts!PivotTable23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doni MT Black" panose="02070A03080606020203" pitchFamily="18" charset="0"/>
                <a:ea typeface="+mn-ea"/>
                <a:cs typeface="+mn-cs"/>
              </a:defRPr>
            </a:pPr>
            <a:r>
              <a:rPr lang="en-US">
                <a:latin typeface="Bodoni MT Black" panose="02070A03080606020203" pitchFamily="18" charset="0"/>
              </a:rPr>
              <a:t>	Unit</a:t>
            </a:r>
            <a:r>
              <a:rPr lang="en-US" baseline="0">
                <a:latin typeface="Bodoni MT Black" panose="02070A03080606020203" pitchFamily="18" charset="0"/>
              </a:rPr>
              <a:t> sales</a:t>
            </a:r>
            <a:endParaRPr lang="en-US">
              <a:latin typeface="Bodoni MT Black" panose="02070A03080606020203" pitchFamily="18" charset="0"/>
            </a:endParaRPr>
          </a:p>
        </c:rich>
      </c:tx>
      <c:layout>
        <c:manualLayout>
          <c:xMode val="edge"/>
          <c:yMode val="edge"/>
          <c:x val="0.31603974741463531"/>
          <c:y val="5.06784208026588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charts!$M$39</c:f>
              <c:strCache>
                <c:ptCount val="1"/>
                <c:pt idx="0">
                  <c:v>Total</c:v>
                </c:pt>
              </c:strCache>
            </c:strRef>
          </c:tx>
          <c:spPr>
            <a:solidFill>
              <a:schemeClr val="accent3">
                <a:lumMod val="40000"/>
                <a:lumOff val="60000"/>
              </a:schemeClr>
            </a:solidFill>
            <a:ln>
              <a:noFill/>
            </a:ln>
            <a:effectLst/>
          </c:spPr>
          <c:invertIfNegative val="0"/>
          <c:cat>
            <c:strRef>
              <c:f>charts!$L$40:$L$51</c:f>
              <c:strCache>
                <c:ptCount val="11"/>
                <c:pt idx="0">
                  <c:v>January</c:v>
                </c:pt>
                <c:pt idx="1">
                  <c:v>February</c:v>
                </c:pt>
                <c:pt idx="2">
                  <c:v>March</c:v>
                </c:pt>
                <c:pt idx="3">
                  <c:v>April</c:v>
                </c:pt>
                <c:pt idx="4">
                  <c:v>May</c:v>
                </c:pt>
                <c:pt idx="5">
                  <c:v>July</c:v>
                </c:pt>
                <c:pt idx="6">
                  <c:v>August</c:v>
                </c:pt>
                <c:pt idx="7">
                  <c:v>September</c:v>
                </c:pt>
                <c:pt idx="8">
                  <c:v>October</c:v>
                </c:pt>
                <c:pt idx="9">
                  <c:v>November</c:v>
                </c:pt>
                <c:pt idx="10">
                  <c:v>December</c:v>
                </c:pt>
              </c:strCache>
            </c:strRef>
          </c:cat>
          <c:val>
            <c:numRef>
              <c:f>charts!$M$40:$M$51</c:f>
              <c:numCache>
                <c:formatCode>General</c:formatCode>
                <c:ptCount val="11"/>
                <c:pt idx="0">
                  <c:v>138</c:v>
                </c:pt>
                <c:pt idx="1">
                  <c:v>128</c:v>
                </c:pt>
                <c:pt idx="2">
                  <c:v>143</c:v>
                </c:pt>
                <c:pt idx="3">
                  <c:v>182</c:v>
                </c:pt>
                <c:pt idx="4">
                  <c:v>174</c:v>
                </c:pt>
                <c:pt idx="5">
                  <c:v>170</c:v>
                </c:pt>
                <c:pt idx="6">
                  <c:v>162</c:v>
                </c:pt>
                <c:pt idx="7">
                  <c:v>178</c:v>
                </c:pt>
                <c:pt idx="8">
                  <c:v>205</c:v>
                </c:pt>
                <c:pt idx="9">
                  <c:v>162</c:v>
                </c:pt>
                <c:pt idx="10">
                  <c:v>191</c:v>
                </c:pt>
              </c:numCache>
            </c:numRef>
          </c:val>
          <c:extLst>
            <c:ext xmlns:c16="http://schemas.microsoft.com/office/drawing/2014/chart" uri="{C3380CC4-5D6E-409C-BE32-E72D297353CC}">
              <c16:uniqueId val="{00000000-A273-4023-A5B7-E8B00717E4D0}"/>
            </c:ext>
          </c:extLst>
        </c:ser>
        <c:dLbls>
          <c:showLegendKey val="0"/>
          <c:showVal val="0"/>
          <c:showCatName val="0"/>
          <c:showSerName val="0"/>
          <c:showPercent val="0"/>
          <c:showBubbleSize val="0"/>
        </c:dLbls>
        <c:gapWidth val="150"/>
        <c:overlap val="100"/>
        <c:axId val="495302575"/>
        <c:axId val="1922736623"/>
      </c:barChart>
      <c:catAx>
        <c:axId val="49530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Eras Bold ITC" panose="020B0907030504020204" pitchFamily="34" charset="0"/>
                <a:ea typeface="+mn-ea"/>
                <a:cs typeface="+mn-cs"/>
              </a:defRPr>
            </a:pPr>
            <a:endParaRPr lang="en-US"/>
          </a:p>
        </c:txPr>
        <c:crossAx val="1922736623"/>
        <c:crosses val="autoZero"/>
        <c:auto val="1"/>
        <c:lblAlgn val="ctr"/>
        <c:lblOffset val="100"/>
        <c:noMultiLvlLbl val="0"/>
      </c:catAx>
      <c:valAx>
        <c:axId val="1922736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Cooper Black" panose="0208090404030B020404" pitchFamily="18" charset="0"/>
                <a:ea typeface="+mn-ea"/>
                <a:cs typeface="+mn-cs"/>
              </a:defRPr>
            </a:pPr>
            <a:endParaRPr lang="en-US"/>
          </a:p>
        </c:txPr>
        <c:crossAx val="49530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sales</a:t>
            </a:r>
            <a:endParaRPr lang="en-US"/>
          </a:p>
        </c:rich>
      </c:tx>
      <c:layout>
        <c:manualLayout>
          <c:xMode val="edge"/>
          <c:yMode val="edge"/>
          <c:x val="0.49274238269714882"/>
          <c:y val="1.568360419680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958877716459532"/>
          <c:y val="0.16532546835597339"/>
          <c:w val="0.46468594948636299"/>
          <c:h val="0.67574377042340172"/>
        </c:manualLayout>
      </c:layout>
      <c:barChart>
        <c:barDir val="bar"/>
        <c:grouping val="stacked"/>
        <c:varyColors val="0"/>
        <c:ser>
          <c:idx val="0"/>
          <c:order val="0"/>
          <c:tx>
            <c:strRef>
              <c:f>charts!$B$21</c:f>
              <c:strCache>
                <c:ptCount val="1"/>
                <c:pt idx="0">
                  <c:v>Total</c:v>
                </c:pt>
              </c:strCache>
            </c:strRef>
          </c:tx>
          <c:spPr>
            <a:solidFill>
              <a:schemeClr val="accent4">
                <a:lumMod val="75000"/>
              </a:schemeClr>
            </a:solidFill>
            <a:ln>
              <a:noFill/>
            </a:ln>
            <a:effectLst/>
          </c:spPr>
          <c:invertIfNegative val="0"/>
          <c:cat>
            <c:strRef>
              <c:f>charts!$A$22:$A$32</c:f>
              <c:strCache>
                <c:ptCount val="10"/>
                <c:pt idx="0">
                  <c:v>Standing Desk Converter</c:v>
                </c:pt>
                <c:pt idx="1">
                  <c:v>Ergonomic Office Chair</c:v>
                </c:pt>
                <c:pt idx="2">
                  <c:v>Corner L-Shaped Desk</c:v>
                </c:pt>
                <c:pt idx="3">
                  <c:v>Mesh Back Task Chair</c:v>
                </c:pt>
                <c:pt idx="4">
                  <c:v>Wireless Bluetooth Headphones</c:v>
                </c:pt>
                <c:pt idx="5">
                  <c:v>Mechanical Gaming Keyboard</c:v>
                </c:pt>
                <c:pt idx="6">
                  <c:v>Filing Cabinet 3-Drawer</c:v>
                </c:pt>
                <c:pt idx="7">
                  <c:v>Folding Table Portable</c:v>
                </c:pt>
                <c:pt idx="8">
                  <c:v>Portable External SSD 1TB</c:v>
                </c:pt>
                <c:pt idx="9">
                  <c:v>Bookshelf 5-Tier</c:v>
                </c:pt>
              </c:strCache>
            </c:strRef>
          </c:cat>
          <c:val>
            <c:numRef>
              <c:f>charts!$B$22:$B$32</c:f>
              <c:numCache>
                <c:formatCode>"₹"\ #,##0.00</c:formatCode>
                <c:ptCount val="10"/>
                <c:pt idx="0">
                  <c:v>42242.299999999988</c:v>
                </c:pt>
                <c:pt idx="1">
                  <c:v>41015.689999999988</c:v>
                </c:pt>
                <c:pt idx="2">
                  <c:v>34920.749999999993</c:v>
                </c:pt>
                <c:pt idx="3">
                  <c:v>32246.979999999996</c:v>
                </c:pt>
                <c:pt idx="4">
                  <c:v>25336.090000000004</c:v>
                </c:pt>
                <c:pt idx="5">
                  <c:v>22625.78</c:v>
                </c:pt>
                <c:pt idx="6">
                  <c:v>21876.03</c:v>
                </c:pt>
                <c:pt idx="7">
                  <c:v>18254.219999999994</c:v>
                </c:pt>
                <c:pt idx="8">
                  <c:v>16858.789999999997</c:v>
                </c:pt>
                <c:pt idx="9">
                  <c:v>16488.900000000001</c:v>
                </c:pt>
              </c:numCache>
            </c:numRef>
          </c:val>
          <c:extLst>
            <c:ext xmlns:c16="http://schemas.microsoft.com/office/drawing/2014/chart" uri="{C3380CC4-5D6E-409C-BE32-E72D297353CC}">
              <c16:uniqueId val="{00000000-37CB-476C-A3EB-3A955AFCEC47}"/>
            </c:ext>
          </c:extLst>
        </c:ser>
        <c:dLbls>
          <c:showLegendKey val="0"/>
          <c:showVal val="0"/>
          <c:showCatName val="0"/>
          <c:showSerName val="0"/>
          <c:showPercent val="0"/>
          <c:showBubbleSize val="0"/>
        </c:dLbls>
        <c:gapWidth val="150"/>
        <c:overlap val="100"/>
        <c:axId val="712148959"/>
        <c:axId val="1922805743"/>
      </c:barChart>
      <c:catAx>
        <c:axId val="71214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masis MT Pro Black" panose="02040A04050005020304" pitchFamily="18" charset="0"/>
                <a:ea typeface="+mn-ea"/>
                <a:cs typeface="+mn-cs"/>
              </a:defRPr>
            </a:pPr>
            <a:endParaRPr lang="en-US"/>
          </a:p>
        </c:txPr>
        <c:crossAx val="1922805743"/>
        <c:crosses val="autoZero"/>
        <c:auto val="1"/>
        <c:lblAlgn val="ctr"/>
        <c:lblOffset val="100"/>
        <c:noMultiLvlLbl val="0"/>
      </c:catAx>
      <c:valAx>
        <c:axId val="1922805743"/>
        <c:scaling>
          <c:orientation val="minMax"/>
        </c:scaling>
        <c:delete val="0"/>
        <c:axPos val="b"/>
        <c:majorGridlines>
          <c:spPr>
            <a:ln w="12700" cap="flat" cmpd="sng" algn="ctr">
              <a:solidFill>
                <a:schemeClr val="dk1"/>
              </a:solidFill>
              <a:prstDash val="solid"/>
              <a:miter lim="800000"/>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Impact" panose="020B0806030902050204" pitchFamily="34" charset="0"/>
                <a:ea typeface="+mn-ea"/>
                <a:cs typeface="+mn-cs"/>
              </a:defRPr>
            </a:pPr>
            <a:endParaRPr lang="en-US"/>
          </a:p>
        </c:txPr>
        <c:crossAx val="71214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16200000" scaled="1"/>
      <a:tileRect/>
    </a:gradFill>
    <a:ln w="9525" cap="flat" cmpd="sng" algn="ctr">
      <a:noFill/>
      <a:round/>
    </a:ln>
    <a:effectLst>
      <a:glow rad="139700">
        <a:schemeClr val="accent1">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data.xlsx]charts!PivotTable21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sales</a:t>
            </a:r>
            <a:endParaRPr lang="en-US"/>
          </a:p>
        </c:rich>
      </c:tx>
      <c:layout>
        <c:manualLayout>
          <c:xMode val="edge"/>
          <c:yMode val="edge"/>
          <c:x val="0.37861628856118712"/>
          <c:y val="3.56486686593358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452981872856568E-2"/>
          <c:y val="0.19734685820357956"/>
          <c:w val="0.83428515736588515"/>
          <c:h val="0.51288475923976284"/>
        </c:manualLayout>
      </c:layout>
      <c:bar3DChart>
        <c:barDir val="col"/>
        <c:grouping val="percentStacked"/>
        <c:varyColors val="0"/>
        <c:ser>
          <c:idx val="0"/>
          <c:order val="0"/>
          <c:tx>
            <c:strRef>
              <c:f>charts!$AR$19</c:f>
              <c:strCache>
                <c:ptCount val="1"/>
                <c:pt idx="0">
                  <c:v>Total</c:v>
                </c:pt>
              </c:strCache>
            </c:strRef>
          </c:tx>
          <c:spPr>
            <a:solidFill>
              <a:schemeClr val="accent3">
                <a:lumMod val="20000"/>
                <a:lumOff val="80000"/>
              </a:schemeClr>
            </a:solidFill>
            <a:ln>
              <a:noFill/>
            </a:ln>
            <a:effectLst/>
            <a:sp3d/>
          </c:spPr>
          <c:invertIfNegative val="0"/>
          <c:cat>
            <c:strRef>
              <c:f>charts!$AQ$20:$AQ$24</c:f>
              <c:strCache>
                <c:ptCount val="4"/>
                <c:pt idx="0">
                  <c:v>Furniture</c:v>
                </c:pt>
                <c:pt idx="1">
                  <c:v>Technology</c:v>
                </c:pt>
                <c:pt idx="2">
                  <c:v>Clothing &amp; Accessories</c:v>
                </c:pt>
                <c:pt idx="3">
                  <c:v>Office Supplies</c:v>
                </c:pt>
              </c:strCache>
            </c:strRef>
          </c:cat>
          <c:val>
            <c:numRef>
              <c:f>charts!$AR$20:$AR$24</c:f>
              <c:numCache>
                <c:formatCode>"₹"\ #,##0.00</c:formatCode>
                <c:ptCount val="4"/>
                <c:pt idx="0">
                  <c:v>229048.17000000004</c:v>
                </c:pt>
                <c:pt idx="1">
                  <c:v>128007.06999999998</c:v>
                </c:pt>
                <c:pt idx="2">
                  <c:v>65715.930000000051</c:v>
                </c:pt>
                <c:pt idx="3">
                  <c:v>18093.32</c:v>
                </c:pt>
              </c:numCache>
            </c:numRef>
          </c:val>
          <c:extLst>
            <c:ext xmlns:c16="http://schemas.microsoft.com/office/drawing/2014/chart" uri="{C3380CC4-5D6E-409C-BE32-E72D297353CC}">
              <c16:uniqueId val="{00000000-7478-4E7B-AA29-D9A606F09331}"/>
            </c:ext>
          </c:extLst>
        </c:ser>
        <c:dLbls>
          <c:showLegendKey val="0"/>
          <c:showVal val="0"/>
          <c:showCatName val="0"/>
          <c:showSerName val="0"/>
          <c:showPercent val="0"/>
          <c:showBubbleSize val="0"/>
        </c:dLbls>
        <c:gapWidth val="150"/>
        <c:shape val="box"/>
        <c:axId val="717083631"/>
        <c:axId val="1922779343"/>
        <c:axId val="0"/>
      </c:bar3DChart>
      <c:catAx>
        <c:axId val="717083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oper Black" panose="0208090404030B020404" pitchFamily="18" charset="0"/>
                <a:ea typeface="+mn-ea"/>
                <a:cs typeface="+mn-cs"/>
              </a:defRPr>
            </a:pPr>
            <a:endParaRPr lang="en-US"/>
          </a:p>
        </c:txPr>
        <c:crossAx val="1922779343"/>
        <c:crosses val="autoZero"/>
        <c:auto val="1"/>
        <c:lblAlgn val="ctr"/>
        <c:lblOffset val="100"/>
        <c:noMultiLvlLbl val="0"/>
      </c:catAx>
      <c:valAx>
        <c:axId val="1922779343"/>
        <c:scaling>
          <c:orientation val="minMax"/>
        </c:scaling>
        <c:delete val="0"/>
        <c:axPos val="l"/>
        <c:majorGridlines>
          <c:spPr>
            <a:ln w="12700" cap="flat" cmpd="sng" algn="ctr">
              <a:solidFill>
                <a:schemeClr val="dk1"/>
              </a:solidFill>
              <a:prstDash val="solid"/>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ras Bold ITC" panose="020B0907030504020204" pitchFamily="34" charset="0"/>
                <a:ea typeface="+mn-ea"/>
                <a:cs typeface="+mn-cs"/>
              </a:defRPr>
            </a:pPr>
            <a:endParaRPr lang="en-US"/>
          </a:p>
        </c:txPr>
        <c:crossAx val="71708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0" scaled="1"/>
      <a:tileRect/>
    </a:gradFill>
    <a:ln w="9525" cap="flat" cmpd="sng" algn="ctr">
      <a:noFill/>
      <a:round/>
    </a:ln>
    <a:effectLst>
      <a:glow rad="139700">
        <a:schemeClr val="accent1">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tier</a:t>
            </a:r>
            <a:endParaRPr lang="en-US"/>
          </a:p>
        </c:rich>
      </c:tx>
      <c:layout>
        <c:manualLayout>
          <c:xMode val="edge"/>
          <c:yMode val="edge"/>
          <c:x val="0.43740308345968293"/>
          <c:y val="2.82971616073576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275748908186915"/>
          <c:y val="0.15385176666997452"/>
          <c:w val="0.62404571303587053"/>
          <c:h val="0.62159267336859136"/>
        </c:manualLayout>
      </c:layout>
      <c:bar3DChart>
        <c:barDir val="col"/>
        <c:grouping val="standard"/>
        <c:varyColors val="0"/>
        <c:ser>
          <c:idx val="0"/>
          <c:order val="0"/>
          <c:tx>
            <c:strRef>
              <c:f>charts!$Z$21</c:f>
              <c:strCache>
                <c:ptCount val="1"/>
                <c:pt idx="0">
                  <c:v>Total</c:v>
                </c:pt>
              </c:strCache>
            </c:strRef>
          </c:tx>
          <c:spPr>
            <a:solidFill>
              <a:schemeClr val="accent3">
                <a:lumMod val="60000"/>
                <a:lumOff val="40000"/>
              </a:schemeClr>
            </a:solidFill>
            <a:ln>
              <a:noFill/>
            </a:ln>
            <a:effectLst/>
            <a:sp3d/>
          </c:spPr>
          <c:invertIfNegative val="0"/>
          <c:cat>
            <c:strRef>
              <c:f>charts!$Y$22:$Y$25</c:f>
              <c:strCache>
                <c:ptCount val="3"/>
                <c:pt idx="0">
                  <c:v>low</c:v>
                </c:pt>
                <c:pt idx="1">
                  <c:v>medium</c:v>
                </c:pt>
                <c:pt idx="2">
                  <c:v>high</c:v>
                </c:pt>
              </c:strCache>
            </c:strRef>
          </c:cat>
          <c:val>
            <c:numRef>
              <c:f>charts!$Z$22:$Z$25</c:f>
              <c:numCache>
                <c:formatCode>"₹"\ #,##0.00</c:formatCode>
                <c:ptCount val="3"/>
                <c:pt idx="0">
                  <c:v>840</c:v>
                </c:pt>
                <c:pt idx="1">
                  <c:v>756</c:v>
                </c:pt>
                <c:pt idx="2">
                  <c:v>237</c:v>
                </c:pt>
              </c:numCache>
            </c:numRef>
          </c:val>
          <c:extLst>
            <c:ext xmlns:c16="http://schemas.microsoft.com/office/drawing/2014/chart" uri="{C3380CC4-5D6E-409C-BE32-E72D297353CC}">
              <c16:uniqueId val="{00000000-8DDF-4CB9-8164-556F9B356378}"/>
            </c:ext>
          </c:extLst>
        </c:ser>
        <c:dLbls>
          <c:showLegendKey val="0"/>
          <c:showVal val="0"/>
          <c:showCatName val="0"/>
          <c:showSerName val="0"/>
          <c:showPercent val="0"/>
          <c:showBubbleSize val="0"/>
        </c:dLbls>
        <c:gapWidth val="150"/>
        <c:shape val="box"/>
        <c:axId val="717082703"/>
        <c:axId val="1922722223"/>
        <c:axId val="1888671663"/>
      </c:bar3DChart>
      <c:catAx>
        <c:axId val="717082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Selawik Semibold" panose="020B0702040204020203" pitchFamily="34" charset="0"/>
                <a:ea typeface="ADLaM Display" panose="02010000000000000000" pitchFamily="2" charset="0"/>
                <a:cs typeface="ADLaM Display" panose="02010000000000000000" pitchFamily="2" charset="0"/>
              </a:defRPr>
            </a:pPr>
            <a:endParaRPr lang="en-US"/>
          </a:p>
        </c:txPr>
        <c:crossAx val="1922722223"/>
        <c:crosses val="autoZero"/>
        <c:auto val="1"/>
        <c:lblAlgn val="ctr"/>
        <c:lblOffset val="100"/>
        <c:noMultiLvlLbl val="0"/>
      </c:catAx>
      <c:valAx>
        <c:axId val="1922722223"/>
        <c:scaling>
          <c:orientation val="minMax"/>
        </c:scaling>
        <c:delete val="0"/>
        <c:axPos val="l"/>
        <c:majorGridlines>
          <c:spPr>
            <a:ln w="12700" cap="flat" cmpd="sng" algn="ctr">
              <a:solidFill>
                <a:schemeClr val="dk1"/>
              </a:solidFill>
              <a:prstDash val="solid"/>
              <a:miter lim="800000"/>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lawik Semibold" panose="020B0702040204020203" pitchFamily="34" charset="0"/>
                <a:ea typeface="ADLaM Display" panose="02010000000000000000" pitchFamily="2" charset="0"/>
                <a:cs typeface="ADLaM Display" panose="02010000000000000000" pitchFamily="2" charset="0"/>
              </a:defRPr>
            </a:pPr>
            <a:endParaRPr lang="en-US"/>
          </a:p>
        </c:txPr>
        <c:crossAx val="717082703"/>
        <c:crosses val="autoZero"/>
        <c:crossBetween val="between"/>
      </c:valAx>
      <c:serAx>
        <c:axId val="188867166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222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18900000" scaled="1"/>
      <a:tileRect/>
    </a:gradFill>
    <a:ln w="9525" cap="flat" cmpd="sng" algn="ctr">
      <a:noFill/>
      <a:round/>
    </a:ln>
    <a:effectLst>
      <a:glow rad="139700">
        <a:schemeClr val="accent1">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data.xlsx]charts!PivotTable18</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charts!$S$21</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F8-4F81-9521-5A90508C01E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F8-4F81-9521-5A90508C01E5}"/>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0F8-4F81-9521-5A90508C01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charts!$R$22:$R$25</c:f>
              <c:strCache>
                <c:ptCount val="3"/>
                <c:pt idx="0">
                  <c:v>Consumer</c:v>
                </c:pt>
                <c:pt idx="1">
                  <c:v>Corporate</c:v>
                </c:pt>
                <c:pt idx="2">
                  <c:v>Home Office</c:v>
                </c:pt>
              </c:strCache>
            </c:strRef>
          </c:cat>
          <c:val>
            <c:numRef>
              <c:f>charts!$S$22:$S$25</c:f>
              <c:numCache>
                <c:formatCode>"₹"\ #,##0.00</c:formatCode>
                <c:ptCount val="3"/>
                <c:pt idx="0">
                  <c:v>234573.86000000002</c:v>
                </c:pt>
                <c:pt idx="1">
                  <c:v>130088.52999999991</c:v>
                </c:pt>
                <c:pt idx="2">
                  <c:v>76202.099999999919</c:v>
                </c:pt>
              </c:numCache>
            </c:numRef>
          </c:val>
          <c:extLst>
            <c:ext xmlns:c16="http://schemas.microsoft.com/office/drawing/2014/chart" uri="{C3380CC4-5D6E-409C-BE32-E72D297353CC}">
              <c16:uniqueId val="{00000006-C0F8-4F81-9521-5A90508C01E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6352941176470592"/>
          <c:y val="0.34814149034908687"/>
          <c:w val="0.17082352941176471"/>
          <c:h val="0.2856104904516001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0" scaled="1"/>
      <a:tileRect/>
    </a:gradFill>
    <a:ln w="9525" cap="flat" cmpd="sng" algn="ctr">
      <a:noFill/>
      <a:round/>
    </a:ln>
    <a:effectLst>
      <a:glow rad="139700">
        <a:schemeClr val="accent1">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data.xlsx]charts!PivotTable22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DLaM Display" panose="02010000000000000000" pitchFamily="2" charset="0"/>
                <a:ea typeface="ADLaM Display" panose="02010000000000000000" pitchFamily="2" charset="0"/>
                <a:cs typeface="ADLaM Display" panose="02010000000000000000" pitchFamily="2" charset="0"/>
              </a:rPr>
              <a:t>Region</a:t>
            </a:r>
            <a:r>
              <a:rPr lang="en-US" baseline="0">
                <a:latin typeface="ADLaM Display" panose="02010000000000000000" pitchFamily="2" charset="0"/>
                <a:ea typeface="ADLaM Display" panose="02010000000000000000" pitchFamily="2" charset="0"/>
                <a:cs typeface="ADLaM Display" panose="02010000000000000000" pitchFamily="2" charset="0"/>
              </a:rPr>
              <a:t> quantity</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910471436266881E-2"/>
          <c:y val="0.25972489930955123"/>
          <c:w val="0.7739750518859726"/>
          <c:h val="0.37480041714614498"/>
        </c:manualLayout>
      </c:layout>
      <c:bar3DChart>
        <c:barDir val="col"/>
        <c:grouping val="clustered"/>
        <c:varyColors val="0"/>
        <c:ser>
          <c:idx val="0"/>
          <c:order val="0"/>
          <c:tx>
            <c:strRef>
              <c:f>charts!$B$39</c:f>
              <c:strCache>
                <c:ptCount val="1"/>
                <c:pt idx="0">
                  <c:v>Total</c:v>
                </c:pt>
              </c:strCache>
            </c:strRef>
          </c:tx>
          <c:spPr>
            <a:solidFill>
              <a:schemeClr val="accent3">
                <a:lumMod val="60000"/>
                <a:lumOff val="40000"/>
              </a:schemeClr>
            </a:solidFill>
            <a:ln>
              <a:noFill/>
            </a:ln>
            <a:effectLst/>
            <a:sp3d/>
          </c:spPr>
          <c:invertIfNegative val="0"/>
          <c:cat>
            <c:strRef>
              <c:f>charts!$A$40:$A$60</c:f>
              <c:strCache>
                <c:ptCount val="20"/>
                <c:pt idx="0">
                  <c:v>Argentina</c:v>
                </c:pt>
                <c:pt idx="1">
                  <c:v>Australia</c:v>
                </c:pt>
                <c:pt idx="2">
                  <c:v>Brazil</c:v>
                </c:pt>
                <c:pt idx="3">
                  <c:v>Canada</c:v>
                </c:pt>
                <c:pt idx="4">
                  <c:v>China</c:v>
                </c:pt>
                <c:pt idx="5">
                  <c:v>Colombia</c:v>
                </c:pt>
                <c:pt idx="6">
                  <c:v>France</c:v>
                </c:pt>
                <c:pt idx="7">
                  <c:v>Germany</c:v>
                </c:pt>
                <c:pt idx="8">
                  <c:v>India</c:v>
                </c:pt>
                <c:pt idx="9">
                  <c:v>Italy</c:v>
                </c:pt>
                <c:pt idx="10">
                  <c:v>Japan</c:v>
                </c:pt>
                <c:pt idx="11">
                  <c:v>Mexico</c:v>
                </c:pt>
                <c:pt idx="12">
                  <c:v>Nigeria</c:v>
                </c:pt>
                <c:pt idx="13">
                  <c:v>Saudi Arabia</c:v>
                </c:pt>
                <c:pt idx="14">
                  <c:v>South Africa</c:v>
                </c:pt>
                <c:pt idx="15">
                  <c:v>South Korea</c:v>
                </c:pt>
                <c:pt idx="16">
                  <c:v>Spain</c:v>
                </c:pt>
                <c:pt idx="17">
                  <c:v>UAE</c:v>
                </c:pt>
                <c:pt idx="18">
                  <c:v>United Kingdom</c:v>
                </c:pt>
                <c:pt idx="19">
                  <c:v>United States</c:v>
                </c:pt>
              </c:strCache>
            </c:strRef>
          </c:cat>
          <c:val>
            <c:numRef>
              <c:f>charts!$B$40:$B$60</c:f>
              <c:numCache>
                <c:formatCode>General</c:formatCode>
                <c:ptCount val="20"/>
                <c:pt idx="0">
                  <c:v>216</c:v>
                </c:pt>
                <c:pt idx="1">
                  <c:v>359</c:v>
                </c:pt>
                <c:pt idx="2">
                  <c:v>221</c:v>
                </c:pt>
                <c:pt idx="3">
                  <c:v>542</c:v>
                </c:pt>
                <c:pt idx="4">
                  <c:v>381</c:v>
                </c:pt>
                <c:pt idx="5">
                  <c:v>187</c:v>
                </c:pt>
                <c:pt idx="6">
                  <c:v>382</c:v>
                </c:pt>
                <c:pt idx="7">
                  <c:v>367</c:v>
                </c:pt>
                <c:pt idx="8">
                  <c:v>287</c:v>
                </c:pt>
                <c:pt idx="9">
                  <c:v>344</c:v>
                </c:pt>
                <c:pt idx="10">
                  <c:v>445</c:v>
                </c:pt>
                <c:pt idx="11">
                  <c:v>629</c:v>
                </c:pt>
                <c:pt idx="12">
                  <c:v>142</c:v>
                </c:pt>
                <c:pt idx="13">
                  <c:v>169</c:v>
                </c:pt>
                <c:pt idx="14">
                  <c:v>197</c:v>
                </c:pt>
                <c:pt idx="15">
                  <c:v>286</c:v>
                </c:pt>
                <c:pt idx="16">
                  <c:v>263</c:v>
                </c:pt>
                <c:pt idx="17">
                  <c:v>155</c:v>
                </c:pt>
                <c:pt idx="18">
                  <c:v>343</c:v>
                </c:pt>
                <c:pt idx="19">
                  <c:v>628</c:v>
                </c:pt>
              </c:numCache>
            </c:numRef>
          </c:val>
          <c:shape val="cylinder"/>
          <c:extLst>
            <c:ext xmlns:c16="http://schemas.microsoft.com/office/drawing/2014/chart" uri="{C3380CC4-5D6E-409C-BE32-E72D297353CC}">
              <c16:uniqueId val="{00000000-4BA6-4F65-8FF9-8C812E7A6969}"/>
            </c:ext>
          </c:extLst>
        </c:ser>
        <c:dLbls>
          <c:showLegendKey val="0"/>
          <c:showVal val="0"/>
          <c:showCatName val="0"/>
          <c:showSerName val="0"/>
          <c:showPercent val="0"/>
          <c:showBubbleSize val="0"/>
        </c:dLbls>
        <c:gapWidth val="150"/>
        <c:shape val="box"/>
        <c:axId val="694433551"/>
        <c:axId val="1922784143"/>
        <c:axId val="0"/>
      </c:bar3DChart>
      <c:catAx>
        <c:axId val="694433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masis MT Pro Black" panose="02040A04050005020304" pitchFamily="18" charset="0"/>
                <a:ea typeface="+mn-ea"/>
                <a:cs typeface="+mn-cs"/>
              </a:defRPr>
            </a:pPr>
            <a:endParaRPr lang="en-US"/>
          </a:p>
        </c:txPr>
        <c:crossAx val="1922784143"/>
        <c:crosses val="autoZero"/>
        <c:auto val="1"/>
        <c:lblAlgn val="ctr"/>
        <c:lblOffset val="100"/>
        <c:noMultiLvlLbl val="0"/>
      </c:catAx>
      <c:valAx>
        <c:axId val="1922784143"/>
        <c:scaling>
          <c:orientation val="minMax"/>
        </c:scaling>
        <c:delete val="0"/>
        <c:axPos val="l"/>
        <c:majorGridlines>
          <c:spPr>
            <a:ln w="25400" cap="flat" cmpd="sng" algn="ctr">
              <a:solidFill>
                <a:schemeClr val="accent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69443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data.xlsx]charts!PivotTable24</c:name>
    <c:fmtId val="16"/>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Algerian" panose="04020705040A02060702" pitchFamily="82" charset="0"/>
                <a:ea typeface="+mn-ea"/>
                <a:cs typeface="+mn-cs"/>
              </a:defRPr>
            </a:pPr>
            <a:r>
              <a:rPr lang="en-US">
                <a:latin typeface="Algerian" panose="04020705040A02060702" pitchFamily="82" charset="0"/>
              </a:rPr>
              <a:t>net</a:t>
            </a:r>
            <a:r>
              <a:rPr lang="en-US" baseline="0">
                <a:latin typeface="Algerian" panose="04020705040A02060702" pitchFamily="82" charset="0"/>
              </a:rPr>
              <a:t> sales</a:t>
            </a:r>
            <a:endParaRPr lang="en-US">
              <a:latin typeface="Algerian" panose="04020705040A02060702" pitchFamily="82" charset="0"/>
            </a:endParaRPr>
          </a:p>
        </c:rich>
      </c:tx>
      <c:layout>
        <c:manualLayout>
          <c:xMode val="edge"/>
          <c:yMode val="edge"/>
          <c:x val="0.42437248143479761"/>
          <c:y val="3.111433778317751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s>
    <c:plotArea>
      <c:layout/>
      <c:pieChart>
        <c:varyColors val="1"/>
        <c:ser>
          <c:idx val="0"/>
          <c:order val="0"/>
          <c:tx>
            <c:strRef>
              <c:f>charts!$V$39</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9287-4ECB-93E7-03A3338E465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287-4ECB-93E7-03A3338E465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9287-4ECB-93E7-03A3338E465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9287-4ECB-93E7-03A3338E465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9287-4ECB-93E7-03A3338E4652}"/>
              </c:ext>
            </c:extLst>
          </c:dPt>
          <c:cat>
            <c:strRef>
              <c:f>charts!$U$40:$U$45</c:f>
              <c:strCache>
                <c:ptCount val="5"/>
                <c:pt idx="0">
                  <c:v>Europe</c:v>
                </c:pt>
                <c:pt idx="1">
                  <c:v>North America</c:v>
                </c:pt>
                <c:pt idx="2">
                  <c:v>Asia Pacific</c:v>
                </c:pt>
                <c:pt idx="3">
                  <c:v>Middle East &amp; Africa</c:v>
                </c:pt>
                <c:pt idx="4">
                  <c:v>South America</c:v>
                </c:pt>
              </c:strCache>
            </c:strRef>
          </c:cat>
          <c:val>
            <c:numRef>
              <c:f>charts!$V$40:$V$45</c:f>
              <c:numCache>
                <c:formatCode>"₹"\ #,##0.00</c:formatCode>
                <c:ptCount val="5"/>
                <c:pt idx="0">
                  <c:v>116254.43149999995</c:v>
                </c:pt>
                <c:pt idx="1">
                  <c:v>107419.95750000006</c:v>
                </c:pt>
                <c:pt idx="2">
                  <c:v>104043.66800000009</c:v>
                </c:pt>
                <c:pt idx="3">
                  <c:v>39394.519999999997</c:v>
                </c:pt>
                <c:pt idx="4">
                  <c:v>38686.054500000006</c:v>
                </c:pt>
              </c:numCache>
            </c:numRef>
          </c:val>
          <c:extLst>
            <c:ext xmlns:c16="http://schemas.microsoft.com/office/drawing/2014/chart" uri="{C3380CC4-5D6E-409C-BE32-E72D297353CC}">
              <c16:uniqueId val="{0000000A-9287-4ECB-93E7-03A3338E465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188177082074047"/>
          <c:y val="0.24451209103718813"/>
          <c:w val="0.18490435808953079"/>
          <c:h val="0.4734192511218052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Eras Bold ITC" panose="020B09070305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data.xlsx]charts!PivotTable23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a:latin typeface="Eras Bold ITC" panose="020B0907030504020204" pitchFamily="34" charset="0"/>
              </a:rPr>
              <a:t>Unit </a:t>
            </a:r>
            <a:r>
              <a:rPr lang="en-US">
                <a:latin typeface="Eras Bold ITC" panose="020B0907030504020204" pitchFamily="34" charset="0"/>
                <a:ea typeface="ADLaM Display" panose="02010000000000000000" pitchFamily="2" charset="0"/>
                <a:cs typeface="ADLaM Display" panose="02010000000000000000" pitchFamily="2" charset="0"/>
              </a:rPr>
              <a:t>sales</a:t>
            </a:r>
          </a:p>
        </c:rich>
      </c:tx>
      <c:layout>
        <c:manualLayout>
          <c:xMode val="edge"/>
          <c:yMode val="edge"/>
          <c:x val="0.41432032441251171"/>
          <c:y val="2.3416872317902675E-2"/>
        </c:manualLayout>
      </c:layout>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6">
              <a:lumMod val="60000"/>
              <a:lumOff val="40000"/>
            </a:schemeClr>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charts!$M$39</c:f>
              <c:strCache>
                <c:ptCount val="1"/>
                <c:pt idx="0">
                  <c:v>Total</c:v>
                </c:pt>
              </c:strCache>
            </c:strRef>
          </c:tx>
          <c:spPr>
            <a:solidFill>
              <a:schemeClr val="accent6">
                <a:lumMod val="60000"/>
                <a:lumOff val="40000"/>
              </a:schemeClr>
            </a:solidFill>
            <a:ln>
              <a:noFill/>
            </a:ln>
            <a:effectLst/>
            <a:sp3d/>
          </c:spPr>
          <c:invertIfNegative val="0"/>
          <c:cat>
            <c:strRef>
              <c:f>charts!$L$40:$L$51</c:f>
              <c:strCache>
                <c:ptCount val="11"/>
                <c:pt idx="0">
                  <c:v>January</c:v>
                </c:pt>
                <c:pt idx="1">
                  <c:v>February</c:v>
                </c:pt>
                <c:pt idx="2">
                  <c:v>March</c:v>
                </c:pt>
                <c:pt idx="3">
                  <c:v>April</c:v>
                </c:pt>
                <c:pt idx="4">
                  <c:v>May</c:v>
                </c:pt>
                <c:pt idx="5">
                  <c:v>July</c:v>
                </c:pt>
                <c:pt idx="6">
                  <c:v>August</c:v>
                </c:pt>
                <c:pt idx="7">
                  <c:v>September</c:v>
                </c:pt>
                <c:pt idx="8">
                  <c:v>October</c:v>
                </c:pt>
                <c:pt idx="9">
                  <c:v>November</c:v>
                </c:pt>
                <c:pt idx="10">
                  <c:v>December</c:v>
                </c:pt>
              </c:strCache>
            </c:strRef>
          </c:cat>
          <c:val>
            <c:numRef>
              <c:f>charts!$M$40:$M$51</c:f>
              <c:numCache>
                <c:formatCode>General</c:formatCode>
                <c:ptCount val="11"/>
                <c:pt idx="0">
                  <c:v>138</c:v>
                </c:pt>
                <c:pt idx="1">
                  <c:v>128</c:v>
                </c:pt>
                <c:pt idx="2">
                  <c:v>143</c:v>
                </c:pt>
                <c:pt idx="3">
                  <c:v>182</c:v>
                </c:pt>
                <c:pt idx="4">
                  <c:v>174</c:v>
                </c:pt>
                <c:pt idx="5">
                  <c:v>170</c:v>
                </c:pt>
                <c:pt idx="6">
                  <c:v>162</c:v>
                </c:pt>
                <c:pt idx="7">
                  <c:v>178</c:v>
                </c:pt>
                <c:pt idx="8">
                  <c:v>205</c:v>
                </c:pt>
                <c:pt idx="9">
                  <c:v>162</c:v>
                </c:pt>
                <c:pt idx="10">
                  <c:v>191</c:v>
                </c:pt>
              </c:numCache>
            </c:numRef>
          </c:val>
          <c:shape val="pyramidToMax"/>
          <c:extLst>
            <c:ext xmlns:c16="http://schemas.microsoft.com/office/drawing/2014/chart" uri="{C3380CC4-5D6E-409C-BE32-E72D297353CC}">
              <c16:uniqueId val="{00000002-4B41-4F6E-A4F9-338A68DADFFC}"/>
            </c:ext>
          </c:extLst>
        </c:ser>
        <c:dLbls>
          <c:showLegendKey val="0"/>
          <c:showVal val="0"/>
          <c:showCatName val="0"/>
          <c:showSerName val="0"/>
          <c:showPercent val="0"/>
          <c:showBubbleSize val="0"/>
        </c:dLbls>
        <c:gapWidth val="150"/>
        <c:shape val="box"/>
        <c:axId val="706587247"/>
        <c:axId val="1922724623"/>
        <c:axId val="0"/>
      </c:bar3DChart>
      <c:catAx>
        <c:axId val="70658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75000"/>
                    <a:lumOff val="25000"/>
                  </a:schemeClr>
                </a:solidFill>
                <a:latin typeface="Amasis MT Pro Medium" panose="020F0502020204030204" pitchFamily="18" charset="0"/>
                <a:ea typeface="+mn-ea"/>
                <a:cs typeface="+mn-cs"/>
              </a:defRPr>
            </a:pPr>
            <a:endParaRPr lang="en-US"/>
          </a:p>
        </c:txPr>
        <c:crossAx val="1922724623"/>
        <c:crosses val="autoZero"/>
        <c:auto val="1"/>
        <c:lblAlgn val="ctr"/>
        <c:lblOffset val="100"/>
        <c:noMultiLvlLbl val="0"/>
      </c:catAx>
      <c:valAx>
        <c:axId val="1922724623"/>
        <c:scaling>
          <c:orientation val="minMax"/>
        </c:scaling>
        <c:delete val="0"/>
        <c:axPos val="l"/>
        <c:majorGridlines>
          <c:spPr>
            <a:ln w="25400" cap="flat" cmpd="sng" algn="ctr">
              <a:solidFill>
                <a:schemeClr val="accent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doni MT Black" panose="02070A03080606020203" pitchFamily="18" charset="0"/>
                <a:ea typeface="ADLaM Display" panose="02010000000000000000" pitchFamily="2" charset="0"/>
                <a:cs typeface="ADLaM Display" panose="02010000000000000000" pitchFamily="2" charset="0"/>
              </a:defRPr>
            </a:pPr>
            <a:endParaRPr lang="en-US"/>
          </a:p>
        </c:txPr>
        <c:crossAx val="70658724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6">
        <a:lumMod val="20000"/>
        <a:lumOff val="8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data.xlsx]charts!PivotTable15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masis MT Pro Medium" panose="02040604050005020304" pitchFamily="18" charset="0"/>
              </a:rPr>
              <a:t>Region</a:t>
            </a:r>
            <a:r>
              <a:rPr lang="en-US" baseline="0">
                <a:latin typeface="Amasis MT Pro Medium" panose="02040604050005020304" pitchFamily="18" charset="0"/>
              </a:rPr>
              <a:t> sales</a:t>
            </a:r>
            <a:endParaRPr lang="en-US">
              <a:latin typeface="Amasis MT Pro Medium" panose="02040604050005020304" pitchFamily="18" charset="0"/>
            </a:endParaRPr>
          </a:p>
        </c:rich>
      </c:tx>
      <c:layout>
        <c:manualLayout>
          <c:xMode val="edge"/>
          <c:yMode val="edge"/>
          <c:x val="0.41432036875430089"/>
          <c:y val="2.58732485767069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5400" cap="flat" cmpd="sng" algn="ctr">
            <a:solidFill>
              <a:schemeClr val="lt1"/>
            </a:solidFill>
            <a:prstDash val="solid"/>
            <a:miter lim="800000"/>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charts!$Y$4</c:f>
              <c:strCache>
                <c:ptCount val="1"/>
                <c:pt idx="0">
                  <c:v>Total</c:v>
                </c:pt>
              </c:strCache>
            </c:strRef>
          </c:tx>
          <c:spPr>
            <a:solidFill>
              <a:schemeClr val="accent3"/>
            </a:solidFill>
            <a:ln w="25400" cap="flat" cmpd="sng" algn="ctr">
              <a:solidFill>
                <a:schemeClr val="lt1"/>
              </a:solidFill>
              <a:prstDash val="solid"/>
              <a:miter lim="800000"/>
            </a:ln>
            <a:effectLst/>
            <a:sp3d contourW="25400">
              <a:contourClr>
                <a:schemeClr val="lt1"/>
              </a:contourClr>
            </a:sp3d>
          </c:spPr>
          <c:invertIfNegative val="0"/>
          <c:cat>
            <c:strRef>
              <c:f>charts!$X$5:$X$10</c:f>
              <c:strCache>
                <c:ptCount val="5"/>
                <c:pt idx="0">
                  <c:v>Europe</c:v>
                </c:pt>
                <c:pt idx="1">
                  <c:v>North America</c:v>
                </c:pt>
                <c:pt idx="2">
                  <c:v>Asia Pacific</c:v>
                </c:pt>
                <c:pt idx="3">
                  <c:v>Middle East &amp; Africa</c:v>
                </c:pt>
                <c:pt idx="4">
                  <c:v>South America</c:v>
                </c:pt>
              </c:strCache>
            </c:strRef>
          </c:cat>
          <c:val>
            <c:numRef>
              <c:f>charts!$Y$5:$Y$10</c:f>
              <c:numCache>
                <c:formatCode>"₹"\ #,##0.00</c:formatCode>
                <c:ptCount val="5"/>
                <c:pt idx="0">
                  <c:v>126559.63999999998</c:v>
                </c:pt>
                <c:pt idx="1">
                  <c:v>115745.20999999986</c:v>
                </c:pt>
                <c:pt idx="2">
                  <c:v>113057.5100000001</c:v>
                </c:pt>
                <c:pt idx="3">
                  <c:v>43194.51999999999</c:v>
                </c:pt>
                <c:pt idx="4">
                  <c:v>42307.609999999986</c:v>
                </c:pt>
              </c:numCache>
            </c:numRef>
          </c:val>
          <c:extLst>
            <c:ext xmlns:c16="http://schemas.microsoft.com/office/drawing/2014/chart" uri="{C3380CC4-5D6E-409C-BE32-E72D297353CC}">
              <c16:uniqueId val="{00000000-A80B-4E56-A82C-12F72F5AC777}"/>
            </c:ext>
          </c:extLst>
        </c:ser>
        <c:dLbls>
          <c:showLegendKey val="0"/>
          <c:showVal val="0"/>
          <c:showCatName val="0"/>
          <c:showSerName val="0"/>
          <c:showPercent val="0"/>
          <c:showBubbleSize val="0"/>
        </c:dLbls>
        <c:gapWidth val="150"/>
        <c:shape val="box"/>
        <c:axId val="706587247"/>
        <c:axId val="1922724623"/>
        <c:axId val="0"/>
      </c:bar3DChart>
      <c:catAx>
        <c:axId val="70658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922724623"/>
        <c:crosses val="autoZero"/>
        <c:auto val="1"/>
        <c:lblAlgn val="ctr"/>
        <c:lblOffset val="100"/>
        <c:noMultiLvlLbl val="0"/>
      </c:catAx>
      <c:valAx>
        <c:axId val="1922724623"/>
        <c:scaling>
          <c:orientation val="minMax"/>
        </c:scaling>
        <c:delete val="0"/>
        <c:axPos val="l"/>
        <c:majorGridlines>
          <c:spPr>
            <a:ln w="25400" cap="flat" cmpd="sng" algn="ctr">
              <a:solidFill>
                <a:schemeClr val="accent3"/>
              </a:solidFill>
              <a:prstDash val="solid"/>
              <a:miter lim="800000"/>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70658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hyperlink" Target="#'SALES OVERVIEW'!A1"/></Relationships>
</file>

<file path=xl/drawings/_rels/drawing3.xml.rels><?xml version="1.0" encoding="UTF-8" standalone="yes"?>
<Relationships xmlns="http://schemas.openxmlformats.org/package/2006/relationships"><Relationship Id="rId8" Type="http://schemas.openxmlformats.org/officeDocument/2006/relationships/hyperlink" Target="#'PRODUCT ANALYSIS'!A1"/><Relationship Id="rId3" Type="http://schemas.microsoft.com/office/2007/relationships/hdphoto" Target="../media/hdphoto1.wdp"/><Relationship Id="rId7" Type="http://schemas.openxmlformats.org/officeDocument/2006/relationships/chart" Target="../charts/chart16.xml"/><Relationship Id="rId2" Type="http://schemas.openxmlformats.org/officeDocument/2006/relationships/image" Target="../media/image4.png"/><Relationship Id="rId1" Type="http://schemas.openxmlformats.org/officeDocument/2006/relationships/hyperlink" Target="#global_ecommerce_sales!A1"/><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hyperlink" Target="#'REGION SALES'!A1"/></Relationships>
</file>

<file path=xl/drawings/_rels/drawing4.xml.rels><?xml version="1.0" encoding="UTF-8" standalone="yes"?>
<Relationships xmlns="http://schemas.openxmlformats.org/package/2006/relationships"><Relationship Id="rId8" Type="http://schemas.openxmlformats.org/officeDocument/2006/relationships/hyperlink" Target="#'SALES OVERVIEW'!A1"/><Relationship Id="rId3" Type="http://schemas.microsoft.com/office/2007/relationships/hdphoto" Target="../media/hdphoto1.wdp"/><Relationship Id="rId7" Type="http://schemas.openxmlformats.org/officeDocument/2006/relationships/chart" Target="../charts/chart20.xml"/><Relationship Id="rId2" Type="http://schemas.openxmlformats.org/officeDocument/2006/relationships/image" Target="../media/image4.png"/><Relationship Id="rId1" Type="http://schemas.openxmlformats.org/officeDocument/2006/relationships/hyperlink" Target="#global_ecommerce_sales!A1"/><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 Id="rId9" Type="http://schemas.openxmlformats.org/officeDocument/2006/relationships/hyperlink" Target="#'REGION SALES'!A1"/></Relationships>
</file>

<file path=xl/drawings/_rels/drawing5.xml.rels><?xml version="1.0" encoding="UTF-8" standalone="yes"?>
<Relationships xmlns="http://schemas.openxmlformats.org/package/2006/relationships"><Relationship Id="rId8" Type="http://schemas.openxmlformats.org/officeDocument/2006/relationships/hyperlink" Target="#'SALES OVERVIEW'!A1"/><Relationship Id="rId3" Type="http://schemas.microsoft.com/office/2007/relationships/hdphoto" Target="../media/hdphoto1.wdp"/><Relationship Id="rId7" Type="http://schemas.openxmlformats.org/officeDocument/2006/relationships/chart" Target="../charts/chart24.xml"/><Relationship Id="rId2" Type="http://schemas.openxmlformats.org/officeDocument/2006/relationships/image" Target="../media/image5.png"/><Relationship Id="rId1" Type="http://schemas.openxmlformats.org/officeDocument/2006/relationships/hyperlink" Target="#global_ecommerce_sales!A1"/><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9" Type="http://schemas.openxmlformats.org/officeDocument/2006/relationships/hyperlink" Target="#'PRODUCT ANALYSIS'!A1"/></Relationships>
</file>

<file path=xl/drawings/drawing1.xml><?xml version="1.0" encoding="utf-8"?>
<xdr:wsDr xmlns:xdr="http://schemas.openxmlformats.org/drawingml/2006/spreadsheetDrawing" xmlns:a="http://schemas.openxmlformats.org/drawingml/2006/main">
  <xdr:twoCellAnchor>
    <xdr:from>
      <xdr:col>2</xdr:col>
      <xdr:colOff>135143</xdr:colOff>
      <xdr:row>1</xdr:row>
      <xdr:rowOff>148214</xdr:rowOff>
    </xdr:from>
    <xdr:to>
      <xdr:col>11</xdr:col>
      <xdr:colOff>38101</xdr:colOff>
      <xdr:row>16</xdr:row>
      <xdr:rowOff>63500</xdr:rowOff>
    </xdr:to>
    <xdr:graphicFrame macro="">
      <xdr:nvGraphicFramePr>
        <xdr:cNvPr id="2" name="Chart 1">
          <a:extLst>
            <a:ext uri="{FF2B5EF4-FFF2-40B4-BE49-F238E27FC236}">
              <a16:creationId xmlns:a16="http://schemas.microsoft.com/office/drawing/2014/main" id="{B9DFA4D3-7D5E-30AC-4A25-EDAA330A5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31362</xdr:colOff>
      <xdr:row>2</xdr:row>
      <xdr:rowOff>28110</xdr:rowOff>
    </xdr:from>
    <xdr:to>
      <xdr:col>21</xdr:col>
      <xdr:colOff>375191</xdr:colOff>
      <xdr:row>16</xdr:row>
      <xdr:rowOff>169358</xdr:rowOff>
    </xdr:to>
    <xdr:graphicFrame macro="">
      <xdr:nvGraphicFramePr>
        <xdr:cNvPr id="3" name="Chart 2">
          <a:extLst>
            <a:ext uri="{FF2B5EF4-FFF2-40B4-BE49-F238E27FC236}">
              <a16:creationId xmlns:a16="http://schemas.microsoft.com/office/drawing/2014/main" id="{00412958-637A-7821-ED88-C584D5AF2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193984</xdr:colOff>
      <xdr:row>2</xdr:row>
      <xdr:rowOff>51342</xdr:rowOff>
    </xdr:from>
    <xdr:to>
      <xdr:col>32</xdr:col>
      <xdr:colOff>537813</xdr:colOff>
      <xdr:row>17</xdr:row>
      <xdr:rowOff>6737</xdr:rowOff>
    </xdr:to>
    <xdr:graphicFrame macro="">
      <xdr:nvGraphicFramePr>
        <xdr:cNvPr id="4" name="Chart 3">
          <a:extLst>
            <a:ext uri="{FF2B5EF4-FFF2-40B4-BE49-F238E27FC236}">
              <a16:creationId xmlns:a16="http://schemas.microsoft.com/office/drawing/2014/main" id="{53F35B59-DEA6-E27A-4184-183AB692B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598288</xdr:colOff>
      <xdr:row>1</xdr:row>
      <xdr:rowOff>51195</xdr:rowOff>
    </xdr:from>
    <xdr:to>
      <xdr:col>45</xdr:col>
      <xdr:colOff>297655</xdr:colOff>
      <xdr:row>15</xdr:row>
      <xdr:rowOff>127396</xdr:rowOff>
    </xdr:to>
    <xdr:graphicFrame macro="">
      <xdr:nvGraphicFramePr>
        <xdr:cNvPr id="5" name="Chart 4">
          <a:extLst>
            <a:ext uri="{FF2B5EF4-FFF2-40B4-BE49-F238E27FC236}">
              <a16:creationId xmlns:a16="http://schemas.microsoft.com/office/drawing/2014/main" id="{264D04EC-1572-5D2E-13BB-EB675B0A6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467022</xdr:colOff>
      <xdr:row>19</xdr:row>
      <xdr:rowOff>98616</xdr:rowOff>
    </xdr:from>
    <xdr:to>
      <xdr:col>16</xdr:col>
      <xdr:colOff>395540</xdr:colOff>
      <xdr:row>34</xdr:row>
      <xdr:rowOff>177585</xdr:rowOff>
    </xdr:to>
    <xdr:graphicFrame macro="">
      <xdr:nvGraphicFramePr>
        <xdr:cNvPr id="6" name="Chart 5">
          <a:extLst>
            <a:ext uri="{FF2B5EF4-FFF2-40B4-BE49-F238E27FC236}">
              <a16:creationId xmlns:a16="http://schemas.microsoft.com/office/drawing/2014/main" id="{20824BF3-562F-136C-8CF6-3243A9DE4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71673</xdr:colOff>
      <xdr:row>18</xdr:row>
      <xdr:rowOff>179748</xdr:rowOff>
    </xdr:from>
    <xdr:to>
      <xdr:col>23</xdr:col>
      <xdr:colOff>480966</xdr:colOff>
      <xdr:row>28</xdr:row>
      <xdr:rowOff>122599</xdr:rowOff>
    </xdr:to>
    <xdr:graphicFrame macro="">
      <xdr:nvGraphicFramePr>
        <xdr:cNvPr id="7" name="Chart 6">
          <a:extLst>
            <a:ext uri="{FF2B5EF4-FFF2-40B4-BE49-F238E27FC236}">
              <a16:creationId xmlns:a16="http://schemas.microsoft.com/office/drawing/2014/main" id="{24501DDB-E861-DE57-EE2F-E252B9591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137689</xdr:colOff>
      <xdr:row>16</xdr:row>
      <xdr:rowOff>122599</xdr:rowOff>
    </xdr:from>
    <xdr:to>
      <xdr:col>31</xdr:col>
      <xdr:colOff>433811</xdr:colOff>
      <xdr:row>29</xdr:row>
      <xdr:rowOff>150891</xdr:rowOff>
    </xdr:to>
    <xdr:graphicFrame macro="">
      <xdr:nvGraphicFramePr>
        <xdr:cNvPr id="8" name="Chart 7">
          <a:extLst>
            <a:ext uri="{FF2B5EF4-FFF2-40B4-BE49-F238E27FC236}">
              <a16:creationId xmlns:a16="http://schemas.microsoft.com/office/drawing/2014/main" id="{CE88FDB8-BEB1-EF69-1FB2-EB63B1963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216906</xdr:colOff>
      <xdr:row>14</xdr:row>
      <xdr:rowOff>150891</xdr:rowOff>
    </xdr:from>
    <xdr:to>
      <xdr:col>40</xdr:col>
      <xdr:colOff>367797</xdr:colOff>
      <xdr:row>28</xdr:row>
      <xdr:rowOff>93740</xdr:rowOff>
    </xdr:to>
    <xdr:graphicFrame macro="">
      <xdr:nvGraphicFramePr>
        <xdr:cNvPr id="9" name="Chart 8">
          <a:extLst>
            <a:ext uri="{FF2B5EF4-FFF2-40B4-BE49-F238E27FC236}">
              <a16:creationId xmlns:a16="http://schemas.microsoft.com/office/drawing/2014/main" id="{19430E77-067E-F785-0D7D-72737F987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44</xdr:col>
      <xdr:colOff>364025</xdr:colOff>
      <xdr:row>13</xdr:row>
      <xdr:rowOff>104303</xdr:rowOff>
    </xdr:from>
    <xdr:to>
      <xdr:col>54</xdr:col>
      <xdr:colOff>220679</xdr:colOff>
      <xdr:row>28</xdr:row>
      <xdr:rowOff>18295</xdr:rowOff>
    </xdr:to>
    <xdr:graphicFrame macro="">
      <xdr:nvGraphicFramePr>
        <xdr:cNvPr id="10" name="Chart 9">
          <a:extLst>
            <a:ext uri="{FF2B5EF4-FFF2-40B4-BE49-F238E27FC236}">
              <a16:creationId xmlns:a16="http://schemas.microsoft.com/office/drawing/2014/main" id="{6A9AB865-6BC5-DCA3-B80F-973058F96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287396</xdr:colOff>
      <xdr:row>36</xdr:row>
      <xdr:rowOff>168889</xdr:rowOff>
    </xdr:from>
    <xdr:to>
      <xdr:col>9</xdr:col>
      <xdr:colOff>560613</xdr:colOff>
      <xdr:row>51</xdr:row>
      <xdr:rowOff>92189</xdr:rowOff>
    </xdr:to>
    <xdr:graphicFrame macro="">
      <xdr:nvGraphicFramePr>
        <xdr:cNvPr id="11" name="Chart 10">
          <a:extLst>
            <a:ext uri="{FF2B5EF4-FFF2-40B4-BE49-F238E27FC236}">
              <a16:creationId xmlns:a16="http://schemas.microsoft.com/office/drawing/2014/main" id="{A1879289-E0ED-9F3C-B672-F5292C000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428050</xdr:colOff>
      <xdr:row>36</xdr:row>
      <xdr:rowOff>148957</xdr:rowOff>
    </xdr:from>
    <xdr:to>
      <xdr:col>18</xdr:col>
      <xdr:colOff>1075291</xdr:colOff>
      <xdr:row>50</xdr:row>
      <xdr:rowOff>160892</xdr:rowOff>
    </xdr:to>
    <xdr:graphicFrame macro="">
      <xdr:nvGraphicFramePr>
        <xdr:cNvPr id="12" name="Chart 11">
          <a:extLst>
            <a:ext uri="{FF2B5EF4-FFF2-40B4-BE49-F238E27FC236}">
              <a16:creationId xmlns:a16="http://schemas.microsoft.com/office/drawing/2014/main" id="{97D9B206-BB1C-565A-C776-57BCB56AB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283985</xdr:colOff>
      <xdr:row>36</xdr:row>
      <xdr:rowOff>170232</xdr:rowOff>
    </xdr:from>
    <xdr:to>
      <xdr:col>27</xdr:col>
      <xdr:colOff>269331</xdr:colOff>
      <xdr:row>51</xdr:row>
      <xdr:rowOff>55933</xdr:rowOff>
    </xdr:to>
    <xdr:graphicFrame macro="">
      <xdr:nvGraphicFramePr>
        <xdr:cNvPr id="13" name="Chart 12">
          <a:extLst>
            <a:ext uri="{FF2B5EF4-FFF2-40B4-BE49-F238E27FC236}">
              <a16:creationId xmlns:a16="http://schemas.microsoft.com/office/drawing/2014/main" id="{31688409-C044-E7EE-8223-0F6009D9B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57</xdr:col>
      <xdr:colOff>637861</xdr:colOff>
      <xdr:row>0</xdr:row>
      <xdr:rowOff>13739</xdr:rowOff>
    </xdr:from>
    <xdr:to>
      <xdr:col>61</xdr:col>
      <xdr:colOff>155675</xdr:colOff>
      <xdr:row>14</xdr:row>
      <xdr:rowOff>57460</xdr:rowOff>
    </xdr:to>
    <mc:AlternateContent xmlns:mc="http://schemas.openxmlformats.org/markup-compatibility/2006" xmlns:a14="http://schemas.microsoft.com/office/drawing/2010/main">
      <mc:Choice Requires="a14">
        <xdr:graphicFrame macro="">
          <xdr:nvGraphicFramePr>
            <xdr:cNvPr id="14" name="Month Name">
              <a:extLst>
                <a:ext uri="{FF2B5EF4-FFF2-40B4-BE49-F238E27FC236}">
                  <a16:creationId xmlns:a16="http://schemas.microsoft.com/office/drawing/2014/main" id="{96D3B749-8507-58EF-6739-E5A62C9ED20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3341611" y="13739"/>
              <a:ext cx="1808350" cy="2742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4684</xdr:colOff>
      <xdr:row>0</xdr:row>
      <xdr:rowOff>0</xdr:rowOff>
    </xdr:from>
    <xdr:to>
      <xdr:col>57</xdr:col>
      <xdr:colOff>537460</xdr:colOff>
      <xdr:row>14</xdr:row>
      <xdr:rowOff>43721</xdr:rowOff>
    </xdr:to>
    <mc:AlternateContent xmlns:mc="http://schemas.openxmlformats.org/markup-compatibility/2006" xmlns:a14="http://schemas.microsoft.com/office/drawing/2010/main">
      <mc:Choice Requires="a14">
        <xdr:graphicFrame macro="">
          <xdr:nvGraphicFramePr>
            <xdr:cNvPr id="15" name="Product_Category">
              <a:extLst>
                <a:ext uri="{FF2B5EF4-FFF2-40B4-BE49-F238E27FC236}">
                  <a16:creationId xmlns:a16="http://schemas.microsoft.com/office/drawing/2014/main" id="{81291E81-3376-9902-F226-E5B39D071A0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41404416" y="0"/>
              <a:ext cx="1836794" cy="2742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260766</xdr:colOff>
      <xdr:row>0</xdr:row>
      <xdr:rowOff>0</xdr:rowOff>
    </xdr:from>
    <xdr:to>
      <xdr:col>54</xdr:col>
      <xdr:colOff>387559</xdr:colOff>
      <xdr:row>14</xdr:row>
      <xdr:rowOff>43721</xdr:rowOff>
    </xdr:to>
    <mc:AlternateContent xmlns:mc="http://schemas.openxmlformats.org/markup-compatibility/2006" xmlns:a14="http://schemas.microsoft.com/office/drawing/2010/main">
      <mc:Choice Requires="a14">
        <xdr:graphicFrame macro="">
          <xdr:nvGraphicFramePr>
            <xdr:cNvPr id="16" name="Payment_Method">
              <a:extLst>
                <a:ext uri="{FF2B5EF4-FFF2-40B4-BE49-F238E27FC236}">
                  <a16:creationId xmlns:a16="http://schemas.microsoft.com/office/drawing/2014/main" id="{D0A80EA0-87D4-711A-CA0E-954EF102DD5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9460677" y="0"/>
              <a:ext cx="1827686" cy="2742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952501</xdr:colOff>
      <xdr:row>1</xdr:row>
      <xdr:rowOff>42649</xdr:rowOff>
    </xdr:from>
    <xdr:to>
      <xdr:col>22</xdr:col>
      <xdr:colOff>156380</xdr:colOff>
      <xdr:row>5</xdr:row>
      <xdr:rowOff>99513</xdr:rowOff>
    </xdr:to>
    <xdr:pic>
      <xdr:nvPicPr>
        <xdr:cNvPr id="3" name="Graphic 2" descr="Balloons with solid fill">
          <a:hlinkClick xmlns:r="http://schemas.openxmlformats.org/officeDocument/2006/relationships" r:id="rId1"/>
          <a:extLst>
            <a:ext uri="{FF2B5EF4-FFF2-40B4-BE49-F238E27FC236}">
              <a16:creationId xmlns:a16="http://schemas.microsoft.com/office/drawing/2014/main" id="{4066D11C-92D7-F14F-3358-882BCCE11A6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935934" y="227462"/>
          <a:ext cx="796118" cy="7961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-195499</xdr:colOff>
      <xdr:row>0</xdr:row>
      <xdr:rowOff>85644</xdr:rowOff>
    </xdr:from>
    <xdr:to>
      <xdr:col>62</xdr:col>
      <xdr:colOff>522921</xdr:colOff>
      <xdr:row>90</xdr:row>
      <xdr:rowOff>69414</xdr:rowOff>
    </xdr:to>
    <xdr:sp macro="" textlink="">
      <xdr:nvSpPr>
        <xdr:cNvPr id="3" name="Rectangle 2">
          <a:extLst>
            <a:ext uri="{FF2B5EF4-FFF2-40B4-BE49-F238E27FC236}">
              <a16:creationId xmlns:a16="http://schemas.microsoft.com/office/drawing/2014/main" id="{F4751D6E-41C1-71BD-CDFE-B3A8616E3DB5}"/>
            </a:ext>
          </a:extLst>
        </xdr:cNvPr>
        <xdr:cNvSpPr/>
      </xdr:nvSpPr>
      <xdr:spPr>
        <a:xfrm>
          <a:off x="-195499" y="85644"/>
          <a:ext cx="38691420" cy="17128770"/>
        </a:xfrm>
        <a:prstGeom prst="rect">
          <a:avLst/>
        </a:prstGeom>
        <a:solidFill>
          <a:schemeClr val="accent1"/>
        </a:soli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398722</xdr:colOff>
      <xdr:row>18</xdr:row>
      <xdr:rowOff>155059</xdr:rowOff>
    </xdr:from>
    <xdr:to>
      <xdr:col>46</xdr:col>
      <xdr:colOff>170963</xdr:colOff>
      <xdr:row>81</xdr:row>
      <xdr:rowOff>22151</xdr:rowOff>
    </xdr:to>
    <xdr:sp macro="" textlink="">
      <xdr:nvSpPr>
        <xdr:cNvPr id="10" name="Rectangle 9">
          <a:extLst>
            <a:ext uri="{FF2B5EF4-FFF2-40B4-BE49-F238E27FC236}">
              <a16:creationId xmlns:a16="http://schemas.microsoft.com/office/drawing/2014/main" id="{80B948D2-5B89-AE77-9E10-986C622ED670}"/>
            </a:ext>
          </a:extLst>
        </xdr:cNvPr>
        <xdr:cNvSpPr/>
      </xdr:nvSpPr>
      <xdr:spPr>
        <a:xfrm>
          <a:off x="6534594" y="3743547"/>
          <a:ext cx="22720846" cy="12426802"/>
        </a:xfrm>
        <a:prstGeom prst="rect">
          <a:avLst/>
        </a:prstGeom>
        <a:ln>
          <a:noFill/>
        </a:ln>
        <a:effectLst>
          <a:glow rad="139700">
            <a:schemeClr val="accent3">
              <a:satMod val="175000"/>
              <a:alpha val="40000"/>
            </a:schemeClr>
          </a:glow>
        </a:effectLst>
        <a:scene3d>
          <a:camera prst="orthographicFront">
            <a:rot lat="0" lon="0" rev="0"/>
          </a:camera>
          <a:lightRig rig="glow" dir="t">
            <a:rot lat="0" lon="0" rev="14100000"/>
          </a:lightRig>
        </a:scene3d>
        <a:sp3d prstMaterial="softEdge">
          <a:bevelT w="127000" prst="artDeco"/>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72237</xdr:colOff>
      <xdr:row>19</xdr:row>
      <xdr:rowOff>178232</xdr:rowOff>
    </xdr:from>
    <xdr:to>
      <xdr:col>28</xdr:col>
      <xdr:colOff>398721</xdr:colOff>
      <xdr:row>80</xdr:row>
      <xdr:rowOff>132907</xdr:rowOff>
    </xdr:to>
    <xdr:sp macro="" textlink="">
      <xdr:nvSpPr>
        <xdr:cNvPr id="11" name="Rectangle 10">
          <a:extLst>
            <a:ext uri="{FF2B5EF4-FFF2-40B4-BE49-F238E27FC236}">
              <a16:creationId xmlns:a16="http://schemas.microsoft.com/office/drawing/2014/main" id="{8B1BFAAD-D7C0-A24C-0D5A-D5C46E32F590}"/>
            </a:ext>
          </a:extLst>
        </xdr:cNvPr>
        <xdr:cNvSpPr/>
      </xdr:nvSpPr>
      <xdr:spPr>
        <a:xfrm>
          <a:off x="17992528" y="3966081"/>
          <a:ext cx="326484" cy="12115663"/>
        </a:xfrm>
        <a:prstGeom prst="rect">
          <a:avLst/>
        </a:prstGeom>
        <a:ln>
          <a:noFill/>
        </a:ln>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484138</xdr:colOff>
      <xdr:row>49</xdr:row>
      <xdr:rowOff>144267</xdr:rowOff>
    </xdr:from>
    <xdr:to>
      <xdr:col>46</xdr:col>
      <xdr:colOff>132907</xdr:colOff>
      <xdr:row>51</xdr:row>
      <xdr:rowOff>66454</xdr:rowOff>
    </xdr:to>
    <xdr:sp macro="" textlink="">
      <xdr:nvSpPr>
        <xdr:cNvPr id="13" name="Rectangle 12">
          <a:extLst>
            <a:ext uri="{FF2B5EF4-FFF2-40B4-BE49-F238E27FC236}">
              <a16:creationId xmlns:a16="http://schemas.microsoft.com/office/drawing/2014/main" id="{A526DFB6-BC8F-78FC-F03C-D7AA8B2B57B7}"/>
            </a:ext>
          </a:extLst>
        </xdr:cNvPr>
        <xdr:cNvSpPr/>
      </xdr:nvSpPr>
      <xdr:spPr>
        <a:xfrm>
          <a:off x="6620010" y="9912930"/>
          <a:ext cx="22597374" cy="320908"/>
        </a:xfrm>
        <a:prstGeom prst="rect">
          <a:avLst/>
        </a:prstGeom>
        <a:solidFill>
          <a:schemeClr val="accent1"/>
        </a:solidFill>
        <a:ln>
          <a:noFill/>
        </a:ln>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1043032</xdr:colOff>
      <xdr:row>9</xdr:row>
      <xdr:rowOff>182650</xdr:rowOff>
    </xdr:from>
    <xdr:to>
      <xdr:col>9</xdr:col>
      <xdr:colOff>91745</xdr:colOff>
      <xdr:row>82</xdr:row>
      <xdr:rowOff>113008</xdr:rowOff>
    </xdr:to>
    <xdr:sp macro="" textlink="">
      <xdr:nvSpPr>
        <xdr:cNvPr id="14" name="Rectangle 13">
          <a:extLst>
            <a:ext uri="{FF2B5EF4-FFF2-40B4-BE49-F238E27FC236}">
              <a16:creationId xmlns:a16="http://schemas.microsoft.com/office/drawing/2014/main" id="{873FE1DC-0456-952A-A67B-B17C1D64C4E0}"/>
            </a:ext>
          </a:extLst>
        </xdr:cNvPr>
        <xdr:cNvSpPr/>
      </xdr:nvSpPr>
      <xdr:spPr>
        <a:xfrm>
          <a:off x="1043032" y="1926209"/>
          <a:ext cx="5135027" cy="14072562"/>
        </a:xfrm>
        <a:prstGeom prst="rect">
          <a:avLst/>
        </a:prstGeom>
        <a:gradFill flip="none" rotWithShape="1">
          <a:gsLst>
            <a:gs pos="0">
              <a:schemeClr val="accent4">
                <a:lumMod val="50000"/>
                <a:shade val="30000"/>
                <a:satMod val="115000"/>
              </a:schemeClr>
            </a:gs>
            <a:gs pos="50000">
              <a:schemeClr val="accent4">
                <a:lumMod val="50000"/>
                <a:shade val="67500"/>
                <a:satMod val="115000"/>
              </a:schemeClr>
            </a:gs>
            <a:gs pos="100000">
              <a:schemeClr val="accent4">
                <a:lumMod val="50000"/>
                <a:shade val="100000"/>
                <a:satMod val="115000"/>
              </a:schemeClr>
            </a:gs>
          </a:gsLst>
          <a:path path="circle">
            <a:fillToRect l="100000" b="100000"/>
          </a:path>
          <a:tileRect t="-100000" r="-100000"/>
        </a:gradFill>
        <a:ln>
          <a:solidFill>
            <a:schemeClr val="tx1">
              <a:lumMod val="75000"/>
              <a:lumOff val="25000"/>
            </a:schemeClr>
          </a:solidFill>
        </a:ln>
        <a:effectLst>
          <a:glow rad="101600">
            <a:schemeClr val="accent3">
              <a:satMod val="175000"/>
              <a:alpha val="40000"/>
            </a:schemeClr>
          </a:glow>
        </a:effectLst>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aseline="0">
              <a:solidFill>
                <a:schemeClr val="dk1"/>
              </a:solidFill>
            </a:rPr>
            <a:t>                                                                 </a:t>
          </a:r>
          <a:endParaRPr lang="en-IN" sz="3600">
            <a:solidFill>
              <a:schemeClr val="bg2"/>
            </a:solidFill>
          </a:endParaRPr>
        </a:p>
      </xdr:txBody>
    </xdr:sp>
    <xdr:clientData/>
  </xdr:twoCellAnchor>
  <xdr:twoCellAnchor>
    <xdr:from>
      <xdr:col>8</xdr:col>
      <xdr:colOff>180094</xdr:colOff>
      <xdr:row>1</xdr:row>
      <xdr:rowOff>120813</xdr:rowOff>
    </xdr:from>
    <xdr:to>
      <xdr:col>45</xdr:col>
      <xdr:colOff>537308</xdr:colOff>
      <xdr:row>8</xdr:row>
      <xdr:rowOff>76873</xdr:rowOff>
    </xdr:to>
    <xdr:sp macro="" textlink="">
      <xdr:nvSpPr>
        <xdr:cNvPr id="15" name="Rectangle: Rounded Corners 14">
          <a:extLst>
            <a:ext uri="{FF2B5EF4-FFF2-40B4-BE49-F238E27FC236}">
              <a16:creationId xmlns:a16="http://schemas.microsoft.com/office/drawing/2014/main" id="{0353E8BC-02DF-A0D2-EB15-8F2C9456AD86}"/>
            </a:ext>
          </a:extLst>
        </xdr:cNvPr>
        <xdr:cNvSpPr/>
      </xdr:nvSpPr>
      <xdr:spPr>
        <a:xfrm>
          <a:off x="5626440" y="316198"/>
          <a:ext cx="22948560" cy="1323752"/>
        </a:xfrm>
        <a:prstGeom prst="roundRect">
          <a:avLst>
            <a:gd name="adj" fmla="val 38701"/>
          </a:avLst>
        </a:prstGeom>
        <a:solidFill>
          <a:schemeClr val="accent1">
            <a:lumMod val="75000"/>
          </a:schemeClr>
        </a:solidFill>
        <a:ln>
          <a:noFill/>
        </a:ln>
        <a:effectLst>
          <a:glow rad="139700">
            <a:schemeClr val="accent4">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aseline="0"/>
            <a:t>                       </a:t>
          </a:r>
        </a:p>
        <a:p>
          <a:pPr algn="l"/>
          <a:r>
            <a:rPr lang="en-IN" sz="1100" baseline="0"/>
            <a:t>                                                                            </a:t>
          </a:r>
          <a:r>
            <a:rPr lang="en-IN" sz="1100"/>
            <a:t>   </a:t>
          </a:r>
          <a:r>
            <a:rPr lang="en-IN" sz="3600">
              <a:solidFill>
                <a:srgbClr val="66FFCC"/>
              </a:solidFill>
              <a:latin typeface="Algerian" panose="04020705040A02060702" pitchFamily="82" charset="0"/>
            </a:rPr>
            <a:t>GLOBAL ECOMMERCE SALES DASHBOARD                                </a:t>
          </a:r>
          <a:r>
            <a:rPr lang="en-IN" sz="2800">
              <a:solidFill>
                <a:schemeClr val="tx2">
                  <a:lumMod val="25000"/>
                  <a:lumOff val="75000"/>
                </a:schemeClr>
              </a:solidFill>
              <a:latin typeface="Algerian" panose="04020705040A02060702" pitchFamily="82" charset="0"/>
            </a:rPr>
            <a:t>sales</a:t>
          </a:r>
          <a:r>
            <a:rPr lang="en-IN" sz="2800" baseline="0">
              <a:solidFill>
                <a:schemeClr val="tx2">
                  <a:lumMod val="25000"/>
                  <a:lumOff val="75000"/>
                </a:schemeClr>
              </a:solidFill>
              <a:latin typeface="Algerian" panose="04020705040A02060702" pitchFamily="82" charset="0"/>
            </a:rPr>
            <a:t> overview</a:t>
          </a:r>
          <a:r>
            <a:rPr lang="en-IN" sz="2800">
              <a:solidFill>
                <a:schemeClr val="tx2">
                  <a:lumMod val="25000"/>
                  <a:lumOff val="75000"/>
                </a:schemeClr>
              </a:solidFill>
              <a:latin typeface="Algerian" panose="04020705040A02060702" pitchFamily="82" charset="0"/>
            </a:rPr>
            <a:t> </a:t>
          </a:r>
        </a:p>
      </xdr:txBody>
    </xdr:sp>
    <xdr:clientData/>
  </xdr:twoCellAnchor>
  <xdr:twoCellAnchor>
    <xdr:from>
      <xdr:col>10</xdr:col>
      <xdr:colOff>307446</xdr:colOff>
      <xdr:row>9</xdr:row>
      <xdr:rowOff>100206</xdr:rowOff>
    </xdr:from>
    <xdr:to>
      <xdr:col>18</xdr:col>
      <xdr:colOff>139357</xdr:colOff>
      <xdr:row>17</xdr:row>
      <xdr:rowOff>100205</xdr:rowOff>
    </xdr:to>
    <xdr:sp macro="" textlink="">
      <xdr:nvSpPr>
        <xdr:cNvPr id="16" name="Rectangle: Rounded Corners 15">
          <a:extLst>
            <a:ext uri="{FF2B5EF4-FFF2-40B4-BE49-F238E27FC236}">
              <a16:creationId xmlns:a16="http://schemas.microsoft.com/office/drawing/2014/main" id="{7E6725B1-788D-663D-122C-8C4734AD807D}"/>
            </a:ext>
          </a:extLst>
        </xdr:cNvPr>
        <xdr:cNvSpPr/>
      </xdr:nvSpPr>
      <xdr:spPr>
        <a:xfrm>
          <a:off x="6968721" y="1837118"/>
          <a:ext cx="4712695" cy="154392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101600">
            <a:schemeClr val="tx1">
              <a:lumMod val="95000"/>
              <a:lumOff val="5000"/>
              <a:alpha val="60000"/>
            </a:schemeClr>
          </a:glow>
          <a:innerShdw blurRad="63500" dist="50800" dir="16200000">
            <a:prstClr val="black">
              <a:alpha val="50000"/>
            </a:prstClr>
          </a:inn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aseline="0"/>
            <a:t>                                                   </a:t>
          </a:r>
        </a:p>
        <a:p>
          <a:pPr algn="l"/>
          <a:r>
            <a:rPr lang="en-IN" sz="1100" baseline="0"/>
            <a:t>                                                             </a:t>
          </a:r>
          <a:r>
            <a:rPr lang="en-IN" sz="2000" baseline="0">
              <a:ln>
                <a:solidFill>
                  <a:schemeClr val="bg1">
                    <a:lumMod val="75000"/>
                  </a:schemeClr>
                </a:solidFill>
              </a:ln>
              <a:latin typeface="Bodoni MT Black" panose="02070A03080606020203" pitchFamily="18" charset="0"/>
            </a:rPr>
            <a:t>Total Sales</a:t>
          </a:r>
        </a:p>
        <a:p>
          <a:pPr algn="l"/>
          <a:endParaRPr lang="en-IN" sz="2000" baseline="0">
            <a:ln>
              <a:solidFill>
                <a:schemeClr val="bg1">
                  <a:lumMod val="75000"/>
                </a:schemeClr>
              </a:solidFill>
            </a:ln>
            <a:latin typeface="Bodoni MT Black" panose="02070A03080606020203" pitchFamily="18" charset="0"/>
          </a:endParaRPr>
        </a:p>
        <a:p>
          <a:pPr algn="l"/>
          <a:r>
            <a:rPr lang="en-IN" sz="2000" baseline="0">
              <a:ln>
                <a:solidFill>
                  <a:schemeClr val="bg1">
                    <a:lumMod val="75000"/>
                  </a:schemeClr>
                </a:solidFill>
              </a:ln>
              <a:solidFill>
                <a:schemeClr val="bg1">
                  <a:lumMod val="95000"/>
                </a:schemeClr>
              </a:solidFill>
              <a:latin typeface="Bodoni MT Black" panose="02070A03080606020203" pitchFamily="18" charset="0"/>
            </a:rPr>
            <a:t>                </a:t>
          </a:r>
          <a:r>
            <a:rPr lang="en-IN" sz="2000" b="0" i="0" u="none" strike="noStrike">
              <a:ln>
                <a:noFill/>
              </a:ln>
              <a:solidFill>
                <a:schemeClr val="bg1">
                  <a:lumMod val="95000"/>
                </a:schemeClr>
              </a:solidFill>
              <a:effectLst/>
              <a:latin typeface="Eras Bold ITC" panose="020B0907030504020204" pitchFamily="34" charset="0"/>
              <a:ea typeface="+mn-ea"/>
              <a:cs typeface="Aharoni" panose="02010803020104030203" pitchFamily="2" charset="-79"/>
            </a:rPr>
            <a:t>₹ 4,84,559.34</a:t>
          </a:r>
          <a:r>
            <a:rPr lang="en-IN" sz="2000">
              <a:ln>
                <a:noFill/>
              </a:ln>
              <a:solidFill>
                <a:schemeClr val="bg1">
                  <a:lumMod val="95000"/>
                </a:schemeClr>
              </a:solidFill>
              <a:effectLst/>
              <a:latin typeface="Eras Bold ITC" panose="020B0907030504020204" pitchFamily="34" charset="0"/>
              <a:cs typeface="Aharoni" panose="02010803020104030203" pitchFamily="2" charset="-79"/>
            </a:rPr>
            <a:t> </a:t>
          </a:r>
          <a:endParaRPr lang="en-IN" sz="2000">
            <a:ln>
              <a:noFill/>
            </a:ln>
            <a:solidFill>
              <a:schemeClr val="bg1">
                <a:lumMod val="95000"/>
              </a:schemeClr>
            </a:solidFill>
            <a:latin typeface="Eras Bold ITC" panose="020B0907030504020204" pitchFamily="34" charset="0"/>
            <a:cs typeface="Aharoni" panose="02010803020104030203" pitchFamily="2" charset="-79"/>
          </a:endParaRPr>
        </a:p>
      </xdr:txBody>
    </xdr:sp>
    <xdr:clientData/>
  </xdr:twoCellAnchor>
  <xdr:twoCellAnchor>
    <xdr:from>
      <xdr:col>19</xdr:col>
      <xdr:colOff>340962</xdr:colOff>
      <xdr:row>9</xdr:row>
      <xdr:rowOff>106787</xdr:rowOff>
    </xdr:from>
    <xdr:to>
      <xdr:col>27</xdr:col>
      <xdr:colOff>172874</xdr:colOff>
      <xdr:row>17</xdr:row>
      <xdr:rowOff>106786</xdr:rowOff>
    </xdr:to>
    <xdr:sp macro="" textlink="">
      <xdr:nvSpPr>
        <xdr:cNvPr id="19" name="Rectangle: Rounded Corners 18">
          <a:extLst>
            <a:ext uri="{FF2B5EF4-FFF2-40B4-BE49-F238E27FC236}">
              <a16:creationId xmlns:a16="http://schemas.microsoft.com/office/drawing/2014/main" id="{2E54E0E3-49EC-4E7A-A7C1-6122B289DF8F}"/>
            </a:ext>
          </a:extLst>
        </xdr:cNvPr>
        <xdr:cNvSpPr/>
      </xdr:nvSpPr>
      <xdr:spPr>
        <a:xfrm>
          <a:off x="12503654" y="1865249"/>
          <a:ext cx="4716528" cy="156307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101600">
            <a:schemeClr val="tx1">
              <a:lumMod val="95000"/>
              <a:lumOff val="5000"/>
              <a:alpha val="60000"/>
            </a:schemeClr>
          </a:glow>
          <a:innerShdw blurRad="114300">
            <a:prstClr val="black"/>
          </a:inn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b="0" i="0" u="none" strike="noStrike">
            <a:solidFill>
              <a:schemeClr val="lt1"/>
            </a:solidFill>
            <a:effectLst/>
            <a:latin typeface="+mn-lt"/>
            <a:ea typeface="+mn-ea"/>
            <a:cs typeface="+mn-cs"/>
          </a:endParaRPr>
        </a:p>
        <a:p>
          <a:pPr algn="l"/>
          <a:r>
            <a:rPr lang="en-IN" sz="1100" b="0" i="0" u="none" strike="noStrike" baseline="0">
              <a:ln>
                <a:solidFill>
                  <a:schemeClr val="accent3">
                    <a:lumMod val="40000"/>
                    <a:lumOff val="60000"/>
                  </a:schemeClr>
                </a:solidFill>
              </a:ln>
              <a:solidFill>
                <a:schemeClr val="lt1"/>
              </a:solidFill>
              <a:effectLst/>
              <a:latin typeface="+mn-lt"/>
              <a:ea typeface="+mn-ea"/>
              <a:cs typeface="+mn-cs"/>
            </a:rPr>
            <a:t>                                                   </a:t>
          </a:r>
          <a:r>
            <a:rPr lang="en-IN" sz="2000">
              <a:ln>
                <a:solidFill>
                  <a:schemeClr val="accent3">
                    <a:lumMod val="40000"/>
                    <a:lumOff val="60000"/>
                  </a:schemeClr>
                </a:solidFill>
              </a:ln>
              <a:latin typeface="Bodoni MT Black" panose="02070A03080606020203" pitchFamily="18" charset="0"/>
            </a:rPr>
            <a:t>Total</a:t>
          </a:r>
          <a:r>
            <a:rPr lang="en-IN" sz="2000" baseline="0">
              <a:ln>
                <a:solidFill>
                  <a:schemeClr val="accent3">
                    <a:lumMod val="40000"/>
                    <a:lumOff val="60000"/>
                  </a:schemeClr>
                </a:solidFill>
              </a:ln>
              <a:latin typeface="Bodoni MT Black" panose="02070A03080606020203" pitchFamily="18" charset="0"/>
            </a:rPr>
            <a:t> Orders</a:t>
          </a:r>
        </a:p>
        <a:p>
          <a:pPr algn="l"/>
          <a:r>
            <a:rPr lang="en-IN" sz="2000" baseline="0">
              <a:ln>
                <a:solidFill>
                  <a:schemeClr val="accent3">
                    <a:lumMod val="40000"/>
                    <a:lumOff val="60000"/>
                  </a:schemeClr>
                </a:solidFill>
              </a:ln>
              <a:latin typeface="Bodoni MT Black" panose="02070A03080606020203" pitchFamily="18" charset="0"/>
            </a:rPr>
            <a:t>       </a:t>
          </a:r>
        </a:p>
        <a:p>
          <a:pPr algn="l"/>
          <a:r>
            <a:rPr lang="en-IN" sz="2000" baseline="0">
              <a:ln>
                <a:solidFill>
                  <a:schemeClr val="accent3">
                    <a:lumMod val="40000"/>
                    <a:lumOff val="60000"/>
                  </a:schemeClr>
                </a:solidFill>
              </a:ln>
              <a:latin typeface="Bodoni MT Black" panose="02070A03080606020203" pitchFamily="18" charset="0"/>
            </a:rPr>
            <a:t>                 </a:t>
          </a:r>
          <a:r>
            <a:rPr lang="en-IN" sz="2000" baseline="0">
              <a:ln>
                <a:solidFill>
                  <a:schemeClr val="accent3">
                    <a:lumMod val="40000"/>
                    <a:lumOff val="60000"/>
                  </a:schemeClr>
                </a:solidFill>
              </a:ln>
              <a:effectLst>
                <a:glow rad="63500">
                  <a:schemeClr val="accent1">
                    <a:satMod val="175000"/>
                    <a:alpha val="40000"/>
                  </a:schemeClr>
                </a:glow>
              </a:effectLst>
              <a:latin typeface="Bodoni MT Black" panose="02070A03080606020203" pitchFamily="18" charset="0"/>
            </a:rPr>
            <a:t>    </a:t>
          </a:r>
          <a:r>
            <a:rPr lang="en-IN" sz="2000" b="0" i="0" u="none" strike="noStrike">
              <a:ln>
                <a:solidFill>
                  <a:schemeClr val="tx2">
                    <a:lumMod val="50000"/>
                    <a:lumOff val="50000"/>
                  </a:schemeClr>
                </a:solidFill>
              </a:ln>
              <a:solidFill>
                <a:schemeClr val="accent1">
                  <a:lumMod val="60000"/>
                  <a:lumOff val="40000"/>
                </a:schemeClr>
              </a:solidFill>
              <a:effectLst>
                <a:glow rad="63500">
                  <a:schemeClr val="accent1">
                    <a:satMod val="175000"/>
                    <a:alpha val="40000"/>
                  </a:schemeClr>
                </a:glow>
              </a:effectLst>
              <a:latin typeface="Eras Bold ITC" panose="020B0907030504020204" pitchFamily="34" charset="0"/>
              <a:ea typeface="ADLaM Display" panose="02010000000000000000" pitchFamily="2" charset="0"/>
              <a:cs typeface="ADLaM Display" panose="02010000000000000000" pitchFamily="2" charset="0"/>
            </a:rPr>
            <a:t>2000</a:t>
          </a:r>
          <a:r>
            <a:rPr lang="en-IN" sz="2000">
              <a:ln>
                <a:solidFill>
                  <a:schemeClr val="tx2">
                    <a:lumMod val="50000"/>
                    <a:lumOff val="50000"/>
                  </a:schemeClr>
                </a:solidFill>
              </a:ln>
              <a:solidFill>
                <a:schemeClr val="accent1">
                  <a:lumMod val="60000"/>
                  <a:lumOff val="40000"/>
                </a:schemeClr>
              </a:solidFill>
              <a:effectLst>
                <a:glow rad="63500">
                  <a:schemeClr val="accent1">
                    <a:satMod val="175000"/>
                    <a:alpha val="40000"/>
                  </a:schemeClr>
                </a:glow>
              </a:effectLst>
              <a:latin typeface="Eras Bold ITC" panose="020B0907030504020204" pitchFamily="34" charset="0"/>
              <a:ea typeface="ADLaM Display" panose="02010000000000000000" pitchFamily="2" charset="0"/>
              <a:cs typeface="ADLaM Display" panose="02010000000000000000" pitchFamily="2" charset="0"/>
            </a:rPr>
            <a:t> </a:t>
          </a:r>
          <a:endParaRPr lang="en-IN" sz="2000" baseline="0">
            <a:ln>
              <a:solidFill>
                <a:schemeClr val="tx2">
                  <a:lumMod val="50000"/>
                  <a:lumOff val="50000"/>
                </a:schemeClr>
              </a:solidFill>
            </a:ln>
            <a:solidFill>
              <a:schemeClr val="accent1">
                <a:lumMod val="60000"/>
                <a:lumOff val="40000"/>
              </a:schemeClr>
            </a:solidFill>
            <a:effectLst>
              <a:glow rad="63500">
                <a:schemeClr val="accent1">
                  <a:satMod val="175000"/>
                  <a:alpha val="40000"/>
                </a:schemeClr>
              </a:glow>
            </a:effectLst>
            <a:latin typeface="Eras Bold ITC" panose="020B0907030504020204" pitchFamily="34" charset="0"/>
            <a:ea typeface="ADLaM Display" panose="02010000000000000000" pitchFamily="2" charset="0"/>
            <a:cs typeface="ADLaM Display" panose="02010000000000000000" pitchFamily="2" charset="0"/>
          </a:endParaRPr>
        </a:p>
        <a:p>
          <a:pPr algn="l"/>
          <a:endParaRPr lang="en-IN" sz="2000">
            <a:ln>
              <a:solidFill>
                <a:schemeClr val="accent3">
                  <a:lumMod val="40000"/>
                  <a:lumOff val="60000"/>
                </a:schemeClr>
              </a:solidFill>
            </a:ln>
            <a:latin typeface="Bodoni MT Black" panose="02070A03080606020203" pitchFamily="18" charset="0"/>
          </a:endParaRPr>
        </a:p>
      </xdr:txBody>
    </xdr:sp>
    <xdr:clientData/>
  </xdr:twoCellAnchor>
  <xdr:twoCellAnchor>
    <xdr:from>
      <xdr:col>28</xdr:col>
      <xdr:colOff>221475</xdr:colOff>
      <xdr:row>9</xdr:row>
      <xdr:rowOff>119113</xdr:rowOff>
    </xdr:from>
    <xdr:to>
      <xdr:col>36</xdr:col>
      <xdr:colOff>53386</xdr:colOff>
      <xdr:row>17</xdr:row>
      <xdr:rowOff>119112</xdr:rowOff>
    </xdr:to>
    <xdr:sp macro="" textlink="">
      <xdr:nvSpPr>
        <xdr:cNvPr id="20" name="Rectangle: Rounded Corners 19">
          <a:extLst>
            <a:ext uri="{FF2B5EF4-FFF2-40B4-BE49-F238E27FC236}">
              <a16:creationId xmlns:a16="http://schemas.microsoft.com/office/drawing/2014/main" id="{3C048093-B6B1-48A2-B34A-B03CA3AB8407}"/>
            </a:ext>
          </a:extLst>
        </xdr:cNvPr>
        <xdr:cNvSpPr/>
      </xdr:nvSpPr>
      <xdr:spPr>
        <a:xfrm>
          <a:off x="17879360" y="1877575"/>
          <a:ext cx="4716526" cy="156307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101600">
            <a:schemeClr val="tx1">
              <a:lumMod val="95000"/>
              <a:lumOff val="5000"/>
              <a:alpha val="60000"/>
            </a:schemeClr>
          </a:glow>
          <a:innerShdw blurRad="114300">
            <a:prstClr val="black"/>
          </a:inn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aseline="0"/>
            <a:t>                                        </a:t>
          </a:r>
        </a:p>
        <a:p>
          <a:pPr algn="l"/>
          <a:r>
            <a:rPr lang="en-IN" sz="1100" baseline="0"/>
            <a:t>                                             </a:t>
          </a:r>
          <a:r>
            <a:rPr lang="en-IN" sz="1800" baseline="0">
              <a:ln>
                <a:solidFill>
                  <a:schemeClr val="accent3">
                    <a:lumMod val="40000"/>
                    <a:lumOff val="60000"/>
                  </a:schemeClr>
                </a:solidFill>
              </a:ln>
              <a:latin typeface="Cooper Black" panose="0208090404030B020404" pitchFamily="18" charset="0"/>
              <a:ea typeface="ADLaM Display" panose="02010000000000000000" pitchFamily="2" charset="0"/>
              <a:cs typeface="ADLaM Display" panose="02010000000000000000" pitchFamily="2" charset="0"/>
            </a:rPr>
            <a:t>AVG Order Value   </a:t>
          </a:r>
          <a:endParaRPr lang="en-IN" sz="1100" b="0" i="0" u="none" strike="noStrike" baseline="0">
            <a:ln>
              <a:noFill/>
            </a:ln>
            <a:solidFill>
              <a:schemeClr val="lt1"/>
            </a:solidFill>
            <a:effectLst/>
            <a:latin typeface="+mn-lt"/>
            <a:ea typeface="+mn-ea"/>
            <a:cs typeface="+mn-cs"/>
          </a:endParaRPr>
        </a:p>
        <a:p>
          <a:pPr algn="l"/>
          <a:r>
            <a:rPr lang="en-IN" sz="1100" b="0" i="0" u="none" strike="noStrike" baseline="0">
              <a:ln>
                <a:noFill/>
              </a:ln>
              <a:solidFill>
                <a:schemeClr val="lt1"/>
              </a:solidFill>
              <a:effectLst/>
              <a:latin typeface="+mn-lt"/>
              <a:ea typeface="+mn-ea"/>
              <a:cs typeface="+mn-cs"/>
            </a:rPr>
            <a:t> </a:t>
          </a:r>
        </a:p>
        <a:p>
          <a:pPr algn="l"/>
          <a:r>
            <a:rPr lang="en-IN" sz="1100" b="0" i="0" u="none" strike="noStrike" baseline="0">
              <a:ln>
                <a:noFill/>
              </a:ln>
              <a:solidFill>
                <a:schemeClr val="lt1"/>
              </a:solidFill>
              <a:effectLst/>
              <a:latin typeface="+mn-lt"/>
              <a:ea typeface="+mn-ea"/>
              <a:cs typeface="+mn-cs"/>
            </a:rPr>
            <a:t>                                                     </a:t>
          </a:r>
        </a:p>
        <a:p>
          <a:pPr algn="l"/>
          <a:r>
            <a:rPr lang="en-IN" sz="1100" b="0" i="0" u="none" strike="noStrike" baseline="0">
              <a:ln>
                <a:noFill/>
              </a:ln>
              <a:solidFill>
                <a:schemeClr val="lt1"/>
              </a:solidFill>
              <a:effectLst/>
              <a:latin typeface="+mn-lt"/>
              <a:ea typeface="+mn-ea"/>
              <a:cs typeface="+mn-cs"/>
            </a:rPr>
            <a:t>                                                          </a:t>
          </a:r>
          <a:r>
            <a:rPr lang="en-IN" sz="2000" b="0" i="0" u="none" strike="noStrike">
              <a:ln>
                <a:solidFill>
                  <a:schemeClr val="tx2">
                    <a:lumMod val="50000"/>
                    <a:lumOff val="50000"/>
                  </a:schemeClr>
                </a:solidFill>
              </a:ln>
              <a:solidFill>
                <a:schemeClr val="lt1"/>
              </a:solidFill>
              <a:effectLst>
                <a:outerShdw blurRad="50800" dist="38100" dir="2700000" algn="tl" rotWithShape="0">
                  <a:prstClr val="black">
                    <a:alpha val="40000"/>
                  </a:prstClr>
                </a:outerShdw>
              </a:effectLst>
              <a:latin typeface="Eras Bold ITC" panose="020B0907030504020204" pitchFamily="34" charset="0"/>
              <a:ea typeface="+mn-ea"/>
              <a:cs typeface="+mn-cs"/>
            </a:rPr>
            <a:t>₹ 242.28</a:t>
          </a:r>
          <a:r>
            <a:rPr lang="en-IN" sz="2000">
              <a:ln>
                <a:solidFill>
                  <a:schemeClr val="tx2">
                    <a:lumMod val="50000"/>
                    <a:lumOff val="50000"/>
                  </a:schemeClr>
                </a:solidFill>
              </a:ln>
              <a:effectLst>
                <a:outerShdw blurRad="50800" dist="38100" dir="2700000" algn="tl" rotWithShape="0">
                  <a:prstClr val="black">
                    <a:alpha val="40000"/>
                  </a:prstClr>
                </a:outerShdw>
              </a:effectLst>
              <a:latin typeface="Eras Bold ITC" panose="020B0907030504020204" pitchFamily="34" charset="0"/>
            </a:rPr>
            <a:t> </a:t>
          </a:r>
          <a:endParaRPr lang="en-IN" sz="2000">
            <a:ln>
              <a:solidFill>
                <a:schemeClr val="tx2">
                  <a:lumMod val="50000"/>
                  <a:lumOff val="50000"/>
                </a:schemeClr>
              </a:solidFill>
            </a:ln>
            <a:effectLst>
              <a:outerShdw blurRad="50800" dist="38100" dir="2700000" algn="tl" rotWithShape="0">
                <a:prstClr val="black">
                  <a:alpha val="40000"/>
                </a:prstClr>
              </a:outerShdw>
            </a:effectLst>
            <a:latin typeface="Eras Bold ITC" panose="020B0907030504020204" pitchFamily="34" charset="0"/>
            <a:ea typeface="ADLaM Display" panose="02010000000000000000" pitchFamily="2" charset="0"/>
            <a:cs typeface="ADLaM Display" panose="02010000000000000000" pitchFamily="2" charset="0"/>
          </a:endParaRPr>
        </a:p>
      </xdr:txBody>
    </xdr:sp>
    <xdr:clientData/>
  </xdr:twoCellAnchor>
  <xdr:twoCellAnchor>
    <xdr:from>
      <xdr:col>37</xdr:col>
      <xdr:colOff>320002</xdr:colOff>
      <xdr:row>9</xdr:row>
      <xdr:rowOff>117432</xdr:rowOff>
    </xdr:from>
    <xdr:to>
      <xdr:col>45</xdr:col>
      <xdr:colOff>157661</xdr:colOff>
      <xdr:row>17</xdr:row>
      <xdr:rowOff>117431</xdr:rowOff>
    </xdr:to>
    <xdr:sp macro="" textlink="">
      <xdr:nvSpPr>
        <xdr:cNvPr id="21" name="Rectangle: Rounded Corners 20">
          <a:extLst>
            <a:ext uri="{FF2B5EF4-FFF2-40B4-BE49-F238E27FC236}">
              <a16:creationId xmlns:a16="http://schemas.microsoft.com/office/drawing/2014/main" id="{5DBFC94F-6D01-4FE8-BF1D-CDD2EF913F35}"/>
            </a:ext>
          </a:extLst>
        </xdr:cNvPr>
        <xdr:cNvSpPr/>
      </xdr:nvSpPr>
      <xdr:spPr>
        <a:xfrm>
          <a:off x="23473079" y="1875894"/>
          <a:ext cx="4722274" cy="156307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101600">
            <a:schemeClr val="tx1">
              <a:lumMod val="95000"/>
              <a:lumOff val="5000"/>
              <a:alpha val="60000"/>
            </a:schemeClr>
          </a:glow>
          <a:innerShdw blurRad="114300">
            <a:prstClr val="black"/>
          </a:inn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a:p>
          <a:pPr algn="l"/>
          <a:r>
            <a:rPr lang="en-IN" sz="1100" baseline="0"/>
            <a:t>                                                         </a:t>
          </a:r>
          <a:r>
            <a:rPr lang="en-IN" sz="1800" baseline="0">
              <a:ln>
                <a:solidFill>
                  <a:schemeClr val="accent3">
                    <a:lumMod val="40000"/>
                    <a:lumOff val="60000"/>
                  </a:schemeClr>
                </a:solidFill>
              </a:ln>
              <a:latin typeface="Cooper Black" panose="0208090404030B020404" pitchFamily="18" charset="0"/>
            </a:rPr>
            <a:t>Shipping Cost</a:t>
          </a:r>
        </a:p>
        <a:p>
          <a:pPr algn="l"/>
          <a:endParaRPr lang="en-IN" sz="1800" baseline="0">
            <a:ln>
              <a:solidFill>
                <a:schemeClr val="accent3">
                  <a:lumMod val="40000"/>
                  <a:lumOff val="60000"/>
                </a:schemeClr>
              </a:solidFill>
            </a:ln>
            <a:latin typeface="Cooper Black" panose="0208090404030B020404" pitchFamily="18" charset="0"/>
          </a:endParaRPr>
        </a:p>
        <a:p>
          <a:pPr algn="l"/>
          <a:r>
            <a:rPr lang="en-IN" sz="1800" baseline="0">
              <a:ln>
                <a:solidFill>
                  <a:schemeClr val="accent3">
                    <a:lumMod val="40000"/>
                    <a:lumOff val="60000"/>
                  </a:schemeClr>
                </a:solidFill>
              </a:ln>
              <a:latin typeface="Cooper Black" panose="0208090404030B020404" pitchFamily="18" charset="0"/>
            </a:rPr>
            <a:t>                           </a:t>
          </a:r>
          <a:r>
            <a:rPr lang="en-IN" sz="2000" b="0" i="0" u="none" strike="noStrike">
              <a:ln>
                <a:solidFill>
                  <a:schemeClr val="tx2">
                    <a:lumMod val="50000"/>
                    <a:lumOff val="50000"/>
                  </a:schemeClr>
                </a:solidFill>
              </a:ln>
              <a:solidFill>
                <a:schemeClr val="lt1"/>
              </a:solidFill>
              <a:effectLst>
                <a:glow rad="101600">
                  <a:schemeClr val="accent1">
                    <a:satMod val="175000"/>
                    <a:alpha val="40000"/>
                  </a:schemeClr>
                </a:glow>
              </a:effectLst>
              <a:latin typeface="Eras Bold ITC" panose="020B0907030504020204" pitchFamily="34" charset="0"/>
              <a:ea typeface="+mn-ea"/>
              <a:cs typeface="+mn-cs"/>
            </a:rPr>
            <a:t>₹ 25,804.24</a:t>
          </a:r>
          <a:r>
            <a:rPr lang="en-IN" sz="2000">
              <a:ln>
                <a:solidFill>
                  <a:schemeClr val="tx2">
                    <a:lumMod val="50000"/>
                    <a:lumOff val="50000"/>
                  </a:schemeClr>
                </a:solidFill>
              </a:ln>
              <a:effectLst>
                <a:glow rad="101600">
                  <a:schemeClr val="accent1">
                    <a:satMod val="175000"/>
                    <a:alpha val="40000"/>
                  </a:schemeClr>
                </a:glow>
              </a:effectLst>
              <a:latin typeface="Eras Bold ITC" panose="020B0907030504020204" pitchFamily="34" charset="0"/>
            </a:rPr>
            <a:t> </a:t>
          </a:r>
        </a:p>
      </xdr:txBody>
    </xdr:sp>
    <xdr:clientData/>
  </xdr:twoCellAnchor>
  <xdr:twoCellAnchor editAs="oneCell">
    <xdr:from>
      <xdr:col>8</xdr:col>
      <xdr:colOff>392865</xdr:colOff>
      <xdr:row>2</xdr:row>
      <xdr:rowOff>9815</xdr:rowOff>
    </xdr:from>
    <xdr:to>
      <xdr:col>10</xdr:col>
      <xdr:colOff>351518</xdr:colOff>
      <xdr:row>7</xdr:row>
      <xdr:rowOff>167902</xdr:rowOff>
    </xdr:to>
    <xdr:pic>
      <xdr:nvPicPr>
        <xdr:cNvPr id="26" name="Picture 25">
          <a:hlinkClick xmlns:r="http://schemas.openxmlformats.org/officeDocument/2006/relationships" r:id="rId1"/>
          <a:extLst>
            <a:ext uri="{FF2B5EF4-FFF2-40B4-BE49-F238E27FC236}">
              <a16:creationId xmlns:a16="http://schemas.microsoft.com/office/drawing/2014/main" id="{369032FD-18B9-55C7-5FF9-0C89CB2C8C8E}"/>
            </a:ext>
          </a:extLst>
        </xdr:cNvPr>
        <xdr:cNvPicPr>
          <a:picLocks noChangeAspect="1"/>
        </xdr:cNvPicPr>
      </xdr:nvPicPr>
      <xdr:blipFill>
        <a:blip xmlns:r="http://schemas.openxmlformats.org/officeDocument/2006/relationships" r:embed="rId2">
          <a:duotone>
            <a:schemeClr val="accent4">
              <a:shade val="45000"/>
              <a:satMod val="135000"/>
            </a:schemeClr>
            <a:prstClr val="white"/>
          </a:duotone>
          <a:extLst>
            <a:ext uri="{BEBA8EAE-BF5A-486C-A8C5-ECC9F3942E4B}">
              <a14:imgProps xmlns:a14="http://schemas.microsoft.com/office/drawing/2010/main">
                <a14:imgLayer r:embed="rId3">
                  <a14:imgEffect>
                    <a14:artisticPlasticWrap/>
                  </a14:imgEffect>
                </a14:imgLayer>
              </a14:imgProps>
            </a:ext>
          </a:extLst>
        </a:blip>
        <a:stretch>
          <a:fillRect/>
        </a:stretch>
      </xdr:blipFill>
      <xdr:spPr>
        <a:xfrm flipH="1">
          <a:off x="5830682" y="392831"/>
          <a:ext cx="1178257" cy="1115627"/>
        </a:xfrm>
        <a:prstGeom prst="rect">
          <a:avLst/>
        </a:prstGeom>
        <a:effectLst>
          <a:glow rad="101600">
            <a:schemeClr val="accent1">
              <a:satMod val="175000"/>
              <a:alpha val="40000"/>
            </a:schemeClr>
          </a:glow>
          <a:outerShdw blurRad="50800" dist="38100" dir="16200000" rotWithShape="0">
            <a:prstClr val="black">
              <a:alpha val="40000"/>
            </a:prstClr>
          </a:outerShdw>
        </a:effectLst>
      </xdr:spPr>
    </xdr:pic>
    <xdr:clientData/>
  </xdr:twoCellAnchor>
  <xdr:twoCellAnchor>
    <xdr:from>
      <xdr:col>10</xdr:col>
      <xdr:colOff>5554</xdr:colOff>
      <xdr:row>20</xdr:row>
      <xdr:rowOff>44302</xdr:rowOff>
    </xdr:from>
    <xdr:to>
      <xdr:col>27</xdr:col>
      <xdr:colOff>527263</xdr:colOff>
      <xdr:row>49</xdr:row>
      <xdr:rowOff>0</xdr:rowOff>
    </xdr:to>
    <xdr:graphicFrame macro="">
      <xdr:nvGraphicFramePr>
        <xdr:cNvPr id="28" name="Chart 27">
          <a:extLst>
            <a:ext uri="{FF2B5EF4-FFF2-40B4-BE49-F238E27FC236}">
              <a16:creationId xmlns:a16="http://schemas.microsoft.com/office/drawing/2014/main" id="{296FF5BF-F999-4E60-88C5-ECF74E348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465174</xdr:colOff>
      <xdr:row>19</xdr:row>
      <xdr:rowOff>179880</xdr:rowOff>
    </xdr:from>
    <xdr:to>
      <xdr:col>45</xdr:col>
      <xdr:colOff>376571</xdr:colOff>
      <xdr:row>49</xdr:row>
      <xdr:rowOff>66454</xdr:rowOff>
    </xdr:to>
    <xdr:graphicFrame macro="">
      <xdr:nvGraphicFramePr>
        <xdr:cNvPr id="29" name="Chart 28">
          <a:extLst>
            <a:ext uri="{FF2B5EF4-FFF2-40B4-BE49-F238E27FC236}">
              <a16:creationId xmlns:a16="http://schemas.microsoft.com/office/drawing/2014/main" id="{229B243C-11EE-4F16-A4DB-18DC87F9E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523874</xdr:colOff>
      <xdr:row>51</xdr:row>
      <xdr:rowOff>78073</xdr:rowOff>
    </xdr:from>
    <xdr:to>
      <xdr:col>28</xdr:col>
      <xdr:colOff>0</xdr:colOff>
      <xdr:row>80</xdr:row>
      <xdr:rowOff>0</xdr:rowOff>
    </xdr:to>
    <xdr:graphicFrame macro="">
      <xdr:nvGraphicFramePr>
        <xdr:cNvPr id="30" name="Chart 29">
          <a:extLst>
            <a:ext uri="{FF2B5EF4-FFF2-40B4-BE49-F238E27FC236}">
              <a16:creationId xmlns:a16="http://schemas.microsoft.com/office/drawing/2014/main" id="{8EAAEB52-C86A-4148-A94A-2E23F7923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52</xdr:row>
      <xdr:rowOff>46844</xdr:rowOff>
    </xdr:from>
    <xdr:to>
      <xdr:col>45</xdr:col>
      <xdr:colOff>426118</xdr:colOff>
      <xdr:row>80</xdr:row>
      <xdr:rowOff>93688</xdr:rowOff>
    </xdr:to>
    <xdr:graphicFrame macro="">
      <xdr:nvGraphicFramePr>
        <xdr:cNvPr id="31" name="Chart 30">
          <a:extLst>
            <a:ext uri="{FF2B5EF4-FFF2-40B4-BE49-F238E27FC236}">
              <a16:creationId xmlns:a16="http://schemas.microsoft.com/office/drawing/2014/main" id="{AB2C0DFD-A471-4A12-A4D2-3D01C6936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1143000</xdr:colOff>
      <xdr:row>11</xdr:row>
      <xdr:rowOff>86592</xdr:rowOff>
    </xdr:from>
    <xdr:to>
      <xdr:col>8</xdr:col>
      <xdr:colOff>571501</xdr:colOff>
      <xdr:row>16</xdr:row>
      <xdr:rowOff>155864</xdr:rowOff>
    </xdr:to>
    <xdr:sp macro="" textlink="">
      <xdr:nvSpPr>
        <xdr:cNvPr id="32" name="Rectangle 31">
          <a:extLst>
            <a:ext uri="{FF2B5EF4-FFF2-40B4-BE49-F238E27FC236}">
              <a16:creationId xmlns:a16="http://schemas.microsoft.com/office/drawing/2014/main" id="{84B110DB-1E7B-356B-CAAD-ACC182C9C6B7}"/>
            </a:ext>
          </a:extLst>
        </xdr:cNvPr>
        <xdr:cNvSpPr/>
      </xdr:nvSpPr>
      <xdr:spPr>
        <a:xfrm>
          <a:off x="1143000" y="2182092"/>
          <a:ext cx="4849092" cy="1021772"/>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baseline="0"/>
            <a:t>         </a:t>
          </a:r>
        </a:p>
        <a:p>
          <a:pPr algn="l"/>
          <a:r>
            <a:rPr lang="en-IN" sz="1100" baseline="0"/>
            <a:t>                                                          </a:t>
          </a:r>
          <a:r>
            <a:rPr lang="en-IN" sz="2800" baseline="0">
              <a:latin typeface="Eras Bold ITC" panose="020B0907030504020204" pitchFamily="34" charset="0"/>
            </a:rPr>
            <a:t>FILTER</a:t>
          </a:r>
          <a:endParaRPr lang="en-IN" sz="2800">
            <a:latin typeface="Eras Bold ITC" panose="020B0907030504020204" pitchFamily="34" charset="0"/>
          </a:endParaRPr>
        </a:p>
      </xdr:txBody>
    </xdr:sp>
    <xdr:clientData/>
  </xdr:twoCellAnchor>
  <xdr:twoCellAnchor editAs="oneCell">
    <xdr:from>
      <xdr:col>1</xdr:col>
      <xdr:colOff>209873</xdr:colOff>
      <xdr:row>38</xdr:row>
      <xdr:rowOff>41869</xdr:rowOff>
    </xdr:from>
    <xdr:to>
      <xdr:col>8</xdr:col>
      <xdr:colOff>313782</xdr:colOff>
      <xdr:row>56</xdr:row>
      <xdr:rowOff>125603</xdr:rowOff>
    </xdr:to>
    <mc:AlternateContent xmlns:mc="http://schemas.openxmlformats.org/markup-compatibility/2006" xmlns:a14="http://schemas.microsoft.com/office/drawing/2010/main">
      <mc:Choice Requires="a14">
        <xdr:graphicFrame macro="">
          <xdr:nvGraphicFramePr>
            <xdr:cNvPr id="33" name="Month Name 1">
              <a:extLst>
                <a:ext uri="{FF2B5EF4-FFF2-40B4-BE49-F238E27FC236}">
                  <a16:creationId xmlns:a16="http://schemas.microsoft.com/office/drawing/2014/main" id="{42B537FF-E4F1-4BE4-9FBE-47BA7527A62E}"/>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383489" y="7151601"/>
              <a:ext cx="4390159" cy="3451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39206</xdr:colOff>
      <xdr:row>59</xdr:row>
      <xdr:rowOff>22733</xdr:rowOff>
    </xdr:from>
    <xdr:to>
      <xdr:col>8</xdr:col>
      <xdr:colOff>330788</xdr:colOff>
      <xdr:row>68</xdr:row>
      <xdr:rowOff>16144</xdr:rowOff>
    </xdr:to>
    <mc:AlternateContent xmlns:mc="http://schemas.openxmlformats.org/markup-compatibility/2006" xmlns:a14="http://schemas.microsoft.com/office/drawing/2010/main">
      <mc:Choice Requires="a14">
        <xdr:graphicFrame macro="">
          <xdr:nvGraphicFramePr>
            <xdr:cNvPr id="35" name="Product_Category 1">
              <a:extLst>
                <a:ext uri="{FF2B5EF4-FFF2-40B4-BE49-F238E27FC236}">
                  <a16:creationId xmlns:a16="http://schemas.microsoft.com/office/drawing/2014/main" id="{1BF4030F-3DA0-4CAF-B363-B11BA86BD64F}"/>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212822" y="11061528"/>
              <a:ext cx="4577832" cy="1677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12426</xdr:colOff>
      <xdr:row>71</xdr:row>
      <xdr:rowOff>5873</xdr:rowOff>
    </xdr:from>
    <xdr:to>
      <xdr:col>8</xdr:col>
      <xdr:colOff>425774</xdr:colOff>
      <xdr:row>80</xdr:row>
      <xdr:rowOff>113010</xdr:rowOff>
    </xdr:to>
    <mc:AlternateContent xmlns:mc="http://schemas.openxmlformats.org/markup-compatibility/2006" xmlns:a14="http://schemas.microsoft.com/office/drawing/2010/main">
      <mc:Choice Requires="a14">
        <xdr:graphicFrame macro="">
          <xdr:nvGraphicFramePr>
            <xdr:cNvPr id="36" name="Payment_Method 1">
              <a:extLst>
                <a:ext uri="{FF2B5EF4-FFF2-40B4-BE49-F238E27FC236}">
                  <a16:creationId xmlns:a16="http://schemas.microsoft.com/office/drawing/2014/main" id="{894DE1FC-7B5C-4F37-A5B2-C86912E35ECD}"/>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186042" y="13289846"/>
              <a:ext cx="4699598" cy="1791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12915</xdr:colOff>
      <xdr:row>24</xdr:row>
      <xdr:rowOff>147939</xdr:rowOff>
    </xdr:from>
    <xdr:to>
      <xdr:col>9</xdr:col>
      <xdr:colOff>6458</xdr:colOff>
      <xdr:row>30</xdr:row>
      <xdr:rowOff>23483</xdr:rowOff>
    </xdr:to>
    <xdr:sp macro="" textlink="">
      <xdr:nvSpPr>
        <xdr:cNvPr id="39" name="Rectangle 38">
          <a:hlinkClick xmlns:r="http://schemas.openxmlformats.org/officeDocument/2006/relationships" r:id="rId8"/>
          <a:extLst>
            <a:ext uri="{FF2B5EF4-FFF2-40B4-BE49-F238E27FC236}">
              <a16:creationId xmlns:a16="http://schemas.microsoft.com/office/drawing/2014/main" id="{401F9BA6-7631-451B-B61C-4103AD09BB36}"/>
            </a:ext>
          </a:extLst>
        </xdr:cNvPr>
        <xdr:cNvSpPr/>
      </xdr:nvSpPr>
      <xdr:spPr>
        <a:xfrm>
          <a:off x="1191432" y="4797431"/>
          <a:ext cx="4901340" cy="1037916"/>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baseline="0"/>
            <a:t>         </a:t>
          </a:r>
        </a:p>
        <a:p>
          <a:pPr algn="l"/>
          <a:r>
            <a:rPr lang="en-IN" sz="1100" baseline="0"/>
            <a:t>                          </a:t>
          </a:r>
          <a:r>
            <a:rPr lang="en-IN" sz="2800" baseline="0">
              <a:latin typeface="Eras Bold ITC" panose="020B0907030504020204" pitchFamily="34" charset="0"/>
            </a:rPr>
            <a:t>PRODUCT ANALYSIS</a:t>
          </a:r>
          <a:endParaRPr lang="en-IN" sz="2800">
            <a:latin typeface="Eras Bold ITC" panose="020B0907030504020204" pitchFamily="34" charset="0"/>
          </a:endParaRPr>
        </a:p>
      </xdr:txBody>
    </xdr:sp>
    <xdr:clientData/>
  </xdr:twoCellAnchor>
  <xdr:twoCellAnchor>
    <xdr:from>
      <xdr:col>0</xdr:col>
      <xdr:colOff>1166247</xdr:colOff>
      <xdr:row>18</xdr:row>
      <xdr:rowOff>25890</xdr:rowOff>
    </xdr:from>
    <xdr:to>
      <xdr:col>8</xdr:col>
      <xdr:colOff>594748</xdr:colOff>
      <xdr:row>23</xdr:row>
      <xdr:rowOff>95162</xdr:rowOff>
    </xdr:to>
    <xdr:sp macro="" textlink="">
      <xdr:nvSpPr>
        <xdr:cNvPr id="40" name="Rectangle 39">
          <a:extLst>
            <a:ext uri="{FF2B5EF4-FFF2-40B4-BE49-F238E27FC236}">
              <a16:creationId xmlns:a16="http://schemas.microsoft.com/office/drawing/2014/main" id="{33477475-D2CA-457B-8BFD-825777361F3E}"/>
            </a:ext>
          </a:extLst>
        </xdr:cNvPr>
        <xdr:cNvSpPr/>
      </xdr:nvSpPr>
      <xdr:spPr>
        <a:xfrm>
          <a:off x="1166247" y="3513009"/>
          <a:ext cx="4901340" cy="1037916"/>
        </a:xfrm>
        <a:prstGeom prst="rect">
          <a:avLst/>
        </a:prstGeom>
        <a:solidFill>
          <a:schemeClr val="accent1">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baseline="0"/>
            <a:t>         </a:t>
          </a:r>
        </a:p>
        <a:p>
          <a:pPr algn="l"/>
          <a:r>
            <a:rPr lang="en-IN" sz="1100" baseline="0"/>
            <a:t>                                  </a:t>
          </a:r>
          <a:r>
            <a:rPr lang="en-IN" sz="2800" baseline="0">
              <a:latin typeface="Eras Bold ITC" panose="020B0907030504020204" pitchFamily="34" charset="0"/>
            </a:rPr>
            <a:t>SALES OVERVIEW</a:t>
          </a:r>
          <a:endParaRPr lang="en-IN" sz="2800">
            <a:latin typeface="Eras Bold ITC" panose="020B0907030504020204" pitchFamily="34" charset="0"/>
          </a:endParaRPr>
        </a:p>
      </xdr:txBody>
    </xdr:sp>
    <xdr:clientData/>
  </xdr:twoCellAnchor>
  <xdr:twoCellAnchor>
    <xdr:from>
      <xdr:col>1</xdr:col>
      <xdr:colOff>36163</xdr:colOff>
      <xdr:row>31</xdr:row>
      <xdr:rowOff>9746</xdr:rowOff>
    </xdr:from>
    <xdr:to>
      <xdr:col>9</xdr:col>
      <xdr:colOff>29706</xdr:colOff>
      <xdr:row>36</xdr:row>
      <xdr:rowOff>79018</xdr:rowOff>
    </xdr:to>
    <xdr:sp macro="" textlink="">
      <xdr:nvSpPr>
        <xdr:cNvPr id="41" name="Rectangle 40">
          <a:hlinkClick xmlns:r="http://schemas.openxmlformats.org/officeDocument/2006/relationships" r:id="rId9"/>
          <a:extLst>
            <a:ext uri="{FF2B5EF4-FFF2-40B4-BE49-F238E27FC236}">
              <a16:creationId xmlns:a16="http://schemas.microsoft.com/office/drawing/2014/main" id="{9DEB6164-9AE6-4C82-A8E3-EEB33A5CADC8}"/>
            </a:ext>
          </a:extLst>
        </xdr:cNvPr>
        <xdr:cNvSpPr/>
      </xdr:nvSpPr>
      <xdr:spPr>
        <a:xfrm>
          <a:off x="1214680" y="6015339"/>
          <a:ext cx="4901340" cy="1037916"/>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baseline="0"/>
            <a:t>         </a:t>
          </a:r>
        </a:p>
        <a:p>
          <a:pPr algn="l"/>
          <a:r>
            <a:rPr lang="en-IN" sz="1100" baseline="0"/>
            <a:t>                                                </a:t>
          </a:r>
          <a:r>
            <a:rPr lang="en-IN" sz="2800" baseline="0">
              <a:latin typeface="Eras Bold ITC" panose="020B0907030504020204" pitchFamily="34" charset="0"/>
            </a:rPr>
            <a:t>REGION SALES</a:t>
          </a:r>
          <a:endParaRPr lang="en-IN" sz="2800">
            <a:latin typeface="Eras Bold ITC" panose="020B0907030504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345109</xdr:colOff>
      <xdr:row>1</xdr:row>
      <xdr:rowOff>6199</xdr:rowOff>
    </xdr:from>
    <xdr:to>
      <xdr:col>27</xdr:col>
      <xdr:colOff>483640</xdr:colOff>
      <xdr:row>5</xdr:row>
      <xdr:rowOff>13804</xdr:rowOff>
    </xdr:to>
    <xdr:sp macro="" textlink="">
      <xdr:nvSpPr>
        <xdr:cNvPr id="3" name="Rectangle: Rounded Corners 2">
          <a:extLst>
            <a:ext uri="{FF2B5EF4-FFF2-40B4-BE49-F238E27FC236}">
              <a16:creationId xmlns:a16="http://schemas.microsoft.com/office/drawing/2014/main" id="{5E56ABE0-AFA8-E785-368E-229D3D258E15}"/>
            </a:ext>
          </a:extLst>
        </xdr:cNvPr>
        <xdr:cNvSpPr/>
      </xdr:nvSpPr>
      <xdr:spPr>
        <a:xfrm>
          <a:off x="2774674" y="199460"/>
          <a:ext cx="14108531" cy="780648"/>
        </a:xfrm>
        <a:prstGeom prst="roundRect">
          <a:avLst>
            <a:gd name="adj" fmla="val 40513"/>
          </a:avLst>
        </a:prstGeom>
        <a:solidFill>
          <a:srgbClr val="304D68"/>
        </a:solidFill>
        <a:ln>
          <a:solidFill>
            <a:schemeClr val="bg2">
              <a:lumMod val="90000"/>
            </a:schemeClr>
          </a:solidFill>
        </a:ln>
        <a:effectLst>
          <a:glow rad="101600">
            <a:srgbClr val="7030A0">
              <a:alpha val="60000"/>
            </a:srgb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lt1"/>
              </a:solidFill>
              <a:latin typeface="+mn-lt"/>
              <a:ea typeface="+mn-ea"/>
              <a:cs typeface="+mn-cs"/>
            </a:rPr>
            <a:t>                                                </a:t>
          </a:r>
          <a:r>
            <a:rPr lang="en-IN" sz="1400" baseline="0">
              <a:ln>
                <a:solidFill>
                  <a:schemeClr val="tx2">
                    <a:lumMod val="50000"/>
                    <a:lumOff val="50000"/>
                  </a:schemeClr>
                </a:solidFill>
              </a:ln>
              <a:solidFill>
                <a:schemeClr val="accent4">
                  <a:lumMod val="60000"/>
                  <a:lumOff val="40000"/>
                </a:schemeClr>
              </a:solidFill>
              <a:latin typeface="Amiri" panose="00000500000000000000" pitchFamily="2" charset="-78"/>
              <a:ea typeface="Amiri" panose="00000500000000000000" pitchFamily="2" charset="-78"/>
              <a:cs typeface="Amiri" panose="00000500000000000000" pitchFamily="2" charset="-78"/>
            </a:rPr>
            <a:t>GLOBAL ECOMMERCE SALES DASHBOARD                                        </a:t>
          </a:r>
          <a:r>
            <a:rPr lang="en-IN" sz="1200" baseline="0">
              <a:ln>
                <a:solidFill>
                  <a:schemeClr val="bg1">
                    <a:lumMod val="75000"/>
                  </a:schemeClr>
                </a:solidFill>
              </a:ln>
              <a:solidFill>
                <a:schemeClr val="accent4">
                  <a:lumMod val="60000"/>
                  <a:lumOff val="40000"/>
                </a:schemeClr>
              </a:solidFill>
              <a:latin typeface="Bodoni MT Black" panose="02070A03080606020203" pitchFamily="18" charset="0"/>
              <a:ea typeface="Amiri" panose="00000500000000000000" pitchFamily="2" charset="-78"/>
              <a:cs typeface="Amiri" panose="00000500000000000000" pitchFamily="2" charset="-78"/>
            </a:rPr>
            <a:t>PRODUCT ANALYSIS</a:t>
          </a:r>
          <a:endParaRPr lang="en-IN" sz="1200">
            <a:ln>
              <a:solidFill>
                <a:schemeClr val="bg1">
                  <a:lumMod val="75000"/>
                </a:schemeClr>
              </a:solidFill>
            </a:ln>
            <a:solidFill>
              <a:schemeClr val="accent4">
                <a:lumMod val="60000"/>
                <a:lumOff val="40000"/>
              </a:schemeClr>
            </a:solidFill>
            <a:latin typeface="Bodoni MT Black" panose="02070A03080606020203" pitchFamily="18" charset="0"/>
            <a:ea typeface="Amiri" panose="00000500000000000000" pitchFamily="2" charset="-78"/>
            <a:cs typeface="Amiri" panose="00000500000000000000" pitchFamily="2" charset="-78"/>
          </a:endParaRPr>
        </a:p>
      </xdr:txBody>
    </xdr:sp>
    <xdr:clientData/>
  </xdr:twoCellAnchor>
  <xdr:twoCellAnchor>
    <xdr:from>
      <xdr:col>0</xdr:col>
      <xdr:colOff>141354</xdr:colOff>
      <xdr:row>5</xdr:row>
      <xdr:rowOff>111440</xdr:rowOff>
    </xdr:from>
    <xdr:to>
      <xdr:col>3</xdr:col>
      <xdr:colOff>593361</xdr:colOff>
      <xdr:row>47</xdr:row>
      <xdr:rowOff>0</xdr:rowOff>
    </xdr:to>
    <xdr:sp macro="" textlink="">
      <xdr:nvSpPr>
        <xdr:cNvPr id="4" name="Rectangle: Rounded Corners 3">
          <a:extLst>
            <a:ext uri="{FF2B5EF4-FFF2-40B4-BE49-F238E27FC236}">
              <a16:creationId xmlns:a16="http://schemas.microsoft.com/office/drawing/2014/main" id="{7D9E1C70-F1E1-60C3-9E9E-4393D93C5B1C}"/>
            </a:ext>
          </a:extLst>
        </xdr:cNvPr>
        <xdr:cNvSpPr/>
      </xdr:nvSpPr>
      <xdr:spPr>
        <a:xfrm>
          <a:off x="141354" y="1083379"/>
          <a:ext cx="2259813" cy="8052845"/>
        </a:xfrm>
        <a:prstGeom prst="roundRect">
          <a:avLst>
            <a:gd name="adj" fmla="val 9688"/>
          </a:avLst>
        </a:prstGeom>
        <a:solidFill>
          <a:schemeClr val="accent4">
            <a:lumMod val="50000"/>
          </a:schemeClr>
        </a:solidFill>
        <a:ln>
          <a:solidFill>
            <a:srgbClr val="3333FF"/>
          </a:solidFill>
        </a:ln>
        <a:effectLst>
          <a:glow rad="101600">
            <a:srgbClr val="7030A0">
              <a:alpha val="60000"/>
            </a:srgb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242190</xdr:colOff>
      <xdr:row>6</xdr:row>
      <xdr:rowOff>169992</xdr:rowOff>
    </xdr:from>
    <xdr:to>
      <xdr:col>10</xdr:col>
      <xdr:colOff>289034</xdr:colOff>
      <xdr:row>11</xdr:row>
      <xdr:rowOff>154376</xdr:rowOff>
    </xdr:to>
    <xdr:sp macro="" textlink="">
      <xdr:nvSpPr>
        <xdr:cNvPr id="5" name="Rectangle: Rounded Corners 4">
          <a:extLst>
            <a:ext uri="{FF2B5EF4-FFF2-40B4-BE49-F238E27FC236}">
              <a16:creationId xmlns:a16="http://schemas.microsoft.com/office/drawing/2014/main" id="{986A264B-1000-DB7C-32CB-3D3EDCD85F84}"/>
            </a:ext>
          </a:extLst>
        </xdr:cNvPr>
        <xdr:cNvSpPr/>
      </xdr:nvSpPr>
      <xdr:spPr>
        <a:xfrm>
          <a:off x="3286262" y="1318884"/>
          <a:ext cx="3090916" cy="941794"/>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rgbClr val="7030A0"/>
          </a:solidFill>
        </a:ln>
        <a:effectLst>
          <a:glow rad="101600">
            <a:srgbClr val="7030A0">
              <a:alpha val="60000"/>
            </a:srgb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                         </a:t>
          </a:r>
          <a:r>
            <a:rPr lang="en-IN" sz="1600">
              <a:ln>
                <a:solidFill>
                  <a:schemeClr val="tx2">
                    <a:lumMod val="25000"/>
                    <a:lumOff val="75000"/>
                  </a:schemeClr>
                </a:solidFill>
              </a:ln>
              <a:solidFill>
                <a:schemeClr val="tx2">
                  <a:lumMod val="10000"/>
                  <a:lumOff val="90000"/>
                </a:schemeClr>
              </a:solidFill>
              <a:effectLst>
                <a:outerShdw blurRad="50800" dist="38100" dir="18900000" algn="bl" rotWithShape="0">
                  <a:prstClr val="black">
                    <a:alpha val="40000"/>
                  </a:prstClr>
                </a:outerShdw>
              </a:effectLst>
              <a:latin typeface="Amasis MT Pro Black" panose="02040A04050005020304" pitchFamily="18" charset="0"/>
            </a:rPr>
            <a:t>CATEGORY</a:t>
          </a:r>
        </a:p>
        <a:p>
          <a:pPr algn="l"/>
          <a:r>
            <a:rPr lang="en-IN" sz="1600">
              <a:ln>
                <a:solidFill>
                  <a:schemeClr val="tx2">
                    <a:lumMod val="25000"/>
                    <a:lumOff val="75000"/>
                  </a:schemeClr>
                </a:solidFill>
              </a:ln>
              <a:solidFill>
                <a:schemeClr val="tx2">
                  <a:lumMod val="10000"/>
                  <a:lumOff val="90000"/>
                </a:schemeClr>
              </a:solidFill>
              <a:effectLst>
                <a:outerShdw blurRad="50800" dist="38100" dir="18900000" algn="bl" rotWithShape="0">
                  <a:prstClr val="black">
                    <a:alpha val="40000"/>
                  </a:prstClr>
                </a:outerShdw>
              </a:effectLst>
              <a:latin typeface="Amasis MT Pro Black" panose="02040A04050005020304" pitchFamily="18" charset="0"/>
            </a:rPr>
            <a:t>              </a:t>
          </a:r>
          <a:r>
            <a:rPr lang="en-IN" sz="1600" baseline="0">
              <a:ln>
                <a:solidFill>
                  <a:schemeClr val="tx2">
                    <a:lumMod val="25000"/>
                    <a:lumOff val="75000"/>
                  </a:schemeClr>
                </a:solidFill>
              </a:ln>
              <a:solidFill>
                <a:schemeClr val="tx2">
                  <a:lumMod val="10000"/>
                  <a:lumOff val="90000"/>
                </a:schemeClr>
              </a:solidFill>
              <a:effectLst>
                <a:outerShdw blurRad="50800" dist="38100" dir="18900000" algn="bl" rotWithShape="0">
                  <a:prstClr val="black">
                    <a:alpha val="40000"/>
                  </a:prstClr>
                </a:outerShdw>
              </a:effectLst>
              <a:latin typeface="Amasis MT Pro Black" panose="02040A04050005020304" pitchFamily="18" charset="0"/>
            </a:rPr>
            <a:t>   </a:t>
          </a:r>
          <a:r>
            <a:rPr lang="en-IN" sz="1600" baseline="0">
              <a:ln>
                <a:solidFill>
                  <a:schemeClr val="tx2">
                    <a:lumMod val="25000"/>
                    <a:lumOff val="75000"/>
                  </a:schemeClr>
                </a:solidFill>
              </a:ln>
              <a:solidFill>
                <a:schemeClr val="accent4">
                  <a:lumMod val="75000"/>
                </a:schemeClr>
              </a:solidFill>
              <a:effectLst>
                <a:outerShdw blurRad="50800" dist="38100" dir="18900000" algn="bl" rotWithShape="0">
                  <a:prstClr val="black">
                    <a:alpha val="40000"/>
                  </a:prstClr>
                </a:outerShdw>
              </a:effectLst>
              <a:latin typeface="Amasis MT Pro Black" panose="02040A04050005020304" pitchFamily="18" charset="0"/>
            </a:rPr>
            <a:t> </a:t>
          </a:r>
        </a:p>
        <a:p>
          <a:pPr algn="l"/>
          <a:r>
            <a:rPr lang="en-IN" sz="1600" baseline="0">
              <a:ln>
                <a:solidFill>
                  <a:schemeClr val="tx2">
                    <a:lumMod val="25000"/>
                    <a:lumOff val="75000"/>
                  </a:schemeClr>
                </a:solidFill>
              </a:ln>
              <a:solidFill>
                <a:schemeClr val="bg1">
                  <a:lumMod val="75000"/>
                </a:schemeClr>
              </a:solidFill>
              <a:effectLst>
                <a:outerShdw blurRad="50800" dist="38100" dir="18900000" algn="bl" rotWithShape="0">
                  <a:prstClr val="black">
                    <a:alpha val="40000"/>
                  </a:prstClr>
                </a:outerShdw>
              </a:effectLst>
              <a:latin typeface="Amasis MT Pro Black" panose="02040A04050005020304" pitchFamily="18" charset="0"/>
            </a:rPr>
            <a:t>                     </a:t>
          </a:r>
          <a:r>
            <a:rPr lang="en-IN" sz="1600" baseline="0">
              <a:ln>
                <a:solidFill>
                  <a:schemeClr val="tx2">
                    <a:lumMod val="25000"/>
                    <a:lumOff val="75000"/>
                  </a:schemeClr>
                </a:solidFill>
              </a:ln>
              <a:solidFill>
                <a:schemeClr val="tx1">
                  <a:lumMod val="85000"/>
                  <a:lumOff val="15000"/>
                </a:schemeClr>
              </a:solidFill>
              <a:effectLst>
                <a:outerShdw blurRad="50800" dist="38100" dir="18900000" algn="bl" rotWithShape="0">
                  <a:prstClr val="black">
                    <a:alpha val="40000"/>
                  </a:prstClr>
                </a:outerShdw>
              </a:effectLst>
              <a:latin typeface="Amasis MT Pro Black" panose="02040A04050005020304" pitchFamily="18" charset="0"/>
            </a:rPr>
            <a:t>4</a:t>
          </a:r>
          <a:endParaRPr lang="en-IN" sz="1600" baseline="0">
            <a:ln>
              <a:solidFill>
                <a:schemeClr val="accent1">
                  <a:lumMod val="75000"/>
                </a:schemeClr>
              </a:solidFill>
            </a:ln>
            <a:solidFill>
              <a:schemeClr val="tx1">
                <a:lumMod val="85000"/>
                <a:lumOff val="15000"/>
              </a:schemeClr>
            </a:solidFill>
            <a:effectLst>
              <a:outerShdw blurRad="50800" dist="38100" dir="18900000" algn="bl" rotWithShape="0">
                <a:prstClr val="black">
                  <a:alpha val="40000"/>
                </a:prstClr>
              </a:outerShdw>
            </a:effectLst>
            <a:latin typeface="Amasis MT Pro Black" panose="02040A04050005020304" pitchFamily="18" charset="0"/>
          </a:endParaRPr>
        </a:p>
        <a:p>
          <a:pPr algn="l"/>
          <a:endParaRPr lang="en-IN" sz="1600">
            <a:ln>
              <a:solidFill>
                <a:schemeClr val="accent1">
                  <a:lumMod val="75000"/>
                </a:schemeClr>
              </a:solidFill>
            </a:ln>
            <a:solidFill>
              <a:schemeClr val="bg1">
                <a:lumMod val="75000"/>
              </a:schemeClr>
            </a:solidFill>
            <a:effectLst>
              <a:outerShdw blurRad="50800" dist="38100" dir="18900000" algn="bl" rotWithShape="0">
                <a:prstClr val="black">
                  <a:alpha val="40000"/>
                </a:prstClr>
              </a:outerShdw>
            </a:effectLst>
            <a:latin typeface="Amasis MT Pro Black" panose="02040A04050005020304" pitchFamily="18" charset="0"/>
          </a:endParaRPr>
        </a:p>
      </xdr:txBody>
    </xdr:sp>
    <xdr:clientData/>
  </xdr:twoCellAnchor>
  <xdr:twoCellAnchor>
    <xdr:from>
      <xdr:col>11</xdr:col>
      <xdr:colOff>187376</xdr:colOff>
      <xdr:row>6</xdr:row>
      <xdr:rowOff>171762</xdr:rowOff>
    </xdr:from>
    <xdr:to>
      <xdr:col>16</xdr:col>
      <xdr:colOff>234220</xdr:colOff>
      <xdr:row>11</xdr:row>
      <xdr:rowOff>156146</xdr:rowOff>
    </xdr:to>
    <xdr:sp macro="" textlink="">
      <xdr:nvSpPr>
        <xdr:cNvPr id="6" name="Rectangle: Rounded Corners 5">
          <a:extLst>
            <a:ext uri="{FF2B5EF4-FFF2-40B4-BE49-F238E27FC236}">
              <a16:creationId xmlns:a16="http://schemas.microsoft.com/office/drawing/2014/main" id="{00EE9EE7-E377-4BA5-A748-7CDCD18ED9C3}"/>
            </a:ext>
          </a:extLst>
        </xdr:cNvPr>
        <xdr:cNvSpPr/>
      </xdr:nvSpPr>
      <xdr:spPr>
        <a:xfrm>
          <a:off x="6886106" y="1296024"/>
          <a:ext cx="3091721" cy="92127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rgbClr val="7030A0"/>
          </a:solidFill>
        </a:ln>
        <a:effectLst>
          <a:glow rad="101600">
            <a:srgbClr val="7030A0">
              <a:alpha val="60000"/>
            </a:srgb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aseline="0"/>
            <a:t>                         </a:t>
          </a:r>
          <a:r>
            <a:rPr lang="en-IN" sz="1200" baseline="0">
              <a:ln>
                <a:solidFill>
                  <a:schemeClr val="bg2">
                    <a:lumMod val="90000"/>
                  </a:schemeClr>
                </a:solidFill>
              </a:ln>
              <a:solidFill>
                <a:schemeClr val="bg1">
                  <a:lumMod val="85000"/>
                </a:schemeClr>
              </a:solidFill>
              <a:effectLst>
                <a:glow rad="139700">
                  <a:schemeClr val="accent1">
                    <a:satMod val="175000"/>
                    <a:alpha val="40000"/>
                  </a:schemeClr>
                </a:glow>
              </a:effectLst>
              <a:latin typeface="Amasis MT Pro Black" panose="02040A04050005020304" pitchFamily="18" charset="0"/>
            </a:rPr>
            <a:t>PRODUCT TRACKED</a:t>
          </a:r>
        </a:p>
        <a:p>
          <a:pPr algn="l"/>
          <a:r>
            <a:rPr lang="en-IN" sz="1200" baseline="0">
              <a:ln>
                <a:solidFill>
                  <a:schemeClr val="bg2">
                    <a:lumMod val="90000"/>
                  </a:schemeClr>
                </a:solidFill>
              </a:ln>
              <a:solidFill>
                <a:schemeClr val="bg1">
                  <a:lumMod val="85000"/>
                </a:schemeClr>
              </a:solidFill>
              <a:effectLst>
                <a:glow rad="139700">
                  <a:schemeClr val="accent1">
                    <a:satMod val="175000"/>
                    <a:alpha val="40000"/>
                  </a:schemeClr>
                </a:glow>
              </a:effectLst>
              <a:latin typeface="Amasis MT Pro Black" panose="02040A04050005020304" pitchFamily="18" charset="0"/>
            </a:rPr>
            <a:t>  </a:t>
          </a:r>
        </a:p>
        <a:p>
          <a:pPr algn="l"/>
          <a:r>
            <a:rPr lang="en-IN" sz="1200" baseline="0">
              <a:ln>
                <a:solidFill>
                  <a:schemeClr val="bg2">
                    <a:lumMod val="90000"/>
                  </a:schemeClr>
                </a:solidFill>
              </a:ln>
              <a:solidFill>
                <a:schemeClr val="bg1">
                  <a:lumMod val="85000"/>
                </a:schemeClr>
              </a:solidFill>
              <a:effectLst>
                <a:glow rad="139700">
                  <a:schemeClr val="accent1">
                    <a:satMod val="175000"/>
                    <a:alpha val="40000"/>
                  </a:schemeClr>
                </a:glow>
              </a:effectLst>
              <a:latin typeface="Amasis MT Pro Black" panose="02040A04050005020304" pitchFamily="18" charset="0"/>
            </a:rPr>
            <a:t>                         </a:t>
          </a:r>
          <a:r>
            <a:rPr lang="en-IN" sz="1200" baseline="0">
              <a:ln>
                <a:solidFill>
                  <a:schemeClr val="bg1">
                    <a:lumMod val="85000"/>
                  </a:schemeClr>
                </a:solidFill>
              </a:ln>
              <a:solidFill>
                <a:schemeClr val="tx1">
                  <a:lumMod val="85000"/>
                  <a:lumOff val="15000"/>
                </a:schemeClr>
              </a:solidFill>
              <a:effectLst>
                <a:glow rad="139700">
                  <a:schemeClr val="accent1">
                    <a:satMod val="175000"/>
                    <a:alpha val="40000"/>
                  </a:schemeClr>
                </a:glow>
              </a:effectLst>
              <a:latin typeface="Amasis MT Pro Black" panose="02040A04050005020304" pitchFamily="18" charset="0"/>
            </a:rPr>
            <a:t>43</a:t>
          </a:r>
        </a:p>
        <a:p>
          <a:pPr algn="l"/>
          <a:endParaRPr lang="en-IN" sz="1200" baseline="0">
            <a:ln>
              <a:solidFill>
                <a:schemeClr val="bg2">
                  <a:lumMod val="90000"/>
                </a:schemeClr>
              </a:solidFill>
            </a:ln>
            <a:solidFill>
              <a:schemeClr val="bg1">
                <a:lumMod val="85000"/>
              </a:schemeClr>
            </a:solidFill>
            <a:effectLst>
              <a:glow rad="139700">
                <a:schemeClr val="accent1">
                  <a:satMod val="175000"/>
                  <a:alpha val="40000"/>
                </a:schemeClr>
              </a:glow>
            </a:effectLst>
            <a:latin typeface="Amasis MT Pro Black" panose="02040A04050005020304" pitchFamily="18" charset="0"/>
          </a:endParaRPr>
        </a:p>
        <a:p>
          <a:pPr algn="l"/>
          <a:endParaRPr lang="en-IN" sz="1200">
            <a:ln>
              <a:solidFill>
                <a:schemeClr val="bg2">
                  <a:lumMod val="90000"/>
                </a:schemeClr>
              </a:solidFill>
            </a:ln>
            <a:solidFill>
              <a:schemeClr val="bg1">
                <a:lumMod val="85000"/>
              </a:schemeClr>
            </a:solidFill>
            <a:effectLst>
              <a:glow rad="139700">
                <a:schemeClr val="accent1">
                  <a:satMod val="175000"/>
                  <a:alpha val="40000"/>
                </a:schemeClr>
              </a:glow>
            </a:effectLst>
            <a:latin typeface="Amasis MT Pro Black" panose="02040A04050005020304" pitchFamily="18" charset="0"/>
          </a:endParaRPr>
        </a:p>
      </xdr:txBody>
    </xdr:sp>
    <xdr:clientData/>
  </xdr:twoCellAnchor>
  <xdr:twoCellAnchor>
    <xdr:from>
      <xdr:col>16</xdr:col>
      <xdr:colOff>558383</xdr:colOff>
      <xdr:row>6</xdr:row>
      <xdr:rowOff>136785</xdr:rowOff>
    </xdr:from>
    <xdr:to>
      <xdr:col>21</xdr:col>
      <xdr:colOff>605227</xdr:colOff>
      <xdr:row>11</xdr:row>
      <xdr:rowOff>121169</xdr:rowOff>
    </xdr:to>
    <xdr:sp macro="" textlink="">
      <xdr:nvSpPr>
        <xdr:cNvPr id="7" name="Rectangle: Rounded Corners 6">
          <a:extLst>
            <a:ext uri="{FF2B5EF4-FFF2-40B4-BE49-F238E27FC236}">
              <a16:creationId xmlns:a16="http://schemas.microsoft.com/office/drawing/2014/main" id="{F6E67C15-B0A5-4724-A735-0BC9095B1951}"/>
            </a:ext>
          </a:extLst>
        </xdr:cNvPr>
        <xdr:cNvSpPr/>
      </xdr:nvSpPr>
      <xdr:spPr>
        <a:xfrm>
          <a:off x="10301990" y="1261047"/>
          <a:ext cx="3091721" cy="92127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rgbClr val="7030A0"/>
          </a:solidFill>
        </a:ln>
        <a:effectLst>
          <a:glow rad="101600">
            <a:srgbClr val="7030A0">
              <a:alpha val="60000"/>
            </a:srgb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                          </a:t>
          </a:r>
          <a:r>
            <a:rPr lang="en-IN" sz="1600">
              <a:ln>
                <a:solidFill>
                  <a:schemeClr val="bg2">
                    <a:lumMod val="90000"/>
                  </a:schemeClr>
                </a:solidFill>
              </a:ln>
              <a:effectLst>
                <a:glow rad="101600">
                  <a:schemeClr val="accent1">
                    <a:satMod val="175000"/>
                    <a:alpha val="40000"/>
                  </a:schemeClr>
                </a:glow>
                <a:innerShdw blurRad="63500" dist="50800" dir="13500000">
                  <a:prstClr val="black">
                    <a:alpha val="50000"/>
                  </a:prstClr>
                </a:innerShdw>
              </a:effectLst>
              <a:latin typeface="Amasis MT Pro Black" panose="02040A04050005020304" pitchFamily="18" charset="0"/>
            </a:rPr>
            <a:t>TOP CATEGORY</a:t>
          </a:r>
        </a:p>
        <a:p>
          <a:pPr algn="l"/>
          <a:r>
            <a:rPr lang="en-IN" sz="1600">
              <a:ln>
                <a:solidFill>
                  <a:schemeClr val="bg2">
                    <a:lumMod val="90000"/>
                  </a:schemeClr>
                </a:solidFill>
              </a:ln>
              <a:effectLst>
                <a:glow rad="101600">
                  <a:schemeClr val="accent1">
                    <a:satMod val="175000"/>
                    <a:alpha val="40000"/>
                  </a:schemeClr>
                </a:glow>
                <a:innerShdw blurRad="63500" dist="50800" dir="13500000">
                  <a:prstClr val="black">
                    <a:alpha val="50000"/>
                  </a:prstClr>
                </a:innerShdw>
              </a:effectLst>
              <a:latin typeface="Bodoni MT Black" panose="02070A03080606020203" pitchFamily="18" charset="0"/>
            </a:rPr>
            <a:t>              </a:t>
          </a:r>
          <a:r>
            <a:rPr lang="en-IN" sz="1100" b="0" i="0" u="none" strike="noStrike" baseline="0">
              <a:ln>
                <a:noFill/>
              </a:ln>
              <a:solidFill>
                <a:schemeClr val="lt1"/>
              </a:solidFill>
              <a:effectLst/>
              <a:latin typeface="Bodoni MT Black" panose="02070A03080606020203" pitchFamily="18" charset="0"/>
              <a:ea typeface="+mn-ea"/>
              <a:cs typeface="+mn-cs"/>
            </a:rPr>
            <a:t> </a:t>
          </a:r>
        </a:p>
        <a:p>
          <a:pPr algn="l"/>
          <a:r>
            <a:rPr lang="en-IN" sz="1100" b="0" i="0" u="none" strike="noStrike" baseline="0">
              <a:ln>
                <a:noFill/>
              </a:ln>
              <a:solidFill>
                <a:schemeClr val="lt1"/>
              </a:solidFill>
              <a:effectLst/>
              <a:latin typeface="Bodoni MT Black" panose="02070A03080606020203" pitchFamily="18" charset="0"/>
              <a:ea typeface="+mn-ea"/>
              <a:cs typeface="+mn-cs"/>
            </a:rPr>
            <a:t>                  </a:t>
          </a:r>
          <a:r>
            <a:rPr lang="en-IN" sz="1600" b="0" i="0" u="none" strike="noStrike" baseline="0">
              <a:ln>
                <a:solidFill>
                  <a:schemeClr val="bg1">
                    <a:lumMod val="95000"/>
                  </a:schemeClr>
                </a:solidFill>
              </a:ln>
              <a:solidFill>
                <a:schemeClr val="lt1"/>
              </a:solidFill>
              <a:effectLst/>
              <a:latin typeface="Bodoni MT Black" panose="02070A03080606020203" pitchFamily="18" charset="0"/>
              <a:ea typeface="+mn-ea"/>
              <a:cs typeface="+mn-cs"/>
            </a:rPr>
            <a:t> </a:t>
          </a:r>
          <a:r>
            <a:rPr lang="en-IN" sz="1600" b="0" i="0" u="none" strike="noStrike">
              <a:ln>
                <a:noFill/>
              </a:ln>
              <a:solidFill>
                <a:schemeClr val="tx1">
                  <a:lumMod val="85000"/>
                  <a:lumOff val="15000"/>
                </a:schemeClr>
              </a:solidFill>
              <a:effectLst/>
              <a:latin typeface="Bodoni MT Black" panose="02070A03080606020203" pitchFamily="18" charset="0"/>
              <a:ea typeface="+mn-ea"/>
              <a:cs typeface="+mn-cs"/>
            </a:rPr>
            <a:t>Furniture</a:t>
          </a:r>
          <a:r>
            <a:rPr lang="en-IN" sz="1600">
              <a:ln>
                <a:solidFill>
                  <a:schemeClr val="bg1">
                    <a:lumMod val="95000"/>
                  </a:schemeClr>
                </a:solidFill>
              </a:ln>
              <a:effectLst/>
              <a:latin typeface="Bodoni MT Black" panose="02070A03080606020203" pitchFamily="18" charset="0"/>
            </a:rPr>
            <a:t> </a:t>
          </a:r>
        </a:p>
      </xdr:txBody>
    </xdr:sp>
    <xdr:clientData/>
  </xdr:twoCellAnchor>
  <xdr:twoCellAnchor>
    <xdr:from>
      <xdr:col>22</xdr:col>
      <xdr:colOff>367259</xdr:colOff>
      <xdr:row>6</xdr:row>
      <xdr:rowOff>117422</xdr:rowOff>
    </xdr:from>
    <xdr:to>
      <xdr:col>27</xdr:col>
      <xdr:colOff>414103</xdr:colOff>
      <xdr:row>11</xdr:row>
      <xdr:rowOff>101806</xdr:rowOff>
    </xdr:to>
    <xdr:sp macro="" textlink="">
      <xdr:nvSpPr>
        <xdr:cNvPr id="8" name="Rectangle: Rounded Corners 7">
          <a:extLst>
            <a:ext uri="{FF2B5EF4-FFF2-40B4-BE49-F238E27FC236}">
              <a16:creationId xmlns:a16="http://schemas.microsoft.com/office/drawing/2014/main" id="{0BD16D9D-6CFA-4420-B83E-09206D8C6438}"/>
            </a:ext>
          </a:extLst>
        </xdr:cNvPr>
        <xdr:cNvSpPr/>
      </xdr:nvSpPr>
      <xdr:spPr>
        <a:xfrm>
          <a:off x="13764718" y="1241684"/>
          <a:ext cx="3091721" cy="92127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rgbClr val="7030A0"/>
          </a:solidFill>
        </a:ln>
        <a:effectLst>
          <a:glow rad="101600">
            <a:srgbClr val="7030A0">
              <a:alpha val="60000"/>
            </a:srgb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400">
              <a:latin typeface="Amasis MT Pro Black" panose="02040A04050005020304" pitchFamily="18" charset="0"/>
            </a:rPr>
            <a:t>               </a:t>
          </a:r>
          <a:r>
            <a:rPr lang="en-IN" sz="1400">
              <a:ln>
                <a:solidFill>
                  <a:schemeClr val="bg1">
                    <a:lumMod val="85000"/>
                  </a:schemeClr>
                </a:solidFill>
              </a:ln>
              <a:effectLst>
                <a:glow rad="101600">
                  <a:schemeClr val="accent1">
                    <a:satMod val="175000"/>
                    <a:alpha val="40000"/>
                  </a:schemeClr>
                </a:glow>
                <a:innerShdw blurRad="63500" dist="50800" dir="13500000">
                  <a:prstClr val="black">
                    <a:alpha val="50000"/>
                  </a:prstClr>
                </a:innerShdw>
              </a:effectLst>
              <a:latin typeface="Amasis MT Pro Black" panose="02040A04050005020304" pitchFamily="18" charset="0"/>
            </a:rPr>
            <a:t>TOP PRODUCT</a:t>
          </a:r>
        </a:p>
        <a:p>
          <a:pPr algn="l"/>
          <a:r>
            <a:rPr lang="en-IN" sz="1400">
              <a:ln>
                <a:solidFill>
                  <a:schemeClr val="bg1">
                    <a:lumMod val="85000"/>
                  </a:schemeClr>
                </a:solidFill>
              </a:ln>
              <a:effectLst>
                <a:glow rad="101600">
                  <a:schemeClr val="accent1">
                    <a:satMod val="175000"/>
                    <a:alpha val="40000"/>
                  </a:schemeClr>
                </a:glow>
                <a:innerShdw blurRad="63500" dist="50800" dir="13500000">
                  <a:prstClr val="black">
                    <a:alpha val="50000"/>
                  </a:prstClr>
                </a:innerShdw>
              </a:effectLst>
              <a:latin typeface="Amasis MT Pro Black" panose="02040A04050005020304" pitchFamily="18" charset="0"/>
            </a:rPr>
            <a:t>               </a:t>
          </a:r>
        </a:p>
        <a:p>
          <a:pPr algn="l"/>
          <a:r>
            <a:rPr lang="en-IN" sz="1400">
              <a:ln>
                <a:solidFill>
                  <a:schemeClr val="bg1">
                    <a:lumMod val="85000"/>
                  </a:schemeClr>
                </a:solidFill>
              </a:ln>
              <a:effectLst>
                <a:glow rad="101600">
                  <a:schemeClr val="accent1">
                    <a:satMod val="175000"/>
                    <a:alpha val="40000"/>
                  </a:schemeClr>
                </a:glow>
                <a:innerShdw blurRad="63500" dist="50800" dir="13500000">
                  <a:prstClr val="black">
                    <a:alpha val="50000"/>
                  </a:prstClr>
                </a:innerShdw>
              </a:effectLst>
              <a:latin typeface="Amasis MT Pro Black" panose="02040A04050005020304" pitchFamily="18" charset="0"/>
            </a:rPr>
            <a:t>            </a:t>
          </a:r>
          <a:r>
            <a:rPr lang="en-IN" sz="1100" b="0" i="0" u="none" strike="noStrike">
              <a:ln>
                <a:noFill/>
              </a:ln>
              <a:solidFill>
                <a:schemeClr val="tx1">
                  <a:lumMod val="85000"/>
                  <a:lumOff val="15000"/>
                </a:schemeClr>
              </a:solidFill>
              <a:effectLst>
                <a:glow rad="139700">
                  <a:schemeClr val="accent1">
                    <a:satMod val="175000"/>
                    <a:alpha val="40000"/>
                  </a:schemeClr>
                </a:glow>
              </a:effectLst>
              <a:latin typeface="Amasis MT Pro Black" panose="02040A04050005020304" pitchFamily="18" charset="0"/>
              <a:ea typeface="+mn-ea"/>
              <a:cs typeface="+mn-cs"/>
            </a:rPr>
            <a:t>Standing Desk Converter</a:t>
          </a:r>
          <a:r>
            <a:rPr lang="en-IN" sz="1100">
              <a:ln>
                <a:noFill/>
              </a:ln>
              <a:solidFill>
                <a:schemeClr val="tx1">
                  <a:lumMod val="85000"/>
                  <a:lumOff val="15000"/>
                </a:schemeClr>
              </a:solidFill>
              <a:effectLst>
                <a:glow rad="139700">
                  <a:schemeClr val="accent1">
                    <a:satMod val="175000"/>
                    <a:alpha val="40000"/>
                  </a:schemeClr>
                </a:glow>
              </a:effectLst>
              <a:latin typeface="Amasis MT Pro Black" panose="02040A04050005020304" pitchFamily="18" charset="0"/>
            </a:rPr>
            <a:t> </a:t>
          </a:r>
        </a:p>
      </xdr:txBody>
    </xdr:sp>
    <xdr:clientData/>
  </xdr:twoCellAnchor>
  <xdr:twoCellAnchor>
    <xdr:from>
      <xdr:col>5</xdr:col>
      <xdr:colOff>187695</xdr:colOff>
      <xdr:row>13</xdr:row>
      <xdr:rowOff>54715</xdr:rowOff>
    </xdr:from>
    <xdr:to>
      <xdr:col>28</xdr:col>
      <xdr:colOff>136072</xdr:colOff>
      <xdr:row>47</xdr:row>
      <xdr:rowOff>35595</xdr:rowOff>
    </xdr:to>
    <xdr:sp macro="" textlink="">
      <xdr:nvSpPr>
        <xdr:cNvPr id="9" name="Rectangle 8">
          <a:extLst>
            <a:ext uri="{FF2B5EF4-FFF2-40B4-BE49-F238E27FC236}">
              <a16:creationId xmlns:a16="http://schemas.microsoft.com/office/drawing/2014/main" id="{8A6E19EE-2738-F28A-3FBC-179954187ECC}"/>
            </a:ext>
          </a:extLst>
        </xdr:cNvPr>
        <xdr:cNvSpPr/>
      </xdr:nvSpPr>
      <xdr:spPr>
        <a:xfrm>
          <a:off x="3245102" y="2500641"/>
          <a:ext cx="14012451" cy="6377917"/>
        </a:xfrm>
        <a:prstGeom prst="rect">
          <a:avLst/>
        </a:prstGeom>
        <a:solidFill>
          <a:schemeClr val="tx2">
            <a:lumMod val="75000"/>
            <a:lumOff val="25000"/>
          </a:schemeClr>
        </a:solidFill>
        <a:ln>
          <a:solidFill>
            <a:schemeClr val="tx2">
              <a:lumMod val="50000"/>
              <a:lumOff val="50000"/>
            </a:schemeClr>
          </a:solidFill>
        </a:ln>
        <a:effectLst>
          <a:glow rad="101600">
            <a:schemeClr val="bg2">
              <a:lumMod val="25000"/>
              <a:alpha val="60000"/>
            </a:schemeClr>
          </a:glow>
          <a:innerShdw blurRad="114300">
            <a:prstClr val="black"/>
          </a:inn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326743</xdr:colOff>
      <xdr:row>13</xdr:row>
      <xdr:rowOff>45700</xdr:rowOff>
    </xdr:from>
    <xdr:to>
      <xdr:col>16</xdr:col>
      <xdr:colOff>377559</xdr:colOff>
      <xdr:row>46</xdr:row>
      <xdr:rowOff>133570</xdr:rowOff>
    </xdr:to>
    <xdr:sp macro="" textlink="">
      <xdr:nvSpPr>
        <xdr:cNvPr id="10" name="Rectangle 9">
          <a:extLst>
            <a:ext uri="{FF2B5EF4-FFF2-40B4-BE49-F238E27FC236}">
              <a16:creationId xmlns:a16="http://schemas.microsoft.com/office/drawing/2014/main" id="{2CABCDF9-D15D-9E71-CDF0-321540780136}"/>
            </a:ext>
          </a:extLst>
        </xdr:cNvPr>
        <xdr:cNvSpPr/>
      </xdr:nvSpPr>
      <xdr:spPr>
        <a:xfrm>
          <a:off x="10103347" y="2615653"/>
          <a:ext cx="50816" cy="6611596"/>
        </a:xfrm>
        <a:prstGeom prst="rect">
          <a:avLst/>
        </a:prstGeom>
        <a:ln>
          <a:noFill/>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235012</xdr:colOff>
      <xdr:row>29</xdr:row>
      <xdr:rowOff>177992</xdr:rowOff>
    </xdr:from>
    <xdr:to>
      <xdr:col>28</xdr:col>
      <xdr:colOff>156078</xdr:colOff>
      <xdr:row>30</xdr:row>
      <xdr:rowOff>58173</xdr:rowOff>
    </xdr:to>
    <xdr:sp macro="" textlink="">
      <xdr:nvSpPr>
        <xdr:cNvPr id="11" name="Rectangle 10">
          <a:extLst>
            <a:ext uri="{FF2B5EF4-FFF2-40B4-BE49-F238E27FC236}">
              <a16:creationId xmlns:a16="http://schemas.microsoft.com/office/drawing/2014/main" id="{E6E44225-2F83-487B-51FC-EFE2638B2F4B}"/>
            </a:ext>
          </a:extLst>
        </xdr:cNvPr>
        <xdr:cNvSpPr/>
      </xdr:nvSpPr>
      <xdr:spPr>
        <a:xfrm>
          <a:off x="3292419" y="5634288"/>
          <a:ext cx="13985140" cy="68329"/>
        </a:xfrm>
        <a:prstGeom prst="rect">
          <a:avLst/>
        </a:prstGeom>
        <a:ln>
          <a:noFill/>
        </a:ln>
        <a:effectLst>
          <a:glow rad="1397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86333</xdr:colOff>
      <xdr:row>1</xdr:row>
      <xdr:rowOff>139965</xdr:rowOff>
    </xdr:from>
    <xdr:to>
      <xdr:col>6</xdr:col>
      <xdr:colOff>39687</xdr:colOff>
      <xdr:row>4</xdr:row>
      <xdr:rowOff>95251</xdr:rowOff>
    </xdr:to>
    <xdr:pic>
      <xdr:nvPicPr>
        <xdr:cNvPr id="14" name="Picture 13">
          <a:hlinkClick xmlns:r="http://schemas.openxmlformats.org/officeDocument/2006/relationships" r:id="rId1"/>
          <a:extLst>
            <a:ext uri="{FF2B5EF4-FFF2-40B4-BE49-F238E27FC236}">
              <a16:creationId xmlns:a16="http://schemas.microsoft.com/office/drawing/2014/main" id="{C7011525-A373-46AD-8DC6-274F5604622F}"/>
            </a:ext>
          </a:extLst>
        </xdr:cNvPr>
        <xdr:cNvPicPr>
          <a:picLocks noChangeAspect="1"/>
        </xdr:cNvPicPr>
      </xdr:nvPicPr>
      <xdr:blipFill>
        <a:blip xmlns:r="http://schemas.openxmlformats.org/officeDocument/2006/relationships" r:embed="rId2">
          <a:duotone>
            <a:schemeClr val="accent4">
              <a:shade val="45000"/>
              <a:satMod val="135000"/>
            </a:schemeClr>
            <a:prstClr val="white"/>
          </a:duotone>
          <a:extLst>
            <a:ext uri="{BEBA8EAE-BF5A-486C-A8C5-ECC9F3942E4B}">
              <a14:imgProps xmlns:a14="http://schemas.microsoft.com/office/drawing/2010/main">
                <a14:imgLayer r:embed="rId3">
                  <a14:imgEffect>
                    <a14:artisticPlasticWrap/>
                  </a14:imgEffect>
                </a14:imgLayer>
              </a14:imgProps>
            </a:ext>
          </a:extLst>
        </a:blip>
        <a:stretch>
          <a:fillRect/>
        </a:stretch>
      </xdr:blipFill>
      <xdr:spPr>
        <a:xfrm flipH="1">
          <a:off x="3142271" y="330465"/>
          <a:ext cx="564541" cy="526786"/>
        </a:xfrm>
        <a:prstGeom prst="rect">
          <a:avLst/>
        </a:prstGeom>
        <a:effectLst>
          <a:glow rad="63500">
            <a:schemeClr val="accent5">
              <a:satMod val="175000"/>
              <a:alpha val="40000"/>
            </a:schemeClr>
          </a:glow>
          <a:outerShdw blurRad="50800" dist="38100" dir="16200000" rotWithShape="0">
            <a:prstClr val="black">
              <a:alpha val="40000"/>
            </a:prstClr>
          </a:outerShdw>
        </a:effectLst>
      </xdr:spPr>
    </xdr:pic>
    <xdr:clientData/>
  </xdr:twoCellAnchor>
  <xdr:twoCellAnchor>
    <xdr:from>
      <xdr:col>0</xdr:col>
      <xdr:colOff>256443</xdr:colOff>
      <xdr:row>6</xdr:row>
      <xdr:rowOff>54952</xdr:rowOff>
    </xdr:from>
    <xdr:to>
      <xdr:col>3</xdr:col>
      <xdr:colOff>485409</xdr:colOff>
      <xdr:row>9</xdr:row>
      <xdr:rowOff>91587</xdr:rowOff>
    </xdr:to>
    <xdr:sp macro="" textlink="">
      <xdr:nvSpPr>
        <xdr:cNvPr id="15" name="Rectangle: Rounded Corners 14">
          <a:extLst>
            <a:ext uri="{FF2B5EF4-FFF2-40B4-BE49-F238E27FC236}">
              <a16:creationId xmlns:a16="http://schemas.microsoft.com/office/drawing/2014/main" id="{6957AD66-8DE7-14AA-36A8-51F09CC6C72A}"/>
            </a:ext>
          </a:extLst>
        </xdr:cNvPr>
        <xdr:cNvSpPr/>
      </xdr:nvSpPr>
      <xdr:spPr>
        <a:xfrm>
          <a:off x="256443" y="1208942"/>
          <a:ext cx="2069855" cy="613631"/>
        </a:xfrm>
        <a:prstGeom prst="roundRect">
          <a:avLst/>
        </a:prstGeom>
        <a:ln>
          <a:no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a:ln>
                <a:solidFill>
                  <a:schemeClr val="bg1">
                    <a:lumMod val="85000"/>
                  </a:schemeClr>
                </a:solidFill>
              </a:ln>
              <a:effectLst>
                <a:glow rad="101600">
                  <a:schemeClr val="accent1">
                    <a:satMod val="175000"/>
                    <a:alpha val="40000"/>
                  </a:schemeClr>
                </a:glow>
                <a:outerShdw blurRad="50800" dist="38100" dir="18900000" algn="bl" rotWithShape="0">
                  <a:prstClr val="black">
                    <a:alpha val="40000"/>
                  </a:prstClr>
                </a:outerShdw>
              </a:effectLst>
              <a:latin typeface="Amasis MT Pro Black" panose="02040A04050005020304" pitchFamily="18" charset="0"/>
            </a:rPr>
            <a:t>FILTER</a:t>
          </a:r>
        </a:p>
      </xdr:txBody>
    </xdr:sp>
    <xdr:clientData/>
  </xdr:twoCellAnchor>
  <xdr:twoCellAnchor>
    <xdr:from>
      <xdr:col>5</xdr:col>
      <xdr:colOff>283547</xdr:colOff>
      <xdr:row>13</xdr:row>
      <xdr:rowOff>116624</xdr:rowOff>
    </xdr:from>
    <xdr:to>
      <xdr:col>16</xdr:col>
      <xdr:colOff>331212</xdr:colOff>
      <xdr:row>29</xdr:row>
      <xdr:rowOff>129145</xdr:rowOff>
    </xdr:to>
    <xdr:graphicFrame macro="">
      <xdr:nvGraphicFramePr>
        <xdr:cNvPr id="17" name="Chart 16">
          <a:extLst>
            <a:ext uri="{FF2B5EF4-FFF2-40B4-BE49-F238E27FC236}">
              <a16:creationId xmlns:a16="http://schemas.microsoft.com/office/drawing/2014/main" id="{51943F9D-B119-4FEE-908C-5DF891963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450645</xdr:colOff>
      <xdr:row>13</xdr:row>
      <xdr:rowOff>124394</xdr:rowOff>
    </xdr:from>
    <xdr:to>
      <xdr:col>28</xdr:col>
      <xdr:colOff>48846</xdr:colOff>
      <xdr:row>29</xdr:row>
      <xdr:rowOff>61452</xdr:rowOff>
    </xdr:to>
    <xdr:graphicFrame macro="">
      <xdr:nvGraphicFramePr>
        <xdr:cNvPr id="18" name="Chart 17">
          <a:extLst>
            <a:ext uri="{FF2B5EF4-FFF2-40B4-BE49-F238E27FC236}">
              <a16:creationId xmlns:a16="http://schemas.microsoft.com/office/drawing/2014/main" id="{52778C2B-8CFD-4F8F-952C-5656B0F85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343959</xdr:colOff>
      <xdr:row>30</xdr:row>
      <xdr:rowOff>119064</xdr:rowOff>
    </xdr:from>
    <xdr:to>
      <xdr:col>16</xdr:col>
      <xdr:colOff>264583</xdr:colOff>
      <xdr:row>47</xdr:row>
      <xdr:rowOff>13230</xdr:rowOff>
    </xdr:to>
    <xdr:graphicFrame macro="">
      <xdr:nvGraphicFramePr>
        <xdr:cNvPr id="19" name="Chart 18">
          <a:extLst>
            <a:ext uri="{FF2B5EF4-FFF2-40B4-BE49-F238E27FC236}">
              <a16:creationId xmlns:a16="http://schemas.microsoft.com/office/drawing/2014/main" id="{DF6081DA-45DB-46BB-A681-90933BF26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454924</xdr:colOff>
      <xdr:row>30</xdr:row>
      <xdr:rowOff>88655</xdr:rowOff>
    </xdr:from>
    <xdr:to>
      <xdr:col>28</xdr:col>
      <xdr:colOff>0</xdr:colOff>
      <xdr:row>46</xdr:row>
      <xdr:rowOff>73269</xdr:rowOff>
    </xdr:to>
    <xdr:graphicFrame macro="">
      <xdr:nvGraphicFramePr>
        <xdr:cNvPr id="20" name="Chart 19">
          <a:extLst>
            <a:ext uri="{FF2B5EF4-FFF2-40B4-BE49-F238E27FC236}">
              <a16:creationId xmlns:a16="http://schemas.microsoft.com/office/drawing/2014/main" id="{7F19F102-BBFE-444A-AEA5-48F5533EC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212586</xdr:colOff>
      <xdr:row>23</xdr:row>
      <xdr:rowOff>34558</xdr:rowOff>
    </xdr:from>
    <xdr:to>
      <xdr:col>3</xdr:col>
      <xdr:colOff>470668</xdr:colOff>
      <xdr:row>31</xdr:row>
      <xdr:rowOff>127045</xdr:rowOff>
    </xdr:to>
    <mc:AlternateContent xmlns:mc="http://schemas.openxmlformats.org/markup-compatibility/2006" xmlns:a14="http://schemas.microsoft.com/office/drawing/2010/main">
      <mc:Choice Requires="a14">
        <xdr:graphicFrame macro="">
          <xdr:nvGraphicFramePr>
            <xdr:cNvPr id="21" name="Product_Category 2">
              <a:extLst>
                <a:ext uri="{FF2B5EF4-FFF2-40B4-BE49-F238E27FC236}">
                  <a16:creationId xmlns:a16="http://schemas.microsoft.com/office/drawing/2014/main" id="{7202AF1D-DA75-4FCF-ADAB-7B80A22C6F8F}"/>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212586" y="4555153"/>
              <a:ext cx="2072368" cy="1664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247407</xdr:colOff>
      <xdr:row>32</xdr:row>
      <xdr:rowOff>77938</xdr:rowOff>
    </xdr:from>
    <xdr:to>
      <xdr:col>3</xdr:col>
      <xdr:colOff>464521</xdr:colOff>
      <xdr:row>39</xdr:row>
      <xdr:rowOff>511</xdr:rowOff>
    </xdr:to>
    <mc:AlternateContent xmlns:mc="http://schemas.openxmlformats.org/markup-compatibility/2006" xmlns:a14="http://schemas.microsoft.com/office/drawing/2010/main">
      <mc:Choice Requires="a14">
        <xdr:graphicFrame macro="">
          <xdr:nvGraphicFramePr>
            <xdr:cNvPr id="22" name="price_tier">
              <a:extLst>
                <a:ext uri="{FF2B5EF4-FFF2-40B4-BE49-F238E27FC236}">
                  <a16:creationId xmlns:a16="http://schemas.microsoft.com/office/drawing/2014/main" id="{44521891-BFA7-46FD-8370-FFFF4349834A}"/>
                </a:ext>
              </a:extLst>
            </xdr:cNvPr>
            <xdr:cNvGraphicFramePr/>
          </xdr:nvGraphicFramePr>
          <xdr:xfrm>
            <a:off x="0" y="0"/>
            <a:ext cx="0" cy="0"/>
          </xdr:xfrm>
          <a:graphic>
            <a:graphicData uri="http://schemas.microsoft.com/office/drawing/2010/slicer">
              <sle:slicer xmlns:sle="http://schemas.microsoft.com/office/drawing/2010/slicer" name="price_tier"/>
            </a:graphicData>
          </a:graphic>
        </xdr:graphicFrame>
      </mc:Choice>
      <mc:Fallback xmlns="">
        <xdr:sp macro="" textlink="">
          <xdr:nvSpPr>
            <xdr:cNvPr id="0" name=""/>
            <xdr:cNvSpPr>
              <a:spLocks noTextEdit="1"/>
            </xdr:cNvSpPr>
          </xdr:nvSpPr>
          <xdr:spPr>
            <a:xfrm>
              <a:off x="247407" y="6367462"/>
              <a:ext cx="2031400" cy="1298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228957</xdr:colOff>
      <xdr:row>39</xdr:row>
      <xdr:rowOff>123152</xdr:rowOff>
    </xdr:from>
    <xdr:to>
      <xdr:col>3</xdr:col>
      <xdr:colOff>495247</xdr:colOff>
      <xdr:row>46</xdr:row>
      <xdr:rowOff>1</xdr:rowOff>
    </xdr:to>
    <mc:AlternateContent xmlns:mc="http://schemas.openxmlformats.org/markup-compatibility/2006" xmlns:a14="http://schemas.microsoft.com/office/drawing/2010/main">
      <mc:Choice Requires="a14">
        <xdr:graphicFrame macro="">
          <xdr:nvGraphicFramePr>
            <xdr:cNvPr id="23" name="Customer_Segment">
              <a:extLst>
                <a:ext uri="{FF2B5EF4-FFF2-40B4-BE49-F238E27FC236}">
                  <a16:creationId xmlns:a16="http://schemas.microsoft.com/office/drawing/2014/main" id="{6230DA42-2C60-40D2-94F5-F436659DB57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228957" y="7788509"/>
              <a:ext cx="2080576" cy="1252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213634</xdr:colOff>
      <xdr:row>11</xdr:row>
      <xdr:rowOff>10290</xdr:rowOff>
    </xdr:from>
    <xdr:to>
      <xdr:col>3</xdr:col>
      <xdr:colOff>442600</xdr:colOff>
      <xdr:row>14</xdr:row>
      <xdr:rowOff>46925</xdr:rowOff>
    </xdr:to>
    <xdr:sp macro="" textlink="">
      <xdr:nvSpPr>
        <xdr:cNvPr id="24" name="Rectangle: Rounded Corners 23">
          <a:hlinkClick xmlns:r="http://schemas.openxmlformats.org/officeDocument/2006/relationships" r:id="rId8"/>
          <a:extLst>
            <a:ext uri="{FF2B5EF4-FFF2-40B4-BE49-F238E27FC236}">
              <a16:creationId xmlns:a16="http://schemas.microsoft.com/office/drawing/2014/main" id="{71C2B5D7-5B54-4944-80CA-2F032DA02A5C}"/>
            </a:ext>
          </a:extLst>
        </xdr:cNvPr>
        <xdr:cNvSpPr/>
      </xdr:nvSpPr>
      <xdr:spPr>
        <a:xfrm>
          <a:off x="213634" y="2129335"/>
          <a:ext cx="2059050" cy="614556"/>
        </a:xfrm>
        <a:prstGeom prst="roundRect">
          <a:avLst/>
        </a:prstGeom>
        <a:ln>
          <a:no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a:ln>
                <a:solidFill>
                  <a:schemeClr val="bg1">
                    <a:lumMod val="85000"/>
                  </a:schemeClr>
                </a:solidFill>
              </a:ln>
              <a:effectLst>
                <a:glow rad="101600">
                  <a:schemeClr val="accent1">
                    <a:satMod val="175000"/>
                    <a:alpha val="40000"/>
                  </a:schemeClr>
                </a:glow>
                <a:outerShdw blurRad="50800" dist="38100" dir="18900000" algn="bl" rotWithShape="0">
                  <a:prstClr val="black">
                    <a:alpha val="40000"/>
                  </a:prstClr>
                </a:outerShdw>
              </a:effectLst>
              <a:latin typeface="Amasis MT Pro Black" panose="02040A04050005020304" pitchFamily="18" charset="0"/>
            </a:rPr>
            <a:t>SALES</a:t>
          </a:r>
          <a:r>
            <a:rPr lang="en-IN" sz="1400" baseline="0">
              <a:ln>
                <a:solidFill>
                  <a:schemeClr val="bg1">
                    <a:lumMod val="85000"/>
                  </a:schemeClr>
                </a:solidFill>
              </a:ln>
              <a:effectLst>
                <a:glow rad="101600">
                  <a:schemeClr val="accent1">
                    <a:satMod val="175000"/>
                    <a:alpha val="40000"/>
                  </a:schemeClr>
                </a:glow>
                <a:outerShdw blurRad="50800" dist="38100" dir="18900000" algn="bl" rotWithShape="0">
                  <a:prstClr val="black">
                    <a:alpha val="40000"/>
                  </a:prstClr>
                </a:outerShdw>
              </a:effectLst>
              <a:latin typeface="Amasis MT Pro Black" panose="02040A04050005020304" pitchFamily="18" charset="0"/>
            </a:rPr>
            <a:t> OVERVIEW</a:t>
          </a:r>
          <a:endParaRPr lang="en-IN" sz="1400">
            <a:ln>
              <a:solidFill>
                <a:schemeClr val="bg1">
                  <a:lumMod val="85000"/>
                </a:schemeClr>
              </a:solidFill>
            </a:ln>
            <a:effectLst>
              <a:glow rad="101600">
                <a:schemeClr val="accent1">
                  <a:satMod val="175000"/>
                  <a:alpha val="40000"/>
                </a:schemeClr>
              </a:glow>
              <a:outerShdw blurRad="50800" dist="38100" dir="18900000" algn="bl" rotWithShape="0">
                <a:prstClr val="black">
                  <a:alpha val="40000"/>
                </a:prstClr>
              </a:outerShdw>
            </a:effectLst>
            <a:latin typeface="Amasis MT Pro Black" panose="02040A04050005020304" pitchFamily="18" charset="0"/>
          </a:endParaRPr>
        </a:p>
      </xdr:txBody>
    </xdr:sp>
    <xdr:clientData/>
  </xdr:twoCellAnchor>
  <xdr:twoCellAnchor>
    <xdr:from>
      <xdr:col>0</xdr:col>
      <xdr:colOff>237608</xdr:colOff>
      <xdr:row>15</xdr:row>
      <xdr:rowOff>23560</xdr:rowOff>
    </xdr:from>
    <xdr:to>
      <xdr:col>3</xdr:col>
      <xdr:colOff>466574</xdr:colOff>
      <xdr:row>18</xdr:row>
      <xdr:rowOff>60195</xdr:rowOff>
    </xdr:to>
    <xdr:sp macro="" textlink="">
      <xdr:nvSpPr>
        <xdr:cNvPr id="25" name="Rectangle: Rounded Corners 24">
          <a:extLst>
            <a:ext uri="{FF2B5EF4-FFF2-40B4-BE49-F238E27FC236}">
              <a16:creationId xmlns:a16="http://schemas.microsoft.com/office/drawing/2014/main" id="{A8E9ACC0-F4FF-42BE-8A83-5CBF5F2D8969}"/>
            </a:ext>
          </a:extLst>
        </xdr:cNvPr>
        <xdr:cNvSpPr/>
      </xdr:nvSpPr>
      <xdr:spPr>
        <a:xfrm>
          <a:off x="237608" y="2913167"/>
          <a:ext cx="2059050" cy="614556"/>
        </a:xfrm>
        <a:prstGeom prst="roundRect">
          <a:avLst/>
        </a:prstGeom>
        <a:solidFill>
          <a:schemeClr val="accent3">
            <a:lumMod val="60000"/>
            <a:lumOff val="40000"/>
          </a:schemeClr>
        </a:solidFill>
        <a:ln>
          <a:no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l"/>
          <a:r>
            <a:rPr lang="en-IN" sz="1100"/>
            <a:t>                 </a:t>
          </a:r>
          <a:r>
            <a:rPr lang="en-IN" sz="1400">
              <a:ln>
                <a:solidFill>
                  <a:schemeClr val="bg1">
                    <a:lumMod val="85000"/>
                  </a:schemeClr>
                </a:solidFill>
              </a:ln>
              <a:effectLst>
                <a:glow rad="101600">
                  <a:schemeClr val="accent1">
                    <a:satMod val="175000"/>
                    <a:alpha val="40000"/>
                  </a:schemeClr>
                </a:glow>
                <a:outerShdw blurRad="50800" dist="38100" dir="18900000" algn="bl" rotWithShape="0">
                  <a:prstClr val="black">
                    <a:alpha val="40000"/>
                  </a:prstClr>
                </a:outerShdw>
              </a:effectLst>
              <a:latin typeface="Amasis MT Pro Black" panose="02040A04050005020304" pitchFamily="18" charset="0"/>
            </a:rPr>
            <a:t>PRODUCT</a:t>
          </a:r>
          <a:r>
            <a:rPr lang="en-IN" sz="1400" baseline="0">
              <a:ln>
                <a:solidFill>
                  <a:schemeClr val="bg1">
                    <a:lumMod val="85000"/>
                  </a:schemeClr>
                </a:solidFill>
              </a:ln>
              <a:effectLst>
                <a:glow rad="101600">
                  <a:schemeClr val="accent1">
                    <a:satMod val="175000"/>
                    <a:alpha val="40000"/>
                  </a:schemeClr>
                </a:glow>
                <a:outerShdw blurRad="50800" dist="38100" dir="18900000" algn="bl" rotWithShape="0">
                  <a:prstClr val="black">
                    <a:alpha val="40000"/>
                  </a:prstClr>
                </a:outerShdw>
              </a:effectLst>
              <a:latin typeface="Amasis MT Pro Black" panose="02040A04050005020304" pitchFamily="18" charset="0"/>
            </a:rPr>
            <a:t>             ANALYSIS</a:t>
          </a:r>
          <a:endParaRPr lang="en-IN" sz="1400">
            <a:ln>
              <a:solidFill>
                <a:schemeClr val="bg1">
                  <a:lumMod val="85000"/>
                </a:schemeClr>
              </a:solidFill>
            </a:ln>
            <a:effectLst>
              <a:glow rad="101600">
                <a:schemeClr val="accent1">
                  <a:satMod val="175000"/>
                  <a:alpha val="40000"/>
                </a:schemeClr>
              </a:glow>
              <a:outerShdw blurRad="50800" dist="38100" dir="18900000" algn="bl" rotWithShape="0">
                <a:prstClr val="black">
                  <a:alpha val="40000"/>
                </a:prstClr>
              </a:outerShdw>
            </a:effectLst>
            <a:latin typeface="Amasis MT Pro Black" panose="02040A04050005020304" pitchFamily="18" charset="0"/>
          </a:endParaRPr>
        </a:p>
      </xdr:txBody>
    </xdr:sp>
    <xdr:clientData/>
  </xdr:twoCellAnchor>
  <xdr:twoCellAnchor>
    <xdr:from>
      <xdr:col>0</xdr:col>
      <xdr:colOff>218771</xdr:colOff>
      <xdr:row>19</xdr:row>
      <xdr:rowOff>36832</xdr:rowOff>
    </xdr:from>
    <xdr:to>
      <xdr:col>3</xdr:col>
      <xdr:colOff>447737</xdr:colOff>
      <xdr:row>22</xdr:row>
      <xdr:rowOff>73467</xdr:rowOff>
    </xdr:to>
    <xdr:sp macro="" textlink="">
      <xdr:nvSpPr>
        <xdr:cNvPr id="26" name="Rectangle: Rounded Corners 25">
          <a:hlinkClick xmlns:r="http://schemas.openxmlformats.org/officeDocument/2006/relationships" r:id="rId9"/>
          <a:extLst>
            <a:ext uri="{FF2B5EF4-FFF2-40B4-BE49-F238E27FC236}">
              <a16:creationId xmlns:a16="http://schemas.microsoft.com/office/drawing/2014/main" id="{953173FA-8C3A-4688-BBD8-361946DE3C7A}"/>
            </a:ext>
          </a:extLst>
        </xdr:cNvPr>
        <xdr:cNvSpPr/>
      </xdr:nvSpPr>
      <xdr:spPr>
        <a:xfrm>
          <a:off x="218771" y="3697001"/>
          <a:ext cx="2059050" cy="614556"/>
        </a:xfrm>
        <a:prstGeom prst="roundRect">
          <a:avLst/>
        </a:prstGeom>
        <a:ln>
          <a:no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a:ln>
                <a:solidFill>
                  <a:schemeClr val="bg1">
                    <a:lumMod val="85000"/>
                  </a:schemeClr>
                </a:solidFill>
              </a:ln>
              <a:effectLst>
                <a:glow rad="101600">
                  <a:schemeClr val="accent1">
                    <a:satMod val="175000"/>
                    <a:alpha val="40000"/>
                  </a:schemeClr>
                </a:glow>
                <a:outerShdw blurRad="50800" dist="38100" dir="18900000" algn="bl" rotWithShape="0">
                  <a:prstClr val="black">
                    <a:alpha val="40000"/>
                  </a:prstClr>
                </a:outerShdw>
              </a:effectLst>
              <a:latin typeface="Amasis MT Pro Black" panose="02040A04050005020304" pitchFamily="18" charset="0"/>
            </a:rPr>
            <a:t>REGION</a:t>
          </a:r>
          <a:r>
            <a:rPr lang="en-IN" sz="1400" baseline="0">
              <a:ln>
                <a:solidFill>
                  <a:schemeClr val="bg1">
                    <a:lumMod val="85000"/>
                  </a:schemeClr>
                </a:solidFill>
              </a:ln>
              <a:effectLst>
                <a:glow rad="101600">
                  <a:schemeClr val="accent1">
                    <a:satMod val="175000"/>
                    <a:alpha val="40000"/>
                  </a:schemeClr>
                </a:glow>
                <a:outerShdw blurRad="50800" dist="38100" dir="18900000" algn="bl" rotWithShape="0">
                  <a:prstClr val="black">
                    <a:alpha val="40000"/>
                  </a:prstClr>
                </a:outerShdw>
              </a:effectLst>
              <a:latin typeface="Amasis MT Pro Black" panose="02040A04050005020304" pitchFamily="18" charset="0"/>
            </a:rPr>
            <a:t> SALES</a:t>
          </a:r>
          <a:endParaRPr lang="en-IN" sz="1400">
            <a:ln>
              <a:solidFill>
                <a:schemeClr val="bg1">
                  <a:lumMod val="85000"/>
                </a:schemeClr>
              </a:solidFill>
            </a:ln>
            <a:effectLst>
              <a:glow rad="101600">
                <a:schemeClr val="accent1">
                  <a:satMod val="175000"/>
                  <a:alpha val="40000"/>
                </a:schemeClr>
              </a:glow>
              <a:outerShdw blurRad="50800" dist="38100" dir="18900000" algn="bl" rotWithShape="0">
                <a:prstClr val="black">
                  <a:alpha val="40000"/>
                </a:prstClr>
              </a:outerShdw>
            </a:effectLst>
            <a:latin typeface="Amasis MT Pro Black" panose="02040A040500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75585</xdr:rowOff>
    </xdr:from>
    <xdr:to>
      <xdr:col>3</xdr:col>
      <xdr:colOff>476388</xdr:colOff>
      <xdr:row>66</xdr:row>
      <xdr:rowOff>159027</xdr:rowOff>
    </xdr:to>
    <xdr:sp macro="" textlink="">
      <xdr:nvSpPr>
        <xdr:cNvPr id="2" name="Rectangle: Rounded Corners 1">
          <a:extLst>
            <a:ext uri="{FF2B5EF4-FFF2-40B4-BE49-F238E27FC236}">
              <a16:creationId xmlns:a16="http://schemas.microsoft.com/office/drawing/2014/main" id="{35C97B44-3A6A-B1BE-F92A-610A904F2BE5}"/>
            </a:ext>
          </a:extLst>
        </xdr:cNvPr>
        <xdr:cNvSpPr/>
      </xdr:nvSpPr>
      <xdr:spPr>
        <a:xfrm>
          <a:off x="0" y="628650"/>
          <a:ext cx="2319936" cy="11697796"/>
        </a:xfrm>
        <a:prstGeom prst="roundRect">
          <a:avLst>
            <a:gd name="adj" fmla="val 10145"/>
          </a:avLst>
        </a:prstGeom>
        <a:solidFill>
          <a:schemeClr val="accent6">
            <a:lumMod val="40000"/>
            <a:lumOff val="60000"/>
            <a:alpha val="50000"/>
          </a:schemeClr>
        </a:solidFill>
        <a:ln>
          <a:solidFill>
            <a:schemeClr val="accent1">
              <a:lumMod val="50000"/>
            </a:schemeClr>
          </a:solidFill>
        </a:ln>
        <a:effectLst>
          <a:glow rad="63500">
            <a:schemeClr val="accent1">
              <a:satMod val="175000"/>
              <a:alpha val="40000"/>
            </a:schemeClr>
          </a:glow>
          <a:innerShdw blurRad="63500" dist="50800" dir="27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490537</xdr:colOff>
      <xdr:row>0</xdr:row>
      <xdr:rowOff>150812</xdr:rowOff>
    </xdr:from>
    <xdr:to>
      <xdr:col>32</xdr:col>
      <xdr:colOff>156103</xdr:colOff>
      <xdr:row>5</xdr:row>
      <xdr:rowOff>0</xdr:rowOff>
    </xdr:to>
    <xdr:sp macro="" textlink="">
      <xdr:nvSpPr>
        <xdr:cNvPr id="3" name="Rectangle: Rounded Corners 2">
          <a:extLst>
            <a:ext uri="{FF2B5EF4-FFF2-40B4-BE49-F238E27FC236}">
              <a16:creationId xmlns:a16="http://schemas.microsoft.com/office/drawing/2014/main" id="{877A68E8-87C8-F7A0-4F89-F262B28D0230}"/>
            </a:ext>
          </a:extLst>
        </xdr:cNvPr>
        <xdr:cNvSpPr/>
      </xdr:nvSpPr>
      <xdr:spPr>
        <a:xfrm>
          <a:off x="2314473" y="150812"/>
          <a:ext cx="17296949" cy="761156"/>
        </a:xfrm>
        <a:prstGeom prst="roundRect">
          <a:avLst>
            <a:gd name="adj" fmla="val 38889"/>
          </a:avLst>
        </a:prstGeom>
        <a:ln>
          <a:solidFill>
            <a:schemeClr val="tx2">
              <a:lumMod val="75000"/>
              <a:lumOff val="25000"/>
            </a:schemeClr>
          </a:solidFill>
        </a:ln>
        <a:effectLst>
          <a:glow rad="139700">
            <a:schemeClr val="accent3">
              <a:satMod val="175000"/>
              <a:alpha val="40000"/>
            </a:schemeClr>
          </a:glow>
          <a:innerShdw blurRad="63500" dist="50800" dir="135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491400</xdr:colOff>
      <xdr:row>6</xdr:row>
      <xdr:rowOff>96205</xdr:rowOff>
    </xdr:from>
    <xdr:to>
      <xdr:col>10</xdr:col>
      <xdr:colOff>543537</xdr:colOff>
      <xdr:row>11</xdr:row>
      <xdr:rowOff>107047</xdr:rowOff>
    </xdr:to>
    <xdr:sp macro="" textlink="">
      <xdr:nvSpPr>
        <xdr:cNvPr id="7" name="Rectangle: Rounded Corners 6">
          <a:extLst>
            <a:ext uri="{FF2B5EF4-FFF2-40B4-BE49-F238E27FC236}">
              <a16:creationId xmlns:a16="http://schemas.microsoft.com/office/drawing/2014/main" id="{DCC06A42-8A87-4BBA-8ECE-0EBA6529290D}"/>
            </a:ext>
          </a:extLst>
        </xdr:cNvPr>
        <xdr:cNvSpPr/>
      </xdr:nvSpPr>
      <xdr:spPr>
        <a:xfrm>
          <a:off x="3549426" y="1239205"/>
          <a:ext cx="3110164" cy="963342"/>
        </a:xfrm>
        <a:prstGeom prst="roundRect">
          <a:avLst/>
        </a:prstGeom>
        <a:solidFill>
          <a:schemeClr val="accent6">
            <a:lumMod val="40000"/>
            <a:lumOff val="60000"/>
          </a:schemeClr>
        </a:solidFill>
        <a:ln>
          <a:solidFill>
            <a:schemeClr val="accent6">
              <a:lumMod val="75000"/>
            </a:schemeClr>
          </a:solidFill>
        </a:ln>
        <a:effectLst>
          <a:glow rad="101600">
            <a:srgbClr val="7030A0">
              <a:alpha val="60000"/>
            </a:srgb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aseline="0">
              <a:solidFill>
                <a:schemeClr val="accent1">
                  <a:lumMod val="60000"/>
                  <a:lumOff val="40000"/>
                </a:schemeClr>
              </a:solidFill>
            </a:rPr>
            <a:t>                  </a:t>
          </a:r>
          <a:r>
            <a:rPr lang="en-IN" sz="1100" baseline="0">
              <a:ln>
                <a:solidFill>
                  <a:schemeClr val="bg2">
                    <a:lumMod val="25000"/>
                  </a:schemeClr>
                </a:solidFill>
              </a:ln>
              <a:solidFill>
                <a:schemeClr val="accent1">
                  <a:lumMod val="60000"/>
                  <a:lumOff val="40000"/>
                </a:schemeClr>
              </a:solidFill>
              <a:effectLst>
                <a:glow rad="139700">
                  <a:schemeClr val="accent1">
                    <a:satMod val="175000"/>
                    <a:alpha val="40000"/>
                  </a:schemeClr>
                </a:glow>
              </a:effectLst>
            </a:rPr>
            <a:t>    </a:t>
          </a:r>
          <a:r>
            <a:rPr lang="en-IN" sz="1600" baseline="0">
              <a:ln>
                <a:noFill/>
              </a:ln>
              <a:solidFill>
                <a:schemeClr val="tx1">
                  <a:lumMod val="75000"/>
                  <a:lumOff val="25000"/>
                </a:schemeClr>
              </a:solidFill>
              <a:effectLst>
                <a:glow rad="139700">
                  <a:schemeClr val="accent1">
                    <a:satMod val="175000"/>
                    <a:alpha val="40000"/>
                  </a:schemeClr>
                </a:glow>
              </a:effectLst>
              <a:latin typeface="Amasis MT Pro Black" panose="02040A04050005020304" pitchFamily="18" charset="0"/>
            </a:rPr>
            <a:t>TOP REGION</a:t>
          </a:r>
          <a:endParaRPr lang="en-IN" sz="1100" b="0" i="0" u="none" strike="noStrike" baseline="0">
            <a:ln>
              <a:noFill/>
            </a:ln>
            <a:solidFill>
              <a:schemeClr val="tx1">
                <a:lumMod val="75000"/>
                <a:lumOff val="25000"/>
              </a:schemeClr>
            </a:solidFill>
            <a:effectLst/>
            <a:latin typeface="+mn-lt"/>
            <a:ea typeface="+mn-ea"/>
            <a:cs typeface="+mn-cs"/>
          </a:endParaRPr>
        </a:p>
        <a:p>
          <a:pPr algn="l"/>
          <a:r>
            <a:rPr lang="en-IN" sz="1600" b="0" i="0" u="none" strike="noStrike" baseline="0">
              <a:ln>
                <a:solidFill>
                  <a:schemeClr val="bg2">
                    <a:lumMod val="25000"/>
                  </a:schemeClr>
                </a:solidFill>
              </a:ln>
              <a:solidFill>
                <a:schemeClr val="accent1">
                  <a:lumMod val="60000"/>
                  <a:lumOff val="40000"/>
                </a:schemeClr>
              </a:solidFill>
              <a:effectLst>
                <a:glow rad="139700">
                  <a:schemeClr val="accent1">
                    <a:satMod val="175000"/>
                    <a:alpha val="40000"/>
                  </a:schemeClr>
                </a:glow>
              </a:effectLst>
              <a:latin typeface="Amasis MT Pro Black" panose="02040A04050005020304" pitchFamily="18" charset="0"/>
              <a:ea typeface="+mn-ea"/>
              <a:cs typeface="+mn-cs"/>
            </a:rPr>
            <a:t>               </a:t>
          </a:r>
        </a:p>
        <a:p>
          <a:pPr algn="l"/>
          <a:r>
            <a:rPr lang="en-IN" sz="1600" b="0" i="0" u="none" strike="noStrike" baseline="0">
              <a:ln>
                <a:solidFill>
                  <a:schemeClr val="bg2">
                    <a:lumMod val="25000"/>
                  </a:schemeClr>
                </a:solidFill>
              </a:ln>
              <a:solidFill>
                <a:schemeClr val="accent1">
                  <a:lumMod val="60000"/>
                  <a:lumOff val="40000"/>
                </a:schemeClr>
              </a:solidFill>
              <a:effectLst>
                <a:glow rad="139700">
                  <a:schemeClr val="accent1">
                    <a:satMod val="175000"/>
                    <a:alpha val="40000"/>
                  </a:schemeClr>
                </a:glow>
              </a:effectLst>
              <a:latin typeface="Amasis MT Pro Black" panose="02040A04050005020304" pitchFamily="18" charset="0"/>
              <a:ea typeface="+mn-ea"/>
              <a:cs typeface="+mn-cs"/>
            </a:rPr>
            <a:t>              </a:t>
          </a:r>
          <a:r>
            <a:rPr lang="en-IN" sz="1600" b="0" i="0" u="none" strike="noStrike" baseline="0">
              <a:ln>
                <a:solidFill>
                  <a:schemeClr val="bg2">
                    <a:lumMod val="25000"/>
                  </a:schemeClr>
                </a:solidFill>
              </a:ln>
              <a:solidFill>
                <a:schemeClr val="tx1">
                  <a:lumMod val="75000"/>
                  <a:lumOff val="25000"/>
                </a:schemeClr>
              </a:solidFill>
              <a:effectLst>
                <a:glow rad="139700">
                  <a:schemeClr val="accent1">
                    <a:satMod val="175000"/>
                    <a:alpha val="40000"/>
                  </a:schemeClr>
                </a:glow>
              </a:effectLst>
              <a:latin typeface="Amasis MT Pro Black" panose="02040A04050005020304" pitchFamily="18" charset="0"/>
              <a:ea typeface="+mn-ea"/>
              <a:cs typeface="+mn-cs"/>
            </a:rPr>
            <a:t>EUROPE</a:t>
          </a:r>
        </a:p>
      </xdr:txBody>
    </xdr:sp>
    <xdr:clientData/>
  </xdr:twoCellAnchor>
  <xdr:twoCellAnchor>
    <xdr:from>
      <xdr:col>12</xdr:col>
      <xdr:colOff>113016</xdr:colOff>
      <xdr:row>6</xdr:row>
      <xdr:rowOff>84863</xdr:rowOff>
    </xdr:from>
    <xdr:to>
      <xdr:col>17</xdr:col>
      <xdr:colOff>165154</xdr:colOff>
      <xdr:row>11</xdr:row>
      <xdr:rowOff>95704</xdr:rowOff>
    </xdr:to>
    <xdr:sp macro="" textlink="">
      <xdr:nvSpPr>
        <xdr:cNvPr id="8" name="Rectangle: Rounded Corners 7">
          <a:extLst>
            <a:ext uri="{FF2B5EF4-FFF2-40B4-BE49-F238E27FC236}">
              <a16:creationId xmlns:a16="http://schemas.microsoft.com/office/drawing/2014/main" id="{A07139EA-B0F5-498D-B3E3-30B97F77CCCF}"/>
            </a:ext>
          </a:extLst>
        </xdr:cNvPr>
        <xdr:cNvSpPr/>
      </xdr:nvSpPr>
      <xdr:spPr>
        <a:xfrm>
          <a:off x="7408761" y="1179225"/>
          <a:ext cx="3092031" cy="922809"/>
        </a:xfrm>
        <a:prstGeom prst="roundRect">
          <a:avLst/>
        </a:prstGeom>
        <a:solidFill>
          <a:schemeClr val="accent6">
            <a:lumMod val="40000"/>
            <a:lumOff val="60000"/>
          </a:schemeClr>
        </a:solidFill>
        <a:ln>
          <a:solidFill>
            <a:schemeClr val="accent6">
              <a:lumMod val="75000"/>
            </a:schemeClr>
          </a:solidFill>
        </a:ln>
        <a:effectLst>
          <a:glow rad="101600">
            <a:srgbClr val="7030A0">
              <a:alpha val="60000"/>
            </a:srgb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aseline="0">
              <a:latin typeface="Amasis MT Pro Black" panose="02040A04050005020304" pitchFamily="18" charset="0"/>
            </a:rPr>
            <a:t>                 </a:t>
          </a:r>
          <a:r>
            <a:rPr lang="en-IN" sz="1600" baseline="0">
              <a:ln>
                <a:noFill/>
              </a:ln>
              <a:solidFill>
                <a:schemeClr val="tx1">
                  <a:lumMod val="75000"/>
                  <a:lumOff val="25000"/>
                </a:schemeClr>
              </a:solidFill>
              <a:effectLst>
                <a:glow rad="139700">
                  <a:schemeClr val="accent1">
                    <a:satMod val="175000"/>
                    <a:alpha val="40000"/>
                  </a:schemeClr>
                </a:glow>
              </a:effectLst>
              <a:latin typeface="Amasis MT Pro Black" panose="02040A04050005020304" pitchFamily="18" charset="0"/>
            </a:rPr>
            <a:t>TOP  COUNTRY</a:t>
          </a:r>
        </a:p>
        <a:p>
          <a:pPr algn="l"/>
          <a:r>
            <a:rPr lang="en-IN" sz="1600" baseline="0">
              <a:ln>
                <a:solidFill>
                  <a:schemeClr val="tx1">
                    <a:lumMod val="75000"/>
                    <a:lumOff val="25000"/>
                  </a:schemeClr>
                </a:solidFill>
              </a:ln>
              <a:solidFill>
                <a:schemeClr val="accent1">
                  <a:lumMod val="60000"/>
                  <a:lumOff val="40000"/>
                </a:schemeClr>
              </a:solidFill>
              <a:effectLst>
                <a:glow rad="139700">
                  <a:schemeClr val="accent1">
                    <a:satMod val="175000"/>
                    <a:alpha val="40000"/>
                  </a:schemeClr>
                </a:glow>
              </a:effectLst>
              <a:latin typeface="Amasis MT Pro Black" panose="02040A04050005020304" pitchFamily="18" charset="0"/>
            </a:rPr>
            <a:t>        </a:t>
          </a:r>
        </a:p>
        <a:p>
          <a:pPr algn="l"/>
          <a:r>
            <a:rPr lang="en-IN" sz="1600" baseline="0">
              <a:ln>
                <a:solidFill>
                  <a:schemeClr val="tx1">
                    <a:lumMod val="75000"/>
                    <a:lumOff val="25000"/>
                  </a:schemeClr>
                </a:solidFill>
              </a:ln>
              <a:solidFill>
                <a:schemeClr val="accent1">
                  <a:lumMod val="60000"/>
                  <a:lumOff val="40000"/>
                </a:schemeClr>
              </a:solidFill>
              <a:effectLst>
                <a:glow rad="139700">
                  <a:schemeClr val="accent1">
                    <a:satMod val="175000"/>
                    <a:alpha val="40000"/>
                  </a:schemeClr>
                </a:glow>
              </a:effectLst>
              <a:latin typeface="Amasis MT Pro Black" panose="02040A04050005020304" pitchFamily="18" charset="0"/>
            </a:rPr>
            <a:t>              </a:t>
          </a:r>
          <a:r>
            <a:rPr lang="en-IN" sz="1600" baseline="0">
              <a:ln>
                <a:noFill/>
              </a:ln>
              <a:solidFill>
                <a:schemeClr val="tx1">
                  <a:lumMod val="75000"/>
                  <a:lumOff val="25000"/>
                </a:schemeClr>
              </a:solidFill>
              <a:effectLst>
                <a:glow rad="139700">
                  <a:schemeClr val="accent1">
                    <a:satMod val="175000"/>
                    <a:alpha val="40000"/>
                  </a:schemeClr>
                </a:glow>
              </a:effectLst>
              <a:latin typeface="Amasis MT Pro Black" panose="02040A04050005020304" pitchFamily="18" charset="0"/>
            </a:rPr>
            <a:t>MEXICO</a:t>
          </a:r>
          <a:endParaRPr lang="en-IN" sz="1600">
            <a:ln>
              <a:noFill/>
            </a:ln>
            <a:solidFill>
              <a:schemeClr val="tx1">
                <a:lumMod val="75000"/>
                <a:lumOff val="25000"/>
              </a:schemeClr>
            </a:solidFill>
            <a:effectLst>
              <a:glow rad="139700">
                <a:schemeClr val="accent1">
                  <a:satMod val="175000"/>
                  <a:alpha val="40000"/>
                </a:schemeClr>
              </a:glow>
            </a:effectLst>
            <a:latin typeface="Amasis MT Pro Black" panose="02040A04050005020304" pitchFamily="18" charset="0"/>
          </a:endParaRPr>
        </a:p>
      </xdr:txBody>
    </xdr:sp>
    <xdr:clientData/>
  </xdr:twoCellAnchor>
  <xdr:twoCellAnchor>
    <xdr:from>
      <xdr:col>18</xdr:col>
      <xdr:colOff>214267</xdr:colOff>
      <xdr:row>6</xdr:row>
      <xdr:rowOff>92969</xdr:rowOff>
    </xdr:from>
    <xdr:to>
      <xdr:col>23</xdr:col>
      <xdr:colOff>259600</xdr:colOff>
      <xdr:row>11</xdr:row>
      <xdr:rowOff>103810</xdr:rowOff>
    </xdr:to>
    <xdr:sp macro="" textlink="">
      <xdr:nvSpPr>
        <xdr:cNvPr id="9" name="Rectangle: Rounded Corners 8">
          <a:extLst>
            <a:ext uri="{FF2B5EF4-FFF2-40B4-BE49-F238E27FC236}">
              <a16:creationId xmlns:a16="http://schemas.microsoft.com/office/drawing/2014/main" id="{046E74F3-92F4-47FE-AD15-C1288576AB1E}"/>
            </a:ext>
          </a:extLst>
        </xdr:cNvPr>
        <xdr:cNvSpPr/>
      </xdr:nvSpPr>
      <xdr:spPr>
        <a:xfrm>
          <a:off x="11157884" y="1187331"/>
          <a:ext cx="3085227" cy="922809"/>
        </a:xfrm>
        <a:prstGeom prst="roundRect">
          <a:avLst/>
        </a:prstGeom>
        <a:solidFill>
          <a:schemeClr val="accent6">
            <a:lumMod val="40000"/>
            <a:lumOff val="60000"/>
          </a:schemeClr>
        </a:solidFill>
        <a:ln>
          <a:solidFill>
            <a:schemeClr val="accent6">
              <a:lumMod val="75000"/>
            </a:schemeClr>
          </a:solidFill>
        </a:ln>
        <a:effectLst>
          <a:glow rad="101600">
            <a:srgbClr val="7030A0">
              <a:alpha val="60000"/>
            </a:srgb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200">
              <a:latin typeface="Bodoni MT Black" panose="02070A03080606020203" pitchFamily="18" charset="0"/>
            </a:rPr>
            <a:t>                   </a:t>
          </a:r>
          <a:r>
            <a:rPr lang="en-IN" sz="1600">
              <a:ln>
                <a:noFill/>
              </a:ln>
              <a:solidFill>
                <a:schemeClr val="tx1">
                  <a:lumMod val="75000"/>
                  <a:lumOff val="25000"/>
                </a:schemeClr>
              </a:solidFill>
              <a:effectLst>
                <a:glow rad="101600">
                  <a:schemeClr val="accent1">
                    <a:satMod val="175000"/>
                    <a:alpha val="40000"/>
                  </a:schemeClr>
                </a:glow>
              </a:effectLst>
              <a:latin typeface="Bodoni MT Black" panose="02070A03080606020203" pitchFamily="18" charset="0"/>
            </a:rPr>
            <a:t>QUANTITY</a:t>
          </a:r>
          <a:endParaRPr lang="en-IN" sz="1600" baseline="0">
            <a:ln>
              <a:noFill/>
            </a:ln>
            <a:solidFill>
              <a:schemeClr val="tx1">
                <a:lumMod val="75000"/>
                <a:lumOff val="25000"/>
              </a:schemeClr>
            </a:solidFill>
            <a:effectLst>
              <a:glow rad="101600">
                <a:schemeClr val="accent1">
                  <a:satMod val="175000"/>
                  <a:alpha val="40000"/>
                </a:schemeClr>
              </a:glow>
            </a:effectLst>
            <a:latin typeface="Bodoni MT Black" panose="02070A03080606020203" pitchFamily="18" charset="0"/>
          </a:endParaRPr>
        </a:p>
        <a:p>
          <a:pPr algn="l"/>
          <a:endParaRPr lang="en-IN" sz="1600" baseline="0">
            <a:ln>
              <a:solidFill>
                <a:schemeClr val="tx1">
                  <a:lumMod val="65000"/>
                  <a:lumOff val="35000"/>
                </a:schemeClr>
              </a:solidFill>
            </a:ln>
            <a:solidFill>
              <a:schemeClr val="accent1">
                <a:lumMod val="60000"/>
                <a:lumOff val="40000"/>
              </a:schemeClr>
            </a:solidFill>
            <a:effectLst>
              <a:glow rad="101600">
                <a:schemeClr val="accent1">
                  <a:satMod val="175000"/>
                  <a:alpha val="40000"/>
                </a:schemeClr>
              </a:glow>
            </a:effectLst>
            <a:latin typeface="Bodoni MT Black" panose="02070A03080606020203" pitchFamily="18" charset="0"/>
          </a:endParaRPr>
        </a:p>
        <a:p>
          <a:pPr algn="l"/>
          <a:r>
            <a:rPr lang="en-IN" sz="1600" baseline="0">
              <a:ln>
                <a:solidFill>
                  <a:schemeClr val="tx1">
                    <a:lumMod val="65000"/>
                    <a:lumOff val="35000"/>
                  </a:schemeClr>
                </a:solidFill>
              </a:ln>
              <a:solidFill>
                <a:schemeClr val="accent1">
                  <a:lumMod val="60000"/>
                  <a:lumOff val="40000"/>
                </a:schemeClr>
              </a:solidFill>
              <a:effectLst>
                <a:glow rad="101600">
                  <a:schemeClr val="accent1">
                    <a:satMod val="175000"/>
                    <a:alpha val="40000"/>
                  </a:schemeClr>
                </a:glow>
              </a:effectLst>
              <a:latin typeface="Bodoni MT Black" panose="02070A03080606020203" pitchFamily="18" charset="0"/>
            </a:rPr>
            <a:t>                 </a:t>
          </a:r>
          <a:r>
            <a:rPr lang="en-IN" sz="1600" baseline="0">
              <a:ln>
                <a:solidFill>
                  <a:schemeClr val="tx1">
                    <a:lumMod val="65000"/>
                    <a:lumOff val="35000"/>
                  </a:schemeClr>
                </a:solidFill>
              </a:ln>
              <a:solidFill>
                <a:schemeClr val="tx1">
                  <a:lumMod val="75000"/>
                  <a:lumOff val="25000"/>
                </a:schemeClr>
              </a:solidFill>
              <a:effectLst>
                <a:glow rad="101600">
                  <a:schemeClr val="accent1">
                    <a:satMod val="175000"/>
                    <a:alpha val="40000"/>
                  </a:schemeClr>
                </a:glow>
              </a:effectLst>
              <a:latin typeface="Bodoni MT Black" panose="02070A03080606020203" pitchFamily="18" charset="0"/>
            </a:rPr>
            <a:t> </a:t>
          </a:r>
          <a:r>
            <a:rPr lang="en-IN" sz="1600" baseline="0">
              <a:ln>
                <a:noFill/>
              </a:ln>
              <a:solidFill>
                <a:schemeClr val="tx1">
                  <a:lumMod val="75000"/>
                  <a:lumOff val="25000"/>
                </a:schemeClr>
              </a:solidFill>
              <a:effectLst>
                <a:glow rad="101600">
                  <a:schemeClr val="accent1">
                    <a:satMod val="175000"/>
                    <a:alpha val="40000"/>
                  </a:schemeClr>
                </a:glow>
              </a:effectLst>
              <a:latin typeface="Bodoni MT Black" panose="02070A03080606020203" pitchFamily="18" charset="0"/>
            </a:rPr>
            <a:t>4420</a:t>
          </a:r>
          <a:endParaRPr lang="en-IN" sz="1600">
            <a:ln>
              <a:noFill/>
            </a:ln>
            <a:solidFill>
              <a:schemeClr val="tx1">
                <a:lumMod val="75000"/>
                <a:lumOff val="25000"/>
              </a:schemeClr>
            </a:solidFill>
            <a:effectLst>
              <a:glow rad="101600">
                <a:schemeClr val="accent1">
                  <a:satMod val="175000"/>
                  <a:alpha val="40000"/>
                </a:schemeClr>
              </a:glow>
            </a:effectLst>
            <a:latin typeface="Bodoni MT Black" panose="02070A03080606020203" pitchFamily="18" charset="0"/>
          </a:endParaRPr>
        </a:p>
      </xdr:txBody>
    </xdr:sp>
    <xdr:clientData/>
  </xdr:twoCellAnchor>
  <xdr:twoCellAnchor>
    <xdr:from>
      <xdr:col>24</xdr:col>
      <xdr:colOff>301940</xdr:colOff>
      <xdr:row>6</xdr:row>
      <xdr:rowOff>113954</xdr:rowOff>
    </xdr:from>
    <xdr:to>
      <xdr:col>29</xdr:col>
      <xdr:colOff>354074</xdr:colOff>
      <xdr:row>11</xdr:row>
      <xdr:rowOff>138948</xdr:rowOff>
    </xdr:to>
    <xdr:sp macro="" textlink="">
      <xdr:nvSpPr>
        <xdr:cNvPr id="10" name="Rectangle: Rounded Corners 9">
          <a:extLst>
            <a:ext uri="{FF2B5EF4-FFF2-40B4-BE49-F238E27FC236}">
              <a16:creationId xmlns:a16="http://schemas.microsoft.com/office/drawing/2014/main" id="{9CE96074-7761-46A3-BC81-883E8DA63445}"/>
            </a:ext>
          </a:extLst>
        </xdr:cNvPr>
        <xdr:cNvSpPr/>
      </xdr:nvSpPr>
      <xdr:spPr>
        <a:xfrm>
          <a:off x="14966846" y="1246171"/>
          <a:ext cx="3107322" cy="968508"/>
        </a:xfrm>
        <a:prstGeom prst="roundRect">
          <a:avLst/>
        </a:prstGeom>
        <a:solidFill>
          <a:schemeClr val="accent6">
            <a:lumMod val="40000"/>
            <a:lumOff val="60000"/>
          </a:schemeClr>
        </a:solidFill>
        <a:ln>
          <a:solidFill>
            <a:schemeClr val="accent6">
              <a:lumMod val="75000"/>
            </a:schemeClr>
          </a:solidFill>
        </a:ln>
        <a:effectLst>
          <a:glow rad="101600">
            <a:srgbClr val="7030A0">
              <a:alpha val="60000"/>
            </a:srgb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aseline="0"/>
            <a:t>                      </a:t>
          </a:r>
          <a:r>
            <a:rPr lang="en-IN" sz="1600" baseline="0">
              <a:ln>
                <a:noFill/>
              </a:ln>
              <a:solidFill>
                <a:schemeClr val="tx1">
                  <a:lumMod val="75000"/>
                  <a:lumOff val="25000"/>
                </a:schemeClr>
              </a:solidFill>
              <a:effectLst>
                <a:glow rad="101600">
                  <a:schemeClr val="accent1">
                    <a:satMod val="175000"/>
                    <a:alpha val="40000"/>
                  </a:schemeClr>
                </a:glow>
              </a:effectLst>
              <a:latin typeface="Bodoni MT Black" panose="02070A03080606020203" pitchFamily="18" charset="0"/>
            </a:rPr>
            <a:t>UNIT   SOLD</a:t>
          </a:r>
        </a:p>
        <a:p>
          <a:pPr algn="l"/>
          <a:endParaRPr lang="en-IN" sz="1600" baseline="0">
            <a:ln>
              <a:solidFill>
                <a:schemeClr val="bg2">
                  <a:lumMod val="50000"/>
                </a:schemeClr>
              </a:solidFill>
            </a:ln>
            <a:solidFill>
              <a:schemeClr val="accent1">
                <a:lumMod val="60000"/>
                <a:lumOff val="40000"/>
              </a:schemeClr>
            </a:solidFill>
            <a:effectLst>
              <a:glow rad="101600">
                <a:schemeClr val="accent1">
                  <a:satMod val="175000"/>
                  <a:alpha val="40000"/>
                </a:schemeClr>
              </a:glow>
            </a:effectLst>
            <a:latin typeface="Bodoni MT Black" panose="02070A03080606020203" pitchFamily="18" charset="0"/>
          </a:endParaRPr>
        </a:p>
        <a:p>
          <a:pPr algn="l"/>
          <a:r>
            <a:rPr lang="en-IN" sz="1600" baseline="0">
              <a:ln>
                <a:solidFill>
                  <a:schemeClr val="bg2">
                    <a:lumMod val="50000"/>
                  </a:schemeClr>
                </a:solidFill>
              </a:ln>
              <a:solidFill>
                <a:schemeClr val="tx1">
                  <a:lumMod val="75000"/>
                  <a:lumOff val="25000"/>
                </a:schemeClr>
              </a:solidFill>
              <a:effectLst>
                <a:glow rad="101600">
                  <a:schemeClr val="accent1">
                    <a:satMod val="175000"/>
                    <a:alpha val="40000"/>
                  </a:schemeClr>
                </a:glow>
              </a:effectLst>
              <a:latin typeface="Bodoni MT Black" panose="02070A03080606020203" pitchFamily="18" charset="0"/>
            </a:rPr>
            <a:t>                </a:t>
          </a:r>
          <a:r>
            <a:rPr lang="en-IN" sz="1600" baseline="0">
              <a:ln>
                <a:noFill/>
              </a:ln>
              <a:solidFill>
                <a:schemeClr val="tx1">
                  <a:lumMod val="75000"/>
                  <a:lumOff val="25000"/>
                </a:schemeClr>
              </a:solidFill>
              <a:effectLst>
                <a:glow rad="101600">
                  <a:schemeClr val="accent1">
                    <a:satMod val="175000"/>
                    <a:alpha val="40000"/>
                  </a:schemeClr>
                </a:glow>
              </a:effectLst>
              <a:latin typeface="Bodoni MT Black" panose="02070A03080606020203" pitchFamily="18" charset="0"/>
            </a:rPr>
            <a:t>1833</a:t>
          </a:r>
        </a:p>
        <a:p>
          <a:pPr algn="l"/>
          <a:endParaRPr lang="en-IN" sz="1600" baseline="0">
            <a:ln>
              <a:solidFill>
                <a:schemeClr val="bg2">
                  <a:lumMod val="50000"/>
                </a:schemeClr>
              </a:solidFill>
            </a:ln>
            <a:solidFill>
              <a:schemeClr val="accent1">
                <a:lumMod val="60000"/>
                <a:lumOff val="40000"/>
              </a:schemeClr>
            </a:solidFill>
            <a:effectLst>
              <a:glow rad="101600">
                <a:schemeClr val="accent1">
                  <a:satMod val="175000"/>
                  <a:alpha val="40000"/>
                </a:schemeClr>
              </a:glow>
            </a:effectLst>
            <a:latin typeface="Bodoni MT Black" panose="02070A03080606020203" pitchFamily="18" charset="0"/>
          </a:endParaRPr>
        </a:p>
        <a:p>
          <a:pPr algn="l"/>
          <a:r>
            <a:rPr lang="en-IN" sz="1600" baseline="0">
              <a:ln>
                <a:solidFill>
                  <a:schemeClr val="bg2">
                    <a:lumMod val="50000"/>
                  </a:schemeClr>
                </a:solidFill>
              </a:ln>
              <a:solidFill>
                <a:schemeClr val="accent1">
                  <a:lumMod val="60000"/>
                  <a:lumOff val="40000"/>
                </a:schemeClr>
              </a:solidFill>
              <a:effectLst>
                <a:glow rad="101600">
                  <a:schemeClr val="accent1">
                    <a:satMod val="175000"/>
                    <a:alpha val="40000"/>
                  </a:schemeClr>
                </a:glow>
              </a:effectLst>
              <a:latin typeface="Bodoni MT Black" panose="02070A03080606020203" pitchFamily="18" charset="0"/>
            </a:rPr>
            <a:t>            </a:t>
          </a:r>
          <a:endParaRPr lang="en-IN" sz="1600">
            <a:ln>
              <a:solidFill>
                <a:schemeClr val="bg2">
                  <a:lumMod val="50000"/>
                </a:schemeClr>
              </a:solidFill>
            </a:ln>
            <a:solidFill>
              <a:schemeClr val="accent1">
                <a:lumMod val="60000"/>
                <a:lumOff val="40000"/>
              </a:schemeClr>
            </a:solidFill>
            <a:effectLst>
              <a:glow rad="101600">
                <a:schemeClr val="accent1">
                  <a:satMod val="175000"/>
                  <a:alpha val="40000"/>
                </a:schemeClr>
              </a:glow>
            </a:effectLst>
            <a:latin typeface="Bodoni MT Black" panose="02070A03080606020203" pitchFamily="18" charset="0"/>
          </a:endParaRPr>
        </a:p>
      </xdr:txBody>
    </xdr:sp>
    <xdr:clientData/>
  </xdr:twoCellAnchor>
  <xdr:twoCellAnchor>
    <xdr:from>
      <xdr:col>3</xdr:col>
      <xdr:colOff>492326</xdr:colOff>
      <xdr:row>13</xdr:row>
      <xdr:rowOff>60583</xdr:rowOff>
    </xdr:from>
    <xdr:to>
      <xdr:col>31</xdr:col>
      <xdr:colOff>495287</xdr:colOff>
      <xdr:row>68</xdr:row>
      <xdr:rowOff>19657</xdr:rowOff>
    </xdr:to>
    <xdr:sp macro="" textlink="">
      <xdr:nvSpPr>
        <xdr:cNvPr id="11" name="Rectangle: Rounded Corners 10">
          <a:extLst>
            <a:ext uri="{FF2B5EF4-FFF2-40B4-BE49-F238E27FC236}">
              <a16:creationId xmlns:a16="http://schemas.microsoft.com/office/drawing/2014/main" id="{EA491BBB-8D4C-F293-E4AA-F737B9BE0946}"/>
            </a:ext>
          </a:extLst>
        </xdr:cNvPr>
        <xdr:cNvSpPr/>
      </xdr:nvSpPr>
      <xdr:spPr>
        <a:xfrm>
          <a:off x="2302076" y="2537083"/>
          <a:ext cx="16893961" cy="10436574"/>
        </a:xfrm>
        <a:prstGeom prst="roundRect">
          <a:avLst>
            <a:gd name="adj" fmla="val 981"/>
          </a:avLst>
        </a:prstGeom>
        <a:solidFill>
          <a:schemeClr val="bg1">
            <a:lumMod val="50000"/>
          </a:schemeClr>
        </a:solidFill>
        <a:ln>
          <a:noFill/>
        </a:ln>
        <a:effectLst>
          <a:glow rad="228600">
            <a:schemeClr val="accent3">
              <a:satMod val="175000"/>
              <a:alpha val="40000"/>
            </a:schemeClr>
          </a:glow>
          <a:outerShdw blurRad="50800" dist="38100" dir="5400000" algn="t"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405120</xdr:colOff>
      <xdr:row>12</xdr:row>
      <xdr:rowOff>23134</xdr:rowOff>
    </xdr:from>
    <xdr:to>
      <xdr:col>17</xdr:col>
      <xdr:colOff>538027</xdr:colOff>
      <xdr:row>56</xdr:row>
      <xdr:rowOff>45286</xdr:rowOff>
    </xdr:to>
    <xdr:sp macro="" textlink="">
      <xdr:nvSpPr>
        <xdr:cNvPr id="12" name="Rectangle 11">
          <a:extLst>
            <a:ext uri="{FF2B5EF4-FFF2-40B4-BE49-F238E27FC236}">
              <a16:creationId xmlns:a16="http://schemas.microsoft.com/office/drawing/2014/main" id="{DA714DC3-8909-A04C-59DA-7A454DC5C3AA}"/>
            </a:ext>
          </a:extLst>
        </xdr:cNvPr>
        <xdr:cNvSpPr/>
      </xdr:nvSpPr>
      <xdr:spPr>
        <a:xfrm>
          <a:off x="10840287" y="2309134"/>
          <a:ext cx="132907" cy="8404152"/>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IN" sz="1100"/>
        </a:p>
      </xdr:txBody>
    </xdr:sp>
    <xdr:clientData/>
  </xdr:twoCellAnchor>
  <xdr:twoCellAnchor>
    <xdr:from>
      <xdr:col>3</xdr:col>
      <xdr:colOff>551894</xdr:colOff>
      <xdr:row>38</xdr:row>
      <xdr:rowOff>117503</xdr:rowOff>
    </xdr:from>
    <xdr:to>
      <xdr:col>31</xdr:col>
      <xdr:colOff>549433</xdr:colOff>
      <xdr:row>39</xdr:row>
      <xdr:rowOff>56141</xdr:rowOff>
    </xdr:to>
    <xdr:sp macro="" textlink="">
      <xdr:nvSpPr>
        <xdr:cNvPr id="13" name="Rectangle 12">
          <a:extLst>
            <a:ext uri="{FF2B5EF4-FFF2-40B4-BE49-F238E27FC236}">
              <a16:creationId xmlns:a16="http://schemas.microsoft.com/office/drawing/2014/main" id="{5958711B-B1EB-7731-C842-78969F07623C}"/>
            </a:ext>
          </a:extLst>
        </xdr:cNvPr>
        <xdr:cNvSpPr/>
      </xdr:nvSpPr>
      <xdr:spPr>
        <a:xfrm>
          <a:off x="2375830" y="7048460"/>
          <a:ext cx="17020943" cy="121032"/>
        </a:xfrm>
        <a:prstGeom prst="rect">
          <a:avLst/>
        </a:prstGeom>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193115</xdr:colOff>
      <xdr:row>13</xdr:row>
      <xdr:rowOff>62985</xdr:rowOff>
    </xdr:from>
    <xdr:to>
      <xdr:col>17</xdr:col>
      <xdr:colOff>323315</xdr:colOff>
      <xdr:row>68</xdr:row>
      <xdr:rowOff>135837</xdr:rowOff>
    </xdr:to>
    <xdr:sp macro="" textlink="">
      <xdr:nvSpPr>
        <xdr:cNvPr id="14" name="Rectangle 13">
          <a:extLst>
            <a:ext uri="{FF2B5EF4-FFF2-40B4-BE49-F238E27FC236}">
              <a16:creationId xmlns:a16="http://schemas.microsoft.com/office/drawing/2014/main" id="{112364C8-5931-43EF-A156-96FC697C4CC2}"/>
            </a:ext>
          </a:extLst>
        </xdr:cNvPr>
        <xdr:cNvSpPr/>
      </xdr:nvSpPr>
      <xdr:spPr>
        <a:xfrm rot="16200000">
          <a:off x="5238289" y="7749561"/>
          <a:ext cx="10550352" cy="130200"/>
        </a:xfrm>
        <a:prstGeom prst="rect">
          <a:avLst/>
        </a:prstGeom>
        <a:ln>
          <a:noFill/>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465846</xdr:colOff>
      <xdr:row>0</xdr:row>
      <xdr:rowOff>179970</xdr:rowOff>
    </xdr:from>
    <xdr:to>
      <xdr:col>32</xdr:col>
      <xdr:colOff>131412</xdr:colOff>
      <xdr:row>5</xdr:row>
      <xdr:rowOff>29158</xdr:rowOff>
    </xdr:to>
    <xdr:sp macro="" textlink="">
      <xdr:nvSpPr>
        <xdr:cNvPr id="15" name="Rectangle: Rounded Corners 14">
          <a:extLst>
            <a:ext uri="{FF2B5EF4-FFF2-40B4-BE49-F238E27FC236}">
              <a16:creationId xmlns:a16="http://schemas.microsoft.com/office/drawing/2014/main" id="{A64FC4B9-F3DC-453D-ABAA-6829EB5D82C1}"/>
            </a:ext>
          </a:extLst>
        </xdr:cNvPr>
        <xdr:cNvSpPr/>
      </xdr:nvSpPr>
      <xdr:spPr>
        <a:xfrm>
          <a:off x="2302810" y="179970"/>
          <a:ext cx="17422888" cy="821127"/>
        </a:xfrm>
        <a:prstGeom prst="roundRect">
          <a:avLst>
            <a:gd name="adj" fmla="val 38889"/>
          </a:avLst>
        </a:prstGeom>
        <a:ln>
          <a:solidFill>
            <a:schemeClr val="tx2">
              <a:lumMod val="75000"/>
              <a:lumOff val="25000"/>
            </a:schemeClr>
          </a:solidFill>
        </a:ln>
        <a:effectLst>
          <a:glow rad="139700">
            <a:schemeClr val="accent3">
              <a:satMod val="175000"/>
              <a:alpha val="40000"/>
            </a:schemeClr>
          </a:glow>
          <a:innerShdw blurRad="63500" dist="50800" dir="135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baseline="0"/>
            <a:t> </a:t>
          </a:r>
          <a:endParaRPr lang="en-IN" sz="1800" baseline="0">
            <a:latin typeface="Bodoni MT Black" panose="02070A03080606020203" pitchFamily="18" charset="0"/>
          </a:endParaRPr>
        </a:p>
        <a:p>
          <a:pPr algn="l"/>
          <a:r>
            <a:rPr lang="en-IN" sz="1800" baseline="0">
              <a:ln>
                <a:solidFill>
                  <a:schemeClr val="bg1">
                    <a:lumMod val="95000"/>
                  </a:schemeClr>
                </a:solidFill>
              </a:ln>
              <a:solidFill>
                <a:schemeClr val="accent4">
                  <a:lumMod val="40000"/>
                  <a:lumOff val="60000"/>
                </a:schemeClr>
              </a:solidFill>
              <a:latin typeface="Bodoni MT Black" panose="02070A03080606020203" pitchFamily="18" charset="0"/>
            </a:rPr>
            <a:t>              </a:t>
          </a:r>
          <a:r>
            <a:rPr lang="en-IN" sz="1800" baseline="0">
              <a:ln>
                <a:noFill/>
              </a:ln>
              <a:solidFill>
                <a:schemeClr val="accent4">
                  <a:lumMod val="40000"/>
                  <a:lumOff val="60000"/>
                </a:schemeClr>
              </a:solidFill>
              <a:effectLst>
                <a:glow rad="101600">
                  <a:schemeClr val="accent1">
                    <a:satMod val="175000"/>
                    <a:alpha val="40000"/>
                  </a:schemeClr>
                </a:glow>
                <a:outerShdw blurRad="50800" dist="38100" algn="l" rotWithShape="0">
                  <a:prstClr val="black">
                    <a:alpha val="40000"/>
                  </a:prstClr>
                </a:outerShdw>
              </a:effectLst>
              <a:latin typeface="Bodoni MT Black" panose="02070A03080606020203" pitchFamily="18" charset="0"/>
            </a:rPr>
            <a:t>GLOBAL ECOMMERCE SALES DASHBOARD                                                                        </a:t>
          </a:r>
          <a:r>
            <a:rPr lang="en-IN" sz="1800" baseline="0">
              <a:ln>
                <a:noFill/>
              </a:ln>
              <a:solidFill>
                <a:schemeClr val="accent4">
                  <a:lumMod val="40000"/>
                  <a:lumOff val="60000"/>
                </a:schemeClr>
              </a:solidFill>
              <a:effectLst>
                <a:glow rad="139700">
                  <a:schemeClr val="accent1">
                    <a:satMod val="175000"/>
                    <a:alpha val="40000"/>
                  </a:schemeClr>
                </a:glow>
              </a:effectLst>
              <a:latin typeface="Bodoni MT Black" panose="02070A03080606020203" pitchFamily="18" charset="0"/>
            </a:rPr>
            <a:t>REGION SALES</a:t>
          </a:r>
          <a:endParaRPr lang="en-IN" sz="1800">
            <a:ln>
              <a:noFill/>
            </a:ln>
            <a:solidFill>
              <a:schemeClr val="accent4">
                <a:lumMod val="40000"/>
                <a:lumOff val="60000"/>
              </a:schemeClr>
            </a:solidFill>
            <a:effectLst>
              <a:glow rad="139700">
                <a:schemeClr val="accent1">
                  <a:satMod val="175000"/>
                  <a:alpha val="40000"/>
                </a:schemeClr>
              </a:glow>
            </a:effectLst>
            <a:latin typeface="Bodoni MT Black" panose="02070A03080606020203" pitchFamily="18" charset="0"/>
          </a:endParaRPr>
        </a:p>
      </xdr:txBody>
    </xdr:sp>
    <xdr:clientData/>
  </xdr:twoCellAnchor>
  <xdr:twoCellAnchor editAs="oneCell">
    <xdr:from>
      <xdr:col>4</xdr:col>
      <xdr:colOff>121076</xdr:colOff>
      <xdr:row>1</xdr:row>
      <xdr:rowOff>157320</xdr:rowOff>
    </xdr:from>
    <xdr:to>
      <xdr:col>5</xdr:col>
      <xdr:colOff>171542</xdr:colOff>
      <xdr:row>5</xdr:row>
      <xdr:rowOff>1479</xdr:rowOff>
    </xdr:to>
    <xdr:pic>
      <xdr:nvPicPr>
        <xdr:cNvPr id="16" name="Picture 15">
          <a:hlinkClick xmlns:r="http://schemas.openxmlformats.org/officeDocument/2006/relationships" r:id="rId1"/>
          <a:extLst>
            <a:ext uri="{FF2B5EF4-FFF2-40B4-BE49-F238E27FC236}">
              <a16:creationId xmlns:a16="http://schemas.microsoft.com/office/drawing/2014/main" id="{9F489087-C4ED-4891-B376-3F8BB57D1A48}"/>
            </a:ext>
          </a:extLst>
        </xdr:cNvPr>
        <xdr:cNvPicPr>
          <a:picLocks noChangeAspect="1"/>
        </xdr:cNvPicPr>
      </xdr:nvPicPr>
      <xdr:blipFill>
        <a:blip xmlns:r="http://schemas.openxmlformats.org/officeDocument/2006/relationships" r:embed="rId2">
          <a:duotone>
            <a:schemeClr val="accent3">
              <a:shade val="45000"/>
              <a:satMod val="135000"/>
            </a:schemeClr>
            <a:prstClr val="white"/>
          </a:duotone>
          <a:extLst>
            <a:ext uri="{BEBA8EAE-BF5A-486C-A8C5-ECC9F3942E4B}">
              <a14:imgProps xmlns:a14="http://schemas.microsoft.com/office/drawing/2010/main">
                <a14:imgLayer r:embed="rId3">
                  <a14:imgEffect>
                    <a14:artisticPaintStrokes/>
                  </a14:imgEffect>
                </a14:imgLayer>
              </a14:imgProps>
            </a:ext>
          </a:extLst>
        </a:blip>
        <a:stretch>
          <a:fillRect/>
        </a:stretch>
      </xdr:blipFill>
      <xdr:spPr>
        <a:xfrm flipH="1">
          <a:off x="2555243" y="342528"/>
          <a:ext cx="659007" cy="584993"/>
        </a:xfrm>
        <a:prstGeom prst="rect">
          <a:avLst/>
        </a:prstGeom>
        <a:effectLst>
          <a:glow rad="63500">
            <a:schemeClr val="accent5">
              <a:satMod val="175000"/>
              <a:alpha val="40000"/>
            </a:schemeClr>
          </a:glow>
          <a:outerShdw blurRad="50800" dist="38100" dir="16200000" rotWithShape="0">
            <a:prstClr val="black">
              <a:alpha val="40000"/>
            </a:prstClr>
          </a:outerShdw>
          <a:softEdge rad="12700"/>
        </a:effectLst>
      </xdr:spPr>
    </xdr:pic>
    <xdr:clientData/>
  </xdr:twoCellAnchor>
  <xdr:twoCellAnchor>
    <xdr:from>
      <xdr:col>0</xdr:col>
      <xdr:colOff>260906</xdr:colOff>
      <xdr:row>4</xdr:row>
      <xdr:rowOff>44649</xdr:rowOff>
    </xdr:from>
    <xdr:to>
      <xdr:col>3</xdr:col>
      <xdr:colOff>174949</xdr:colOff>
      <xdr:row>6</xdr:row>
      <xdr:rowOff>58316</xdr:rowOff>
    </xdr:to>
    <xdr:sp macro="" textlink="">
      <xdr:nvSpPr>
        <xdr:cNvPr id="18" name="Rectangle: Rounded Corners 17">
          <a:extLst>
            <a:ext uri="{FF2B5EF4-FFF2-40B4-BE49-F238E27FC236}">
              <a16:creationId xmlns:a16="http://schemas.microsoft.com/office/drawing/2014/main" id="{570DF8FD-5C8B-D79C-A5EB-3D71D169F3CD}"/>
            </a:ext>
          </a:extLst>
        </xdr:cNvPr>
        <xdr:cNvSpPr/>
      </xdr:nvSpPr>
      <xdr:spPr>
        <a:xfrm>
          <a:off x="260906" y="822200"/>
          <a:ext cx="1721849" cy="402443"/>
        </a:xfrm>
        <a:prstGeom prst="roundRect">
          <a:avLst>
            <a:gd name="adj" fmla="val 8824"/>
          </a:avLst>
        </a:prstGeom>
        <a:solidFill>
          <a:srgbClr val="C00000"/>
        </a:solidFill>
        <a:ln>
          <a:solidFill>
            <a:srgbClr val="66FFCC"/>
          </a:solidFill>
        </a:ln>
        <a:effectLst>
          <a:glow rad="101600">
            <a:schemeClr val="accent1">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600">
              <a:latin typeface="Bodoni MT Black" panose="02070A03080606020203" pitchFamily="18" charset="0"/>
            </a:rPr>
            <a:t>     </a:t>
          </a:r>
          <a:r>
            <a:rPr lang="en-IN" sz="1600">
              <a:solidFill>
                <a:schemeClr val="bg1">
                  <a:lumMod val="95000"/>
                </a:schemeClr>
              </a:solidFill>
              <a:latin typeface="Bodoni MT Black" panose="02070A03080606020203" pitchFamily="18" charset="0"/>
            </a:rPr>
            <a:t>FILTER</a:t>
          </a:r>
        </a:p>
      </xdr:txBody>
    </xdr:sp>
    <xdr:clientData/>
  </xdr:twoCellAnchor>
  <xdr:twoCellAnchor>
    <xdr:from>
      <xdr:col>17</xdr:col>
      <xdr:colOff>331459</xdr:colOff>
      <xdr:row>39</xdr:row>
      <xdr:rowOff>22712</xdr:rowOff>
    </xdr:from>
    <xdr:to>
      <xdr:col>31</xdr:col>
      <xdr:colOff>300229</xdr:colOff>
      <xdr:row>67</xdr:row>
      <xdr:rowOff>85172</xdr:rowOff>
    </xdr:to>
    <xdr:graphicFrame macro="">
      <xdr:nvGraphicFramePr>
        <xdr:cNvPr id="21" name="Chart 20">
          <a:extLst>
            <a:ext uri="{FF2B5EF4-FFF2-40B4-BE49-F238E27FC236}">
              <a16:creationId xmlns:a16="http://schemas.microsoft.com/office/drawing/2014/main" id="{EE057130-4D69-47FB-80B4-D7976F706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382594</xdr:colOff>
      <xdr:row>13</xdr:row>
      <xdr:rowOff>160812</xdr:rowOff>
    </xdr:from>
    <xdr:to>
      <xdr:col>31</xdr:col>
      <xdr:colOff>333993</xdr:colOff>
      <xdr:row>37</xdr:row>
      <xdr:rowOff>173182</xdr:rowOff>
    </xdr:to>
    <xdr:graphicFrame macro="">
      <xdr:nvGraphicFramePr>
        <xdr:cNvPr id="22" name="Chart 21">
          <a:extLst>
            <a:ext uri="{FF2B5EF4-FFF2-40B4-BE49-F238E27FC236}">
              <a16:creationId xmlns:a16="http://schemas.microsoft.com/office/drawing/2014/main" id="{D7EF6D30-6767-43F8-BBF2-E94F6F112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556063</xdr:colOff>
      <xdr:row>39</xdr:row>
      <xdr:rowOff>107540</xdr:rowOff>
    </xdr:from>
    <xdr:to>
      <xdr:col>17</xdr:col>
      <xdr:colOff>138267</xdr:colOff>
      <xdr:row>67</xdr:row>
      <xdr:rowOff>66322</xdr:rowOff>
    </xdr:to>
    <xdr:graphicFrame macro="">
      <xdr:nvGraphicFramePr>
        <xdr:cNvPr id="23" name="Chart 22">
          <a:extLst>
            <a:ext uri="{FF2B5EF4-FFF2-40B4-BE49-F238E27FC236}">
              <a16:creationId xmlns:a16="http://schemas.microsoft.com/office/drawing/2014/main" id="{49686374-C4AD-45CF-8775-3D8600968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12370</xdr:colOff>
      <xdr:row>13</xdr:row>
      <xdr:rowOff>148443</xdr:rowOff>
    </xdr:from>
    <xdr:to>
      <xdr:col>17</xdr:col>
      <xdr:colOff>123700</xdr:colOff>
      <xdr:row>37</xdr:row>
      <xdr:rowOff>173182</xdr:rowOff>
    </xdr:to>
    <xdr:graphicFrame macro="">
      <xdr:nvGraphicFramePr>
        <xdr:cNvPr id="24" name="Chart 23">
          <a:extLst>
            <a:ext uri="{FF2B5EF4-FFF2-40B4-BE49-F238E27FC236}">
              <a16:creationId xmlns:a16="http://schemas.microsoft.com/office/drawing/2014/main" id="{8B0D1A4D-F164-44A4-91AA-4429D50ED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112718</xdr:colOff>
      <xdr:row>24</xdr:row>
      <xdr:rowOff>66847</xdr:rowOff>
    </xdr:from>
    <xdr:to>
      <xdr:col>3</xdr:col>
      <xdr:colOff>199030</xdr:colOff>
      <xdr:row>34</xdr:row>
      <xdr:rowOff>56865</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4EF1FFE2-4F0B-4766-AD0A-A823948C31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718" y="4638847"/>
              <a:ext cx="1915112" cy="1895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56866</xdr:colOff>
      <xdr:row>34</xdr:row>
      <xdr:rowOff>143212</xdr:rowOff>
    </xdr:from>
    <xdr:to>
      <xdr:col>3</xdr:col>
      <xdr:colOff>190771</xdr:colOff>
      <xdr:row>66</xdr:row>
      <xdr:rowOff>168995</xdr:rowOff>
    </xdr:to>
    <mc:AlternateContent xmlns:mc="http://schemas.openxmlformats.org/markup-compatibility/2006" xmlns:a14="http://schemas.microsoft.com/office/drawing/2010/main">
      <mc:Choice Requires="a14">
        <xdr:graphicFrame macro="">
          <xdr:nvGraphicFramePr>
            <xdr:cNvPr id="26" name="Country">
              <a:extLst>
                <a:ext uri="{FF2B5EF4-FFF2-40B4-BE49-F238E27FC236}">
                  <a16:creationId xmlns:a16="http://schemas.microsoft.com/office/drawing/2014/main" id="{6B69668D-ED4A-4D4C-9035-83CD5413D35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6866" y="6620212"/>
              <a:ext cx="1962705" cy="6121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149496</xdr:colOff>
      <xdr:row>9</xdr:row>
      <xdr:rowOff>79301</xdr:rowOff>
    </xdr:from>
    <xdr:to>
      <xdr:col>3</xdr:col>
      <xdr:colOff>75081</xdr:colOff>
      <xdr:row>13</xdr:row>
      <xdr:rowOff>64417</xdr:rowOff>
    </xdr:to>
    <xdr:sp macro="" textlink="">
      <xdr:nvSpPr>
        <xdr:cNvPr id="27" name="Rectangle: Rounded Corners 26">
          <a:hlinkClick xmlns:r="http://schemas.openxmlformats.org/officeDocument/2006/relationships" r:id="rId8"/>
          <a:extLst>
            <a:ext uri="{FF2B5EF4-FFF2-40B4-BE49-F238E27FC236}">
              <a16:creationId xmlns:a16="http://schemas.microsoft.com/office/drawing/2014/main" id="{89CDD30F-1E4F-4452-A7CD-1F3B7F0DABCC}"/>
            </a:ext>
          </a:extLst>
        </xdr:cNvPr>
        <xdr:cNvSpPr/>
      </xdr:nvSpPr>
      <xdr:spPr>
        <a:xfrm>
          <a:off x="149496" y="1742622"/>
          <a:ext cx="1759503" cy="724370"/>
        </a:xfrm>
        <a:prstGeom prst="roundRect">
          <a:avLst>
            <a:gd name="adj" fmla="val 8824"/>
          </a:avLst>
        </a:prstGeom>
        <a:ln>
          <a:solidFill>
            <a:srgbClr val="66FFCC"/>
          </a:solidFill>
        </a:ln>
        <a:effectLst>
          <a:glow rad="101600">
            <a:schemeClr val="accent1">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600">
              <a:latin typeface="Bodoni MT Black" panose="02070A03080606020203" pitchFamily="18" charset="0"/>
            </a:rPr>
            <a:t>     </a:t>
          </a:r>
          <a:r>
            <a:rPr lang="en-IN" sz="1600">
              <a:solidFill>
                <a:schemeClr val="bg1">
                  <a:lumMod val="95000"/>
                </a:schemeClr>
              </a:solidFill>
              <a:latin typeface="Bodoni MT Black" panose="02070A03080606020203" pitchFamily="18" charset="0"/>
            </a:rPr>
            <a:t>SALES</a:t>
          </a:r>
          <a:r>
            <a:rPr lang="en-IN" sz="1600" baseline="0">
              <a:solidFill>
                <a:schemeClr val="bg1">
                  <a:lumMod val="95000"/>
                </a:schemeClr>
              </a:solidFill>
              <a:latin typeface="Bodoni MT Black" panose="02070A03080606020203" pitchFamily="18" charset="0"/>
            </a:rPr>
            <a:t> OVERVIEW</a:t>
          </a:r>
          <a:endParaRPr lang="en-IN" sz="1600">
            <a:solidFill>
              <a:schemeClr val="bg1">
                <a:lumMod val="95000"/>
              </a:schemeClr>
            </a:solidFill>
            <a:latin typeface="Bodoni MT Black" panose="02070A03080606020203" pitchFamily="18" charset="0"/>
          </a:endParaRPr>
        </a:p>
      </xdr:txBody>
    </xdr:sp>
    <xdr:clientData/>
  </xdr:twoCellAnchor>
  <xdr:twoCellAnchor>
    <xdr:from>
      <xdr:col>0</xdr:col>
      <xdr:colOff>173948</xdr:colOff>
      <xdr:row>14</xdr:row>
      <xdr:rowOff>160620</xdr:rowOff>
    </xdr:from>
    <xdr:to>
      <xdr:col>3</xdr:col>
      <xdr:colOff>99533</xdr:colOff>
      <xdr:row>18</xdr:row>
      <xdr:rowOff>145736</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A43934DB-E122-48DE-AA45-24CBB822DC0A}"/>
            </a:ext>
          </a:extLst>
        </xdr:cNvPr>
        <xdr:cNvSpPr/>
      </xdr:nvSpPr>
      <xdr:spPr>
        <a:xfrm>
          <a:off x="173948" y="2748008"/>
          <a:ext cx="1759503" cy="724370"/>
        </a:xfrm>
        <a:prstGeom prst="roundRect">
          <a:avLst>
            <a:gd name="adj" fmla="val 8824"/>
          </a:avLst>
        </a:prstGeom>
        <a:ln>
          <a:solidFill>
            <a:srgbClr val="66FFCC"/>
          </a:solidFill>
        </a:ln>
        <a:effectLst>
          <a:glow rad="101600">
            <a:schemeClr val="accent1">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600">
              <a:latin typeface="Bodoni MT Black" panose="02070A03080606020203" pitchFamily="18" charset="0"/>
            </a:rPr>
            <a:t>     </a:t>
          </a:r>
          <a:r>
            <a:rPr lang="en-IN" sz="1600">
              <a:solidFill>
                <a:schemeClr val="bg1">
                  <a:lumMod val="95000"/>
                </a:schemeClr>
              </a:solidFill>
              <a:latin typeface="Bodoni MT Black" panose="02070A03080606020203" pitchFamily="18" charset="0"/>
            </a:rPr>
            <a:t>PRODUCT</a:t>
          </a:r>
          <a:r>
            <a:rPr lang="en-IN" sz="1600" baseline="0">
              <a:solidFill>
                <a:schemeClr val="bg1">
                  <a:lumMod val="95000"/>
                </a:schemeClr>
              </a:solidFill>
              <a:latin typeface="Bodoni MT Black" panose="02070A03080606020203" pitchFamily="18" charset="0"/>
            </a:rPr>
            <a:t> ANALYSIS</a:t>
          </a:r>
          <a:endParaRPr lang="en-IN" sz="1600">
            <a:solidFill>
              <a:schemeClr val="bg1">
                <a:lumMod val="95000"/>
              </a:schemeClr>
            </a:solidFill>
            <a:latin typeface="Bodoni MT Black" panose="02070A03080606020203" pitchFamily="18" charset="0"/>
          </a:endParaRPr>
        </a:p>
      </xdr:txBody>
    </xdr:sp>
    <xdr:clientData/>
  </xdr:twoCellAnchor>
  <xdr:twoCellAnchor>
    <xdr:from>
      <xdr:col>0</xdr:col>
      <xdr:colOff>169967</xdr:colOff>
      <xdr:row>19</xdr:row>
      <xdr:rowOff>128206</xdr:rowOff>
    </xdr:from>
    <xdr:to>
      <xdr:col>3</xdr:col>
      <xdr:colOff>95552</xdr:colOff>
      <xdr:row>23</xdr:row>
      <xdr:rowOff>113322</xdr:rowOff>
    </xdr:to>
    <xdr:sp macro="" textlink="">
      <xdr:nvSpPr>
        <xdr:cNvPr id="29" name="Rectangle: Rounded Corners 28">
          <a:extLst>
            <a:ext uri="{FF2B5EF4-FFF2-40B4-BE49-F238E27FC236}">
              <a16:creationId xmlns:a16="http://schemas.microsoft.com/office/drawing/2014/main" id="{CAD4A85E-CD26-46A1-A379-3F5BB7AAEC7A}"/>
            </a:ext>
          </a:extLst>
        </xdr:cNvPr>
        <xdr:cNvSpPr/>
      </xdr:nvSpPr>
      <xdr:spPr>
        <a:xfrm>
          <a:off x="169967" y="3639661"/>
          <a:ext cx="1759503" cy="724370"/>
        </a:xfrm>
        <a:prstGeom prst="roundRect">
          <a:avLst>
            <a:gd name="adj" fmla="val 8824"/>
          </a:avLst>
        </a:prstGeom>
        <a:solidFill>
          <a:schemeClr val="tx2">
            <a:lumMod val="75000"/>
            <a:lumOff val="25000"/>
          </a:schemeClr>
        </a:solidFill>
        <a:ln>
          <a:solidFill>
            <a:srgbClr val="66FFCC"/>
          </a:solidFill>
        </a:ln>
        <a:effectLst>
          <a:glow rad="101600">
            <a:schemeClr val="accent1">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600">
              <a:latin typeface="Bodoni MT Black" panose="02070A03080606020203" pitchFamily="18" charset="0"/>
            </a:rPr>
            <a:t>     </a:t>
          </a:r>
          <a:r>
            <a:rPr lang="en-IN" sz="1600">
              <a:solidFill>
                <a:schemeClr val="bg1">
                  <a:lumMod val="95000"/>
                </a:schemeClr>
              </a:solidFill>
              <a:latin typeface="Bodoni MT Black" panose="02070A03080606020203" pitchFamily="18" charset="0"/>
            </a:rPr>
            <a:t>REGION</a:t>
          </a:r>
          <a:r>
            <a:rPr lang="en-IN" sz="1600" baseline="0">
              <a:solidFill>
                <a:schemeClr val="bg1">
                  <a:lumMod val="95000"/>
                </a:schemeClr>
              </a:solidFill>
              <a:latin typeface="Bodoni MT Black" panose="02070A03080606020203" pitchFamily="18" charset="0"/>
            </a:rPr>
            <a:t> SALES</a:t>
          </a:r>
          <a:endParaRPr lang="en-IN" sz="1600">
            <a:solidFill>
              <a:schemeClr val="bg1">
                <a:lumMod val="95000"/>
              </a:schemeClr>
            </a:solidFill>
            <a:latin typeface="Bodoni MT Black" panose="02070A030806060202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01.559468055559" createdVersion="8" refreshedVersion="8" minRefreshableVersion="3" recordCount="2000" xr:uid="{0E636B6B-45B2-4445-B856-3DFECFC59C26}">
  <cacheSource type="worksheet">
    <worksheetSource name="global_ecommerce_sales"/>
  </cacheSource>
  <cacheFields count="24">
    <cacheField name="Order_ID" numFmtId="0">
      <sharedItems count="2000">
        <s v="ORD-11121"/>
        <s v="ORD-11244"/>
        <s v="ORD-10325"/>
        <s v="ORD-10467"/>
        <s v="ORD-11454"/>
        <s v="ORD-11746"/>
        <s v="ORD-11162"/>
        <s v="ORD-11271"/>
        <s v="ORD-11702"/>
        <s v="ORD-10847"/>
        <s v="ORD-10446"/>
        <s v="ORD-11499"/>
        <s v="ORD-10271"/>
        <s v="ORD-11356"/>
        <s v="ORD-10793"/>
        <s v="ORD-11330"/>
        <s v="ORD-11886"/>
        <s v="ORD-10339"/>
        <s v="ORD-10402"/>
        <s v="ORD-10560"/>
        <s v="ORD-10686"/>
        <s v="ORD-11718"/>
        <s v="ORD-10736"/>
        <s v="ORD-10846"/>
        <s v="ORD-11128"/>
        <s v="ORD-10279"/>
        <s v="ORD-10344"/>
        <s v="ORD-10589"/>
        <s v="ORD-11029"/>
        <s v="ORD-11026"/>
        <s v="ORD-10968"/>
        <s v="ORD-11723"/>
        <s v="ORD-10408"/>
        <s v="ORD-11828"/>
        <s v="ORD-11035"/>
        <s v="ORD-10599"/>
        <s v="ORD-10780"/>
        <s v="ORD-10636"/>
        <s v="ORD-10694"/>
        <s v="ORD-10711"/>
        <s v="ORD-10383"/>
        <s v="ORD-10435"/>
        <s v="ORD-10017"/>
        <s v="ORD-11220"/>
        <s v="ORD-11237"/>
        <s v="ORD-11655"/>
        <s v="ORD-11858"/>
        <s v="ORD-10787"/>
        <s v="ORD-10950"/>
        <s v="ORD-10374"/>
        <s v="ORD-10745"/>
        <s v="ORD-11670"/>
        <s v="ORD-11158"/>
        <s v="ORD-11430"/>
        <s v="ORD-11760"/>
        <s v="ORD-10720"/>
        <s v="ORD-11218"/>
        <s v="ORD-10384"/>
        <s v="ORD-11503"/>
        <s v="ORD-11711"/>
        <s v="ORD-10098"/>
        <s v="ORD-10314"/>
        <s v="ORD-10322"/>
        <s v="ORD-11507"/>
        <s v="ORD-11683"/>
        <s v="ORD-10642"/>
        <s v="ORD-11011"/>
        <s v="ORD-11270"/>
        <s v="ORD-11659"/>
        <s v="ORD-10256"/>
        <s v="ORD-10527"/>
        <s v="ORD-11082"/>
        <s v="ORD-10473"/>
        <s v="ORD-11304"/>
        <s v="ORD-11560"/>
        <s v="ORD-11196"/>
        <s v="ORD-11355"/>
        <s v="ORD-11569"/>
        <s v="ORD-10916"/>
        <s v="ORD-10837"/>
        <s v="ORD-10855"/>
        <s v="ORD-11065"/>
        <s v="ORD-11922"/>
        <s v="ORD-10594"/>
        <s v="ORD-11419"/>
        <s v="ORD-11624"/>
        <s v="ORD-11855"/>
        <s v="ORD-10843"/>
        <s v="ORD-11306"/>
        <s v="ORD-10392"/>
        <s v="ORD-11302"/>
        <s v="ORD-11205"/>
        <s v="ORD-10892"/>
        <s v="ORD-11175"/>
        <s v="ORD-11598"/>
        <s v="ORD-10113"/>
        <s v="ORD-10646"/>
        <s v="ORD-11378"/>
        <s v="ORD-11900"/>
        <s v="ORD-11523"/>
        <s v="ORD-10233"/>
        <s v="ORD-10605"/>
        <s v="ORD-10907"/>
        <s v="ORD-11202"/>
        <s v="ORD-11294"/>
        <s v="ORD-11673"/>
        <s v="ORD-11217"/>
        <s v="ORD-10246"/>
        <s v="ORD-11135"/>
        <s v="ORD-10620"/>
        <s v="ORD-11279"/>
        <s v="ORD-10124"/>
        <s v="ORD-10242"/>
        <s v="ORD-10915"/>
        <s v="ORD-11632"/>
        <s v="ORD-11184"/>
        <s v="ORD-10874"/>
        <s v="ORD-11668"/>
        <s v="ORD-11260"/>
        <s v="ORD-10953"/>
        <s v="ORD-10521"/>
        <s v="ORD-11545"/>
        <s v="ORD-10070"/>
        <s v="ORD-11006"/>
        <s v="ORD-10744"/>
        <s v="ORD-10861"/>
        <s v="ORD-10676"/>
        <s v="ORD-11064"/>
        <s v="ORD-11786"/>
        <s v="ORD-10637"/>
        <s v="ORD-10863"/>
        <s v="ORD-11917"/>
        <s v="ORD-10020"/>
        <s v="ORD-11090"/>
        <s v="ORD-11712"/>
        <s v="ORD-10887"/>
        <s v="ORD-11156"/>
        <s v="ORD-11633"/>
        <s v="ORD-10103"/>
        <s v="ORD-10132"/>
        <s v="ORD-11007"/>
        <s v="ORD-10395"/>
        <s v="ORD-11318"/>
        <s v="ORD-10252"/>
        <s v="ORD-10450"/>
        <s v="ORD-11088"/>
        <s v="ORD-11452"/>
        <s v="ORD-11478"/>
        <s v="ORD-11231"/>
        <s v="ORD-11479"/>
        <s v="ORD-10821"/>
        <s v="ORD-11766"/>
        <s v="ORD-11000"/>
        <s v="ORD-11002"/>
        <s v="ORD-11631"/>
        <s v="ORD-11784"/>
        <s v="ORD-10578"/>
        <s v="ORD-10306"/>
        <s v="ORD-10532"/>
        <s v="ORD-10903"/>
        <s v="ORD-11253"/>
        <s v="ORD-11610"/>
        <s v="ORD-10071"/>
        <s v="ORD-10207"/>
        <s v="ORD-11995"/>
        <s v="ORD-10176"/>
        <s v="ORD-11066"/>
        <s v="ORD-11988"/>
        <s v="ORD-10274"/>
        <s v="ORD-10840"/>
        <s v="ORD-11333"/>
        <s v="ORD-11079"/>
        <s v="ORD-11868"/>
        <s v="ORD-11664"/>
        <s v="ORD-11912"/>
        <s v="ORD-11921"/>
        <s v="ORD-10551"/>
        <s v="ORD-10091"/>
        <s v="ORD-10434"/>
        <s v="ORD-11552"/>
        <s v="ORD-10330"/>
        <s v="ORD-10769"/>
        <s v="ORD-10427"/>
        <s v="ORD-11810"/>
        <s v="ORD-11212"/>
        <s v="ORD-10667"/>
        <s v="ORD-11292"/>
        <s v="ORD-11731"/>
        <s v="ORD-11224"/>
        <s v="ORD-10468"/>
        <s v="ORD-11700"/>
        <s v="ORD-10377"/>
        <s v="ORD-11553"/>
        <s v="ORD-11888"/>
        <s v="ORD-10102"/>
        <s v="ORD-11008"/>
        <s v="ORD-11204"/>
        <s v="ORD-10826"/>
        <s v="ORD-11363"/>
        <s v="ORD-10202"/>
        <s v="ORD-10462"/>
        <s v="ORD-11586"/>
        <s v="ORD-10703"/>
        <s v="ORD-10828"/>
        <s v="ORD-10652"/>
        <s v="ORD-11385"/>
        <s v="ORD-11895"/>
        <s v="ORD-10143"/>
        <s v="ORD-10853"/>
        <s v="ORD-10452"/>
        <s v="ORD-11484"/>
        <s v="ORD-10623"/>
        <s v="ORD-11458"/>
        <s v="ORD-10609"/>
        <s v="ORD-11288"/>
        <s v="ORD-10607"/>
        <s v="ORD-10105"/>
        <s v="ORD-11298"/>
        <s v="ORD-11682"/>
        <s v="ORD-10411"/>
        <s v="ORD-11776"/>
        <s v="ORD-11788"/>
        <s v="ORD-11227"/>
        <s v="ORD-10941"/>
        <s v="ORD-11045"/>
        <s v="ORD-11149"/>
        <s v="ORD-11329"/>
        <s v="ORD-11394"/>
        <s v="ORD-11435"/>
        <s v="ORD-10336"/>
        <s v="ORD-11513"/>
        <s v="ORD-11762"/>
        <s v="ORD-10562"/>
        <s v="ORD-10710"/>
        <s v="ORD-11740"/>
        <s v="ORD-10422"/>
        <s v="ORD-11834"/>
        <s v="ORD-10942"/>
        <s v="ORD-10129"/>
        <s v="ORD-10722"/>
        <s v="ORD-10845"/>
        <s v="ORD-10937"/>
        <s v="ORD-11401"/>
        <s v="ORD-10069"/>
        <s v="ORD-10025"/>
        <s v="ORD-11268"/>
        <s v="ORD-11962"/>
        <s v="ORD-10979"/>
        <s v="ORD-10816"/>
        <s v="ORD-11468"/>
        <s v="ORD-11539"/>
        <s v="ORD-11609"/>
        <s v="ORD-11707"/>
        <s v="ORD-10177"/>
        <s v="ORD-10817"/>
        <s v="ORD-11080"/>
        <s v="ORD-10376"/>
        <s v="ORD-10726"/>
        <s v="ORD-11103"/>
        <s v="ORD-10727"/>
        <s v="ORD-10772"/>
        <s v="ORD-11060"/>
        <s v="ORD-11322"/>
        <s v="ORD-10146"/>
        <s v="ORD-11048"/>
        <s v="ORD-11155"/>
        <s v="ORD-11376"/>
        <s v="ORD-11535"/>
        <s v="ORD-10114"/>
        <s v="ORD-11031"/>
        <s v="ORD-11133"/>
        <s v="ORD-10349"/>
        <s v="ORD-11733"/>
        <s v="ORD-10358"/>
        <s v="ORD-11932"/>
        <s v="ORD-10042"/>
        <s v="ORD-10569"/>
        <s v="ORD-11665"/>
        <s v="ORD-10876"/>
        <s v="ORD-11258"/>
        <s v="ORD-11375"/>
        <s v="ORD-10546"/>
        <s v="ORD-10860"/>
        <s v="ORD-11307"/>
        <s v="ORD-10182"/>
        <s v="ORD-10674"/>
        <s v="ORD-11336"/>
        <s v="ORD-10712"/>
        <s v="ORD-10788"/>
        <s v="ORD-10212"/>
        <s v="ORD-11068"/>
        <s v="ORD-11653"/>
        <s v="ORD-11771"/>
        <s v="ORD-10480"/>
        <s v="ORD-10700"/>
        <s v="ORD-10661"/>
        <s v="ORD-10747"/>
        <s v="ORD-10432"/>
        <s v="ORD-10483"/>
        <s v="ORD-10792"/>
        <s v="ORD-11387"/>
        <s v="ORD-11564"/>
        <s v="ORD-10381"/>
        <s v="ORD-11603"/>
        <s v="ORD-11019"/>
        <s v="ORD-10977"/>
        <s v="ORD-10008"/>
        <s v="ORD-11100"/>
        <s v="ORD-11464"/>
        <s v="ORD-11562"/>
        <s v="ORD-10083"/>
        <s v="ORD-10112"/>
        <s v="ORD-11077"/>
        <s v="ORD-10003"/>
        <s v="ORD-10024"/>
        <s v="ORD-10404"/>
        <s v="ORD-11154"/>
        <s v="ORD-11859"/>
        <s v="ORD-10107"/>
        <s v="ORD-11182"/>
        <s v="ORD-11380"/>
        <s v="ORD-10015"/>
        <s v="ORD-10545"/>
        <s v="ORD-10961"/>
        <s v="ORD-10511"/>
        <s v="ORD-11806"/>
        <s v="ORD-10283"/>
        <s v="ORD-10625"/>
        <s v="ORD-11098"/>
        <s v="ORD-11395"/>
        <s v="ORD-10090"/>
        <s v="ORD-10904"/>
        <s v="ORD-10266"/>
        <s v="ORD-10424"/>
        <s v="ORD-11061"/>
        <s v="ORD-11808"/>
        <s v="ORD-10326"/>
        <s v="ORD-11349"/>
        <s v="ORD-10681"/>
        <s v="ORD-10996"/>
        <s v="ORD-11167"/>
        <s v="ORD-11391"/>
        <s v="ORD-10949"/>
        <s v="ORD-11494"/>
        <s v="ORD-10240"/>
        <s v="ORD-10945"/>
        <s v="ORD-11589"/>
        <s v="ORD-11824"/>
        <s v="ORD-10045"/>
        <s v="ORD-11229"/>
        <s v="ORD-11934"/>
        <s v="ORD-10001"/>
        <s v="ORD-11199"/>
        <s v="ORD-11680"/>
        <s v="ORD-10755"/>
        <s v="ORD-11247"/>
        <s v="ORD-10225"/>
        <s v="ORD-10281"/>
        <s v="ORD-10980"/>
        <s v="ORD-11339"/>
        <s v="ORD-10459"/>
        <s v="ORD-10885"/>
        <s v="ORD-10680"/>
        <s v="ORD-11530"/>
        <s v="ORD-11642"/>
        <s v="ORD-10228"/>
        <s v="ORD-10254"/>
        <s v="ORD-10418"/>
        <s v="ORD-10842"/>
        <s v="ORD-11769"/>
        <s v="ORD-11929"/>
        <s v="ORD-11501"/>
        <s v="ORD-10363"/>
        <s v="ORD-10496"/>
        <s v="ORD-11960"/>
        <s v="ORD-10838"/>
        <s v="ORD-11909"/>
        <s v="ORD-10030"/>
        <s v="ORD-11169"/>
        <s v="ORD-11178"/>
        <s v="ORD-10651"/>
        <s v="ORD-10737"/>
        <s v="ORD-10952"/>
        <s v="ORD-11481"/>
        <s v="ORD-10852"/>
        <s v="ORD-11667"/>
        <s v="ORD-10277"/>
        <s v="ORD-10356"/>
        <s v="ORD-10367"/>
        <s v="ORD-10558"/>
        <s v="ORD-11332"/>
        <s v="ORD-11526"/>
        <s v="ORD-11846"/>
        <s v="ORD-10917"/>
        <s v="ORD-11070"/>
        <s v="ORD-11557"/>
        <s v="ORD-10783"/>
        <s v="ORD-10954"/>
        <s v="ORD-11085"/>
        <s v="ORD-11684"/>
        <s v="ORD-10820"/>
        <s v="ORD-11293"/>
        <s v="ORD-11529"/>
        <s v="ORD-10009"/>
        <s v="ORD-10301"/>
        <s v="ORD-10738"/>
        <s v="ORD-11681"/>
        <s v="ORD-11234"/>
        <s v="ORD-10023"/>
        <s v="ORD-11515"/>
        <s v="ORD-11537"/>
        <s v="ORD-10550"/>
        <s v="ORD-10927"/>
        <s v="ORD-11657"/>
        <s v="ORD-10201"/>
        <s v="ORD-10457"/>
        <s v="ORD-10219"/>
        <s v="ORD-10571"/>
        <s v="ORD-10688"/>
        <s v="ORD-11628"/>
        <s v="ORD-10153"/>
        <s v="ORD-10320"/>
        <s v="ORD-11328"/>
        <s v="ORD-11379"/>
        <s v="ORD-11780"/>
        <s v="ORD-11483"/>
        <s v="ORD-11717"/>
        <s v="ORD-11161"/>
        <s v="ORD-11422"/>
        <s v="ORD-11685"/>
        <s v="ORD-10341"/>
        <s v="ORD-10872"/>
        <s v="ORD-11441"/>
        <s v="ORD-11906"/>
        <s v="ORD-10447"/>
        <s v="ORD-11532"/>
        <s v="ORD-11533"/>
        <s v="ORD-11601"/>
        <s v="ORD-11867"/>
        <s v="ORD-11030"/>
        <s v="ORD-11191"/>
        <s v="ORD-11520"/>
        <s v="ORD-11840"/>
        <s v="ORD-10500"/>
        <s v="ORD-11461"/>
        <s v="ORD-10713"/>
        <s v="ORD-10908"/>
        <s v="ORD-11544"/>
        <s v="ORD-10399"/>
        <s v="ORD-10576"/>
        <s v="ORD-11991"/>
        <s v="ORD-11518"/>
        <s v="ORD-11795"/>
        <s v="ORD-11323"/>
        <s v="ORD-10752"/>
        <s v="ORD-11390"/>
        <s v="ORD-11884"/>
        <s v="ORD-11239"/>
        <s v="ORD-11890"/>
        <s v="ORD-11911"/>
        <s v="ORD-10321"/>
        <s v="ORD-10600"/>
        <s v="ORD-10955"/>
        <s v="ORD-10891"/>
        <s v="ORD-10920"/>
        <s v="ORD-10984"/>
        <s v="ORD-10128"/>
        <s v="ORD-10298"/>
        <s v="ORD-10442"/>
        <s v="ORD-10231"/>
        <s v="ORD-11813"/>
        <s v="ORD-10063"/>
        <s v="ORD-10343"/>
        <s v="ORD-10554"/>
        <s v="ORD-11643"/>
        <s v="ORD-10085"/>
        <s v="ORD-10210"/>
        <s v="ORD-11745"/>
        <s v="ORD-10574"/>
        <s v="ORD-10881"/>
        <s v="ORD-10926"/>
        <s v="ORD-11699"/>
        <s v="ORD-10635"/>
        <s v="ORD-10137"/>
        <s v="ORD-10196"/>
        <s v="ORD-11561"/>
        <s v="ORD-10421"/>
        <s v="ORD-11651"/>
        <s v="ORD-10380"/>
        <s v="ORD-11181"/>
        <s v="ORD-11321"/>
        <s v="ORD-11763"/>
        <s v="ORD-10203"/>
        <s v="ORD-10398"/>
        <s v="ORD-10997"/>
        <s v="ORD-11396"/>
        <s v="ORD-11837"/>
        <s v="ORD-10525"/>
        <s v="ORD-11453"/>
        <s v="ORD-10489"/>
        <s v="ORD-10750"/>
        <s v="ORD-10844"/>
        <s v="ORD-11226"/>
        <s v="ORD-11512"/>
        <s v="ORD-10606"/>
        <s v="ORD-11091"/>
        <s v="ORD-10561"/>
        <s v="ORD-11357"/>
        <s v="ORD-11358"/>
        <s v="ORD-11575"/>
        <s v="ORD-11946"/>
        <s v="ORD-10791"/>
        <s v="ORD-11272"/>
        <s v="ORD-11885"/>
        <s v="ORD-11093"/>
        <s v="ORD-10455"/>
        <s v="ORD-10568"/>
        <s v="ORD-11137"/>
        <s v="ORD-10417"/>
        <s v="ORD-11216"/>
        <s v="ORD-11974"/>
        <s v="ORD-11062"/>
        <s v="ORD-11417"/>
        <s v="ORD-11812"/>
        <s v="ORD-10007"/>
        <s v="ORD-10211"/>
        <s v="ORD-11210"/>
        <s v="ORD-11245"/>
        <s v="ORD-11460"/>
        <s v="ORD-11809"/>
        <s v="ORD-10499"/>
        <s v="ORD-10579"/>
        <s v="ORD-11652"/>
        <s v="ORD-11261"/>
        <s v="ORD-11550"/>
        <s v="ORD-11798"/>
        <s v="ORD-10347"/>
        <s v="ORD-10429"/>
        <s v="ORD-10461"/>
        <s v="ORD-11069"/>
        <s v="ORD-10382"/>
        <s v="ORD-10530"/>
        <s v="ORD-10316"/>
        <s v="ORD-10717"/>
        <s v="ORD-11406"/>
        <s v="ORD-10478"/>
        <s v="ORD-10696"/>
        <s v="ORD-11295"/>
        <s v="ORD-11300"/>
        <s v="ORD-10054"/>
        <s v="ORD-10528"/>
        <s v="ORD-11038"/>
        <s v="ORD-11728"/>
        <s v="ORD-11949"/>
        <s v="ORD-10811"/>
        <s v="ORD-11576"/>
        <s v="ORD-10514"/>
        <s v="ORD-10757"/>
        <s v="ORD-11470"/>
        <s v="ORD-10801"/>
        <s v="ORD-11903"/>
        <s v="ORD-10043"/>
        <s v="ORD-11109"/>
        <s v="ORD-10753"/>
        <s v="ORD-10180"/>
        <s v="ORD-11761"/>
        <s v="ORD-10375"/>
        <s v="ORD-10795"/>
        <s v="ORD-10362"/>
        <s v="ORD-10350"/>
        <s v="ORD-12000"/>
        <s v="ORD-10559"/>
        <s v="ORD-10725"/>
        <s v="ORD-11713"/>
        <s v="ORD-10932"/>
        <s v="ORD-11566"/>
        <s v="ORD-10360"/>
        <s v="ORD-11833"/>
        <s v="ORD-11177"/>
        <s v="ORD-10978"/>
        <s v="ORD-10041"/>
        <s v="ORD-10365"/>
        <s v="ORD-10524"/>
        <s v="ORD-11789"/>
        <s v="ORD-10992"/>
        <s v="ORD-11555"/>
        <s v="ORD-11793"/>
        <s v="ORD-11111"/>
        <s v="ORD-11488"/>
        <s v="ORD-11497"/>
        <s v="ORD-11687"/>
        <s v="ORD-11505"/>
        <s v="ORD-10487"/>
        <s v="ORD-10677"/>
        <s v="ORD-10044"/>
        <s v="ORD-11910"/>
        <s v="ORD-10288"/>
        <s v="ORD-11423"/>
        <s v="ORD-11442"/>
        <s v="ORD-11827"/>
        <s v="ORD-11863"/>
        <s v="ORD-11904"/>
        <s v="ORD-11346"/>
        <s v="ORD-11661"/>
        <s v="ORD-11944"/>
        <s v="ORD-10109"/>
        <s v="ORD-11117"/>
        <s v="ORD-11316"/>
        <s v="ORD-11770"/>
        <s v="ORD-10189"/>
        <s v="ORD-10779"/>
        <s v="ORD-11597"/>
        <s v="ORD-11641"/>
        <s v="ORD-11708"/>
        <s v="ORD-11825"/>
        <s v="ORD-11891"/>
        <s v="ORD-10220"/>
        <s v="ORD-11953"/>
        <s v="ORD-10183"/>
        <s v="ORD-10488"/>
        <s v="ORD-11110"/>
        <s v="ORD-11393"/>
        <s v="ORD-10632"/>
        <s v="ORD-11262"/>
        <s v="ORD-10199"/>
        <s v="ORD-10454"/>
        <s v="ORD-10658"/>
        <s v="ORD-11649"/>
        <s v="ORD-11811"/>
        <s v="ORD-11847"/>
        <s v="ORD-11936"/>
        <s v="ORD-11986"/>
        <s v="ORD-11964"/>
        <s v="ORD-11968"/>
        <s v="ORD-10508"/>
        <s v="ORD-11337"/>
        <s v="ORD-11463"/>
        <s v="ORD-11449"/>
        <s v="ORD-10474"/>
        <s v="ORD-10495"/>
        <s v="ORD-11233"/>
        <s v="ORD-11248"/>
        <s v="ORD-11998"/>
        <s v="ORD-10126"/>
        <s v="ORD-11345"/>
        <s v="ORD-11967"/>
        <s v="ORD-10197"/>
        <s v="ORD-11579"/>
        <s v="ORD-10237"/>
        <s v="ORD-10587"/>
        <s v="ORD-10724"/>
        <s v="ORD-10127"/>
        <s v="ORD-10230"/>
        <s v="ORD-10318"/>
        <s v="ORD-10827"/>
        <s v="ORD-11663"/>
        <s v="ORD-10149"/>
        <s v="ORD-11020"/>
        <s v="ORD-10218"/>
        <s v="ORD-10409"/>
        <s v="ORD-10439"/>
        <s v="ORD-10591"/>
        <s v="ORD-10825"/>
        <s v="ORD-11187"/>
        <s v="ORD-11830"/>
        <s v="ORD-11418"/>
        <s v="ORD-11457"/>
        <s v="ORD-11996"/>
        <s v="ORD-11147"/>
        <s v="ORD-11437"/>
        <s v="ORD-10010"/>
        <s v="ORD-11510"/>
        <s v="ORD-10052"/>
        <s v="ORD-10430"/>
        <s v="ORD-11467"/>
        <s v="ORD-11720"/>
        <s v="ORD-10673"/>
        <s v="ORD-10709"/>
        <s v="ORD-10323"/>
        <s v="ORD-10650"/>
        <s v="ORD-10718"/>
        <s v="ORD-10962"/>
        <s v="ORD-11993"/>
        <s v="ORD-10925"/>
        <s v="ORD-11362"/>
        <s v="ORD-11372"/>
        <s v="ORD-11551"/>
        <s v="ORD-10476"/>
        <s v="ORD-11431"/>
        <s v="ORD-11861"/>
        <s v="ORD-11992"/>
        <s v="ORD-10152"/>
        <s v="ORD-10672"/>
        <s v="ORD-10880"/>
        <s v="ORD-11107"/>
        <s v="ORD-11424"/>
        <s v="ORD-11592"/>
        <s v="ORD-10695"/>
        <s v="ORD-10116"/>
        <s v="ORD-10775"/>
        <s v="ORD-11033"/>
        <s v="ORD-10866"/>
        <s v="ORD-11159"/>
        <s v="ORD-10471"/>
        <s v="ORD-10549"/>
        <s v="ORD-11273"/>
        <s v="ORD-10067"/>
        <s v="ORD-10498"/>
        <s v="ORD-10265"/>
        <s v="ORD-10662"/>
        <s v="ORD-11015"/>
        <s v="ORD-11782"/>
        <s v="ORD-10032"/>
        <s v="ORD-10004"/>
        <s v="ORD-10051"/>
        <s v="ORD-10878"/>
        <s v="ORD-11208"/>
        <s v="ORD-11547"/>
        <s v="ORD-10100"/>
        <s v="ORD-10110"/>
        <s v="ORD-10928"/>
        <s v="ORD-11928"/>
        <s v="ORD-10440"/>
        <s v="ORD-11047"/>
        <s v="ORD-11456"/>
        <s v="ORD-10297"/>
        <s v="ORD-11139"/>
        <s v="ORD-11704"/>
        <s v="ORD-10031"/>
        <s v="ORD-10923"/>
        <s v="ORD-10958"/>
        <s v="ORD-11599"/>
        <s v="ORD-11625"/>
        <s v="ORD-11705"/>
        <s v="ORD-10346"/>
        <s v="ORD-10338"/>
        <s v="ORD-10935"/>
        <s v="ORD-11263"/>
        <s v="ORD-11724"/>
        <s v="ORD-11580"/>
        <s v="ORD-10292"/>
        <s v="ORD-11565"/>
        <s v="ORD-10413"/>
        <s v="ORD-10503"/>
        <s v="ORD-10510"/>
        <s v="ORD-10165"/>
        <s v="ORD-10529"/>
        <s v="ORD-10819"/>
        <s v="ORD-11638"/>
        <s v="ORD-11671"/>
        <s v="ORD-10156"/>
        <s v="ORD-10708"/>
        <s v="ORD-11059"/>
        <s v="ORD-11676"/>
        <s v="ORD-11280"/>
        <s v="ORD-10947"/>
        <s v="ORD-10869"/>
        <s v="ORD-10005"/>
        <s v="ORD-10951"/>
        <s v="ORD-11594"/>
        <s v="ORD-11835"/>
        <s v="ORD-10706"/>
        <s v="ORD-11277"/>
        <s v="ORD-10437"/>
        <s v="ORD-10841"/>
        <s v="ORD-10883"/>
        <s v="ORD-10273"/>
        <s v="ORD-10893"/>
        <s v="ORD-11361"/>
        <s v="ORD-10309"/>
        <s v="ORD-10531"/>
        <s v="ORD-10537"/>
        <s v="ORD-11284"/>
        <s v="ORD-11143"/>
        <s v="ORD-11742"/>
        <s v="ORD-11961"/>
        <s v="ORD-11956"/>
        <s v="ORD-10573"/>
        <s v="ORD-11179"/>
        <s v="ORD-11997"/>
        <s v="ORD-10084"/>
        <s v="ORD-11941"/>
        <s v="ORD-11174"/>
        <s v="ORD-11802"/>
        <s v="ORD-11979"/>
        <s v="ORD-10425"/>
        <s v="ORD-10040"/>
        <s v="ORD-10705"/>
        <s v="ORD-11101"/>
        <s v="ORD-11914"/>
        <s v="ORD-10154"/>
        <s v="ORD-11326"/>
        <s v="ORD-10379"/>
        <s v="ORD-10754"/>
        <s v="ORD-10394"/>
        <s v="ORD-10464"/>
        <s v="ORD-11428"/>
        <s v="ORD-11969"/>
        <s v="ORD-11981"/>
        <s v="ORD-10660"/>
        <s v="ORD-10768"/>
        <s v="ORD-11299"/>
        <s v="ORD-10295"/>
        <s v="ORD-10832"/>
        <s v="ORD-11250"/>
        <s v="ORD-11581"/>
        <s v="ORD-10064"/>
        <s v="ORD-10665"/>
        <s v="ORD-10687"/>
        <s v="ORD-10806"/>
        <s v="ORD-10813"/>
        <s v="ORD-10956"/>
        <s v="ORD-11558"/>
        <s v="ORD-10078"/>
        <s v="ORD-11634"/>
        <s v="ORD-10092"/>
        <s v="ORD-10964"/>
        <s v="ORD-11344"/>
        <s v="ORD-10991"/>
        <s v="ORD-11785"/>
        <s v="ORD-10250"/>
        <s v="ORD-11053"/>
        <s v="ORD-11489"/>
        <s v="ORD-11767"/>
        <s v="ORD-10305"/>
        <s v="ORD-11106"/>
        <s v="ORD-10006"/>
        <s v="ORD-11141"/>
        <s v="ORD-11434"/>
        <s v="ORD-10463"/>
        <s v="ORD-11290"/>
        <s v="ORD-10075"/>
        <s v="ORD-10460"/>
        <s v="ORD-11887"/>
        <s v="ORD-10171"/>
        <s v="ORD-10354"/>
        <s v="ORD-11171"/>
        <s v="ORD-10332"/>
        <s v="ORD-10420"/>
        <s v="ORD-11259"/>
        <s v="ORD-11678"/>
        <s v="ORD-10236"/>
        <s v="ORD-10407"/>
        <s v="ORD-10575"/>
        <s v="ORD-11315"/>
        <s v="ORD-11548"/>
        <s v="ORD-11607"/>
        <s v="ORD-11675"/>
        <s v="ORD-10057"/>
        <s v="ORD-10438"/>
        <s v="ORD-10616"/>
        <s v="ORD-11373"/>
        <s v="ORD-11546"/>
        <s v="ORD-11871"/>
        <s v="ORD-11999"/>
        <s v="ORD-10034"/>
        <s v="ORD-11583"/>
        <s v="ORD-11734"/>
        <s v="ORD-10082"/>
        <s v="ORD-10361"/>
        <s v="ORD-10515"/>
        <s v="ORD-10640"/>
        <s v="ORD-11108"/>
        <s v="ORD-11297"/>
        <s v="ORD-10804"/>
        <s v="ORD-10342"/>
        <s v="ORD-10366"/>
        <s v="ORD-10456"/>
        <s v="ORD-10732"/>
        <s v="ORD-11025"/>
        <s v="ORD-11198"/>
        <s v="ORD-10167"/>
        <s v="ORD-10355"/>
        <s v="ORD-11414"/>
        <s v="ORD-10056"/>
        <s v="ORD-10373"/>
        <s v="ORD-10728"/>
        <s v="ORD-10072"/>
        <s v="ORD-10049"/>
        <s v="ORD-11626"/>
        <s v="ORD-10147"/>
        <s v="ORD-10721"/>
        <s v="ORD-11448"/>
        <s v="ORD-11817"/>
        <s v="ORD-11735"/>
        <s v="ORD-10900"/>
        <s v="ORD-11104"/>
        <s v="ORD-11572"/>
        <s v="ORD-11924"/>
        <s v="ORD-10835"/>
        <s v="ORD-11432"/>
        <s v="ORD-11877"/>
        <s v="ORD-10224"/>
        <s v="ORD-11144"/>
        <s v="ORD-10169"/>
        <s v="ORD-10396"/>
        <s v="ORD-11152"/>
        <s v="ORD-11650"/>
        <s v="ORD-10582"/>
        <s v="ORD-11696"/>
        <s v="ORD-10796"/>
        <s v="ORD-11791"/>
        <s v="ORD-10104"/>
        <s v="ORD-10291"/>
        <s v="ORD-10016"/>
        <s v="ORD-10359"/>
        <s v="ORD-10989"/>
        <s v="ORD-11568"/>
        <s v="ORD-11021"/>
        <s v="ORD-11160"/>
        <s v="ORD-11462"/>
        <s v="ORD-10631"/>
        <s v="ORD-10936"/>
        <s v="ORD-11287"/>
        <s v="ORD-10059"/>
        <s v="ORD-10335"/>
        <s v="ORD-10595"/>
        <s v="ORD-10614"/>
        <s v="ORD-10790"/>
        <s v="ORD-11173"/>
        <s v="ORD-11324"/>
        <s v="ORD-10364"/>
        <s v="ORD-10445"/>
        <s v="ORD-10584"/>
        <s v="ORD-11658"/>
        <s v="ORD-11765"/>
        <s v="ORD-10441"/>
        <s v="ORD-10898"/>
        <s v="ORD-11164"/>
        <s v="ORD-11588"/>
        <s v="ORD-11686"/>
        <s v="ORD-10117"/>
        <s v="ORD-11074"/>
        <s v="ORD-10345"/>
        <s v="ORD-11815"/>
        <s v="ORD-10157"/>
        <s v="ORD-11803"/>
        <s v="ORD-10734"/>
        <s v="ORD-10302"/>
        <s v="ORD-11365"/>
        <s v="ORD-11759"/>
        <s v="ORD-11750"/>
        <s v="ORD-10557"/>
        <s v="ORD-10897"/>
        <s v="ORD-11738"/>
        <s v="ORD-11737"/>
        <s v="ORD-10547"/>
        <s v="ORD-10882"/>
        <s v="ORD-11303"/>
        <s v="ORD-11882"/>
        <s v="ORD-10227"/>
        <s v="ORD-10556"/>
        <s v="ORD-10884"/>
        <s v="ORD-11188"/>
        <s v="ORD-11340"/>
        <s v="ORD-11325"/>
        <s v="ORD-11447"/>
        <s v="ORD-10822"/>
        <s v="ORD-11747"/>
        <s v="ORD-11084"/>
        <s v="ORD-10983"/>
        <s v="ORD-11777"/>
        <s v="ORD-10278"/>
        <s v="ORD-11466"/>
        <s v="ORD-11816"/>
        <s v="ORD-10144"/>
        <s v="ORD-10012"/>
        <s v="ORD-11415"/>
        <s v="ORD-11265"/>
        <s v="ORD-11311"/>
        <s v="ORD-11688"/>
        <s v="ORD-10121"/>
        <s v="ORD-11099"/>
        <s v="ORD-11660"/>
        <s v="ORD-11768"/>
        <s v="ORD-10513"/>
        <s v="ORD-11850"/>
        <s v="ORD-11411"/>
        <s v="ORD-11498"/>
        <s v="ORD-11352"/>
        <s v="ORD-10257"/>
        <s v="ORD-10261"/>
        <s v="ORD-10581"/>
        <s v="ORD-10691"/>
        <s v="ORD-11189"/>
        <s v="ORD-10275"/>
        <s v="ORD-11450"/>
        <s v="ORD-11559"/>
        <s v="ORD-11225"/>
        <s v="ORD-11636"/>
        <s v="ORD-11706"/>
        <s v="ORD-10222"/>
        <s v="ORD-10385"/>
        <s v="ORD-11508"/>
        <s v="ORD-10641"/>
        <s v="ORD-11587"/>
        <s v="ORD-10095"/>
        <s v="ORD-11444"/>
        <s v="ORD-11549"/>
        <s v="ORD-10516"/>
        <s v="ORD-10586"/>
        <s v="ORD-10664"/>
        <s v="ORD-11142"/>
        <s v="ORD-10824"/>
        <s v="ORD-11343"/>
        <s v="ORD-11639"/>
        <s v="ORD-10131"/>
        <s v="ORD-10253"/>
        <s v="ORD-11402"/>
        <s v="ORD-11398"/>
        <s v="ORD-11857"/>
        <s v="ORD-11690"/>
        <s v="ORD-10909"/>
        <s v="ORD-10138"/>
        <s v="ORD-11165"/>
        <s v="ORD-10340"/>
        <s v="ORD-10388"/>
        <s v="ORD-10868"/>
        <s v="ORD-11918"/>
        <s v="ORD-10590"/>
        <s v="ORD-11153"/>
        <s v="ORD-11654"/>
        <s v="ORD-11982"/>
        <s v="ORD-10263"/>
        <s v="ORD-10066"/>
        <s v="ORD-10799"/>
        <s v="ORD-11203"/>
        <s v="ORD-11849"/>
        <s v="ORD-10867"/>
        <s v="ORD-11698"/>
        <s v="ORD-10213"/>
        <s v="ORD-10311"/>
        <s v="ORD-11049"/>
        <s v="ORD-10018"/>
        <s v="ORD-10475"/>
        <s v="ORD-11726"/>
        <s v="ORD-11892"/>
        <s v="ORD-10294"/>
        <s v="ORD-10910"/>
        <s v="ORD-10714"/>
        <s v="ORD-10716"/>
        <s v="ORD-10810"/>
        <s v="ORD-10786"/>
        <s v="ORD-10919"/>
        <s v="ORD-11751"/>
        <s v="ORD-10058"/>
        <s v="ORD-11383"/>
        <s v="ORD-11622"/>
        <s v="ORD-11976"/>
        <s v="ORD-11301"/>
        <s v="ORD-11719"/>
        <s v="ORD-10448"/>
        <s v="ORD-10748"/>
        <s v="ORD-11186"/>
        <s v="ORD-11446"/>
        <s v="ORD-11697"/>
        <s v="ORD-10315"/>
        <s v="ORD-11942"/>
        <s v="ORD-11094"/>
        <s v="ORD-10248"/>
        <s v="ORD-11240"/>
        <s v="ORD-10818"/>
        <s v="ORD-11132"/>
        <s v="ORD-10608"/>
        <s v="ORD-10629"/>
        <s v="ORD-11246"/>
        <s v="ORD-10245"/>
        <s v="ORD-10613"/>
        <s v="ORD-11635"/>
        <s v="ORD-10108"/>
        <s v="ORD-10563"/>
        <s v="ORD-11347"/>
        <s v="ORD-11480"/>
        <s v="ORD-11823"/>
        <s v="ORD-11613"/>
        <s v="ORD-10055"/>
        <s v="ORD-11966"/>
        <s v="ORD-10403"/>
        <s v="ORD-10140"/>
        <s v="ORD-11959"/>
        <s v="ORD-10929"/>
        <s v="ORD-11370"/>
        <s v="ORD-11534"/>
        <s v="ORD-10174"/>
        <s v="ORD-10848"/>
        <s v="ORD-11023"/>
        <s v="ORD-11314"/>
        <s v="ORD-11582"/>
        <s v="ORD-10544"/>
        <s v="ORD-11124"/>
        <s v="ORD-10493"/>
        <s v="ORD-10208"/>
        <s v="ORD-10484"/>
        <s v="ORD-10857"/>
        <s v="ORD-10901"/>
        <s v="ORD-11644"/>
        <s v="ORD-11672"/>
        <s v="ORD-11073"/>
        <s v="ORD-11058"/>
        <s v="ORD-10370"/>
        <s v="ORD-11781"/>
        <s v="ORD-11939"/>
        <s v="ORD-10184"/>
        <s v="ORD-10229"/>
        <s v="ORD-10286"/>
        <s v="ORD-10426"/>
        <s v="ORD-11799"/>
        <s v="ORD-11951"/>
        <s v="ORD-10466"/>
        <s v="ORD-11433"/>
        <s v="ORD-11473"/>
        <s v="ORD-11491"/>
        <s v="ORD-11504"/>
        <s v="ORD-11938"/>
        <s v="ORD-10262"/>
        <s v="ORD-10998"/>
        <s v="ORD-10050"/>
        <s v="ORD-10697"/>
        <s v="ORD-10329"/>
        <s v="ORD-10011"/>
        <s v="ORD-10931"/>
        <s v="ORD-10141"/>
        <s v="ORD-10648"/>
        <s v="ORD-11925"/>
        <s v="ORD-10076"/>
        <s v="ORD-11440"/>
        <s v="ORD-11573"/>
        <s v="ORD-11870"/>
        <s v="ORD-11920"/>
        <s v="ORD-10106"/>
        <s v="ORD-11522"/>
        <s v="ORD-10223"/>
        <s v="ORD-11955"/>
        <s v="ORD-10258"/>
        <s v="ORD-10879"/>
        <s v="ORD-11947"/>
        <s v="ORD-11826"/>
        <s v="ORD-10296"/>
        <s v="ORD-11399"/>
        <s v="ORD-10312"/>
        <s v="ORD-10512"/>
        <s v="ORD-10767"/>
        <s v="ORD-11092"/>
        <s v="ORD-11797"/>
        <s v="ORD-10517"/>
        <s v="ORD-10999"/>
        <s v="ORD-11749"/>
        <s v="ORD-11228"/>
        <s v="ORD-10412"/>
        <s v="ORD-10504"/>
        <s v="ORD-10988"/>
        <s v="ORD-11136"/>
        <s v="ORD-11883"/>
        <s v="ORD-10119"/>
        <s v="ORD-10021"/>
        <s v="ORD-10663"/>
        <s v="ORD-11018"/>
        <s v="ORD-11739"/>
        <s v="ORD-11774"/>
        <s v="ORD-11881"/>
        <s v="ORD-11965"/>
        <s v="ORD-10520"/>
        <s v="ORD-10877"/>
        <s v="ORD-11475"/>
        <s v="ORD-10523"/>
        <s v="ORD-10833"/>
        <s v="ORD-10871"/>
        <s v="ORD-11209"/>
        <s v="ORD-11542"/>
        <s v="ORD-11783"/>
        <s v="ORD-11994"/>
        <s v="ORD-10391"/>
        <s v="ORD-11714"/>
        <s v="ORD-11851"/>
        <s v="ORD-10162"/>
        <s v="ORD-10416"/>
        <s v="ORD-10038"/>
        <s v="ORD-10168"/>
        <s v="ORD-10580"/>
        <s v="ORD-11269"/>
        <s v="ORD-11341"/>
        <s v="ORD-10939"/>
        <s v="ORD-11623"/>
        <s v="ORD-11874"/>
        <s v="ORD-11864"/>
        <s v="ORD-10540"/>
        <s v="ORD-11054"/>
        <s v="ORD-10443"/>
        <s v="ORD-10449"/>
        <s v="ORD-11822"/>
        <s v="ORD-11836"/>
        <s v="ORD-10453"/>
        <s v="ORD-10707"/>
        <s v="ORD-11037"/>
        <s v="ORD-11807"/>
        <s v="ORD-10088"/>
        <s v="ORD-10693"/>
        <s v="ORD-10912"/>
        <s v="ORD-11170"/>
        <s v="ORD-11627"/>
        <s v="ORD-11615"/>
        <s v="ORD-11267"/>
        <s v="ORD-11455"/>
        <s v="ORD-10659"/>
        <s v="ORD-10944"/>
        <s v="ORD-11319"/>
        <s v="ORD-10217"/>
        <s v="ORD-10621"/>
        <s v="ORD-10765"/>
        <s v="ORD-11451"/>
        <s v="ORD-11502"/>
        <s v="ORD-11716"/>
        <s v="ORD-11618"/>
        <s v="ORD-11146"/>
        <s v="ORD-11252"/>
        <s v="ORD-10389"/>
        <s v="ORD-10405"/>
        <s v="ORD-10539"/>
        <s v="ORD-10924"/>
        <s v="ORD-11853"/>
        <s v="ORD-10061"/>
        <s v="ORD-10014"/>
        <s v="ORD-10865"/>
        <s v="ORD-11296"/>
        <s v="ORD-10193"/>
        <s v="ORD-10433"/>
        <s v="ORD-10638"/>
        <s v="ORD-10785"/>
        <s v="ORD-10794"/>
        <s v="ORD-11629"/>
        <s v="ORD-11790"/>
        <s v="ORD-10120"/>
        <s v="ORD-10415"/>
        <s v="ORD-10633"/>
        <s v="ORD-10715"/>
        <s v="ORD-11371"/>
        <s v="ORD-11223"/>
        <s v="ORD-11617"/>
        <s v="ORD-10150"/>
        <s v="ORD-10151"/>
        <s v="ORD-10400"/>
        <s v="ORD-10830"/>
        <s v="ORD-11902"/>
        <s v="ORD-10243"/>
        <s v="ORD-10048"/>
        <s v="ORD-10401"/>
        <s v="ORD-11327"/>
        <s v="ORD-11039"/>
        <s v="ORD-11369"/>
        <s v="ORD-11506"/>
        <s v="ORD-11590"/>
        <s v="ORD-11943"/>
        <s v="ORD-11207"/>
        <s v="ORD-11758"/>
        <s v="ORD-10469"/>
        <s v="ORD-10669"/>
        <s v="ORD-11335"/>
        <s v="ORD-10533"/>
        <s v="ORD-10567"/>
        <s v="ORD-10093"/>
        <s v="ORD-11257"/>
        <s v="ORD-11445"/>
        <s v="ORD-10239"/>
        <s v="ORD-11043"/>
        <s v="ORD-11113"/>
        <s v="ORD-10046"/>
        <s v="ORD-10543"/>
        <s v="ORD-10602"/>
        <s v="ORD-10969"/>
        <s v="ORD-11869"/>
        <s v="ORD-10491"/>
        <s v="ORD-11211"/>
        <s v="ORD-10436"/>
        <s v="ORD-10701"/>
        <s v="ORD-11338"/>
        <s v="ORD-11778"/>
        <s v="ORD-11973"/>
        <s v="ORD-11980"/>
        <s v="ORD-10073"/>
        <s v="ORD-10134"/>
        <s v="ORD-11792"/>
        <s v="ORD-10160"/>
        <s v="ORD-10178"/>
        <s v="ORD-10690"/>
        <s v="ORD-10812"/>
        <s v="ORD-11514"/>
        <s v="ORD-11709"/>
        <s v="ORD-10624"/>
        <s v="ORD-10742"/>
        <s v="ORD-11067"/>
        <s v="ORD-10494"/>
        <s v="ORD-11384"/>
        <s v="ORD-10645"/>
        <s v="ORD-10666"/>
        <s v="ORD-10759"/>
        <s v="ORD-11276"/>
        <s v="ORD-11950"/>
        <s v="ORD-10994"/>
        <s v="ORD-11908"/>
        <s v="ORD-10741"/>
        <s v="ORD-11476"/>
        <s v="ORD-10260"/>
        <s v="ORD-10967"/>
        <s v="ORD-11242"/>
        <s v="ORD-10029"/>
        <s v="ORD-10815"/>
        <s v="ORD-11948"/>
        <s v="ORD-10588"/>
        <s v="ORD-10761"/>
        <s v="ORD-11477"/>
        <s v="ORD-11880"/>
        <s v="ORD-11764"/>
        <s v="ORD-11426"/>
        <s v="ORD-11195"/>
        <s v="ORD-11309"/>
        <s v="ORD-10654"/>
        <s v="ORD-11517"/>
        <s v="ORD-10241"/>
        <s v="ORD-10808"/>
        <s v="ORD-10899"/>
        <s v="ORD-11129"/>
        <s v="ORD-10026"/>
        <s v="ORD-11083"/>
        <s v="ORD-10948"/>
        <s v="ORD-11036"/>
        <s v="ORD-11331"/>
        <s v="ORD-10975"/>
        <s v="ORD-10074"/>
        <s v="ORD-11866"/>
        <s v="ORD-10807"/>
        <s v="ORD-11852"/>
        <s v="ORD-10259"/>
        <s v="ORD-10973"/>
        <s v="ORD-10497"/>
        <s v="ORD-11804"/>
        <s v="ORD-11381"/>
        <s v="ORD-10668"/>
        <s v="ORD-10970"/>
        <s v="ORD-11364"/>
        <s v="ORD-10699"/>
        <s v="ORD-11901"/>
        <s v="ORD-11236"/>
        <s v="ORD-10215"/>
        <s v="ORD-10702"/>
        <s v="ORD-11730"/>
        <s v="ORD-11359"/>
        <s v="ORD-11600"/>
        <s v="ORD-11282"/>
        <s v="ORD-11421"/>
        <s v="ORD-10655"/>
        <s v="ORD-11194"/>
        <s v="ORD-11403"/>
        <s v="ORD-11606"/>
        <s v="ORD-10601"/>
        <s v="ORD-10022"/>
        <s v="ORD-10249"/>
        <s v="ORD-11042"/>
        <s v="ORD-11893"/>
        <s v="ORD-11930"/>
        <s v="ORD-11957"/>
        <s v="ORD-11351"/>
        <s v="ORD-11115"/>
        <s v="ORD-11122"/>
        <s v="ORD-11138"/>
        <s v="ORD-10308"/>
        <s v="ORD-10644"/>
        <s v="ORD-10805"/>
        <s v="ORD-10993"/>
        <s v="ORD-11056"/>
        <s v="ORD-11509"/>
        <s v="ORD-11689"/>
        <s v="ORD-11732"/>
        <s v="ORD-10604"/>
        <s v="ORD-11436"/>
        <s v="ORD-10802"/>
        <s v="ORD-11496"/>
        <s v="ORD-10611"/>
        <s v="ORD-11694"/>
        <s v="ORD-10506"/>
        <s v="ORD-10509"/>
        <s v="ORD-11744"/>
        <s v="ORD-11876"/>
        <s v="ORD-10814"/>
        <s v="ORD-11350"/>
        <s v="ORD-11408"/>
        <s v="ORD-11839"/>
        <s v="ORD-10079"/>
        <s v="ORD-11001"/>
        <s v="ORD-11801"/>
        <s v="ORD-11897"/>
        <s v="ORD-11919"/>
        <s v="ORD-10730"/>
        <s v="ORD-11412"/>
        <s v="ORD-10873"/>
        <s v="ORD-11472"/>
        <s v="ORD-11818"/>
        <s v="ORD-10035"/>
        <s v="ORD-11120"/>
        <s v="ORD-10647"/>
        <s v="ORD-11796"/>
        <s v="ORD-10657"/>
        <s v="ORD-11443"/>
        <s v="ORD-10481"/>
        <s v="ORD-11017"/>
        <s v="ORD-11755"/>
        <s v="ORD-10317"/>
        <s v="ORD-11275"/>
        <s v="ORD-11471"/>
        <s v="ORD-11595"/>
        <s v="ORD-11821"/>
        <s v="ORD-10905"/>
        <s v="ORD-11427"/>
        <s v="ORD-11511"/>
        <s v="ORD-11727"/>
        <s v="ORD-10519"/>
        <s v="ORD-11845"/>
        <s v="ORD-11166"/>
        <s v="ORD-10619"/>
        <s v="ORD-11249"/>
        <s v="ORD-11308"/>
        <s v="ORD-10159"/>
        <s v="ORD-10247"/>
        <s v="ORD-10444"/>
        <s v="ORD-10136"/>
        <s v="ORD-10387"/>
        <s v="ORD-10751"/>
        <s v="ORD-11820"/>
        <s v="ORD-10538"/>
        <s v="ORD-11584"/>
        <s v="ORD-11281"/>
        <s v="ORD-10348"/>
        <s v="ORD-10585"/>
        <s v="ORD-10889"/>
        <s v="ORD-10987"/>
        <s v="ORD-11487"/>
        <s v="ORD-11238"/>
        <s v="ORD-10894"/>
        <s v="ORD-11005"/>
        <s v="ORD-11310"/>
        <s v="ORD-11862"/>
        <s v="ORD-11221"/>
        <s v="ORD-11757"/>
        <s v="ORD-11860"/>
        <s v="ORD-10337"/>
        <s v="ORD-11695"/>
        <s v="ORD-10774"/>
        <s v="ORD-11193"/>
        <s v="ORD-10331"/>
        <s v="ORD-10704"/>
        <s v="ORD-11754"/>
        <s v="ORD-10976"/>
        <s v="ORD-10087"/>
        <s v="ORD-11637"/>
        <s v="ORD-11935"/>
        <s v="ORD-10541"/>
        <s v="ORD-11429"/>
        <s v="ORD-11614"/>
        <s v="ORD-11856"/>
        <s v="ORD-10255"/>
        <s v="ORD-10906"/>
        <s v="ORD-11368"/>
        <s v="ORD-10300"/>
        <s v="ORD-10803"/>
        <s v="ORD-10264"/>
        <s v="ORD-10615"/>
        <s v="ORD-11666"/>
        <s v="ORD-10778"/>
        <s v="ORD-11647"/>
        <s v="ORD-11591"/>
        <s v="ORD-11057"/>
        <s v="ORD-11127"/>
        <s v="ORD-11410"/>
        <s v="ORD-10123"/>
        <s v="ORD-11126"/>
        <s v="ORD-11157"/>
        <s v="ORD-11219"/>
        <s v="ORD-11438"/>
        <s v="ORD-11493"/>
        <s v="ORD-10684"/>
        <s v="ORD-11089"/>
        <s v="ORD-11190"/>
        <s v="ORD-11312"/>
        <s v="ORD-11485"/>
        <s v="ORD-10148"/>
        <s v="ORD-10679"/>
        <s v="ORD-11027"/>
        <s v="ORD-10990"/>
        <s v="ORD-11848"/>
        <s v="ORD-10080"/>
        <s v="ORD-10187"/>
        <s v="ORD-10198"/>
        <s v="ORD-11003"/>
        <s v="ORD-11524"/>
        <s v="ORD-11540"/>
        <s v="ORD-11554"/>
        <s v="ORD-11278"/>
        <s v="ORD-11829"/>
        <s v="ORD-10966"/>
        <s v="ORD-11078"/>
        <s v="ORD-11656"/>
        <s v="ORD-10634"/>
        <s v="ORD-11841"/>
        <s v="ORD-10172"/>
        <s v="ORD-10626"/>
        <s v="ORD-11577"/>
        <s v="ORD-10027"/>
        <s v="ORD-11416"/>
        <s v="ORD-11879"/>
        <s v="ORD-10854"/>
        <s v="ORD-10244"/>
        <s v="ORD-10756"/>
        <s v="ORD-10289"/>
        <s v="ORD-10982"/>
        <s v="ORD-11772"/>
        <s v="ORD-10371"/>
        <s v="ORD-10856"/>
        <s v="ORD-10191"/>
        <s v="ORD-11469"/>
        <s v="ORD-11952"/>
        <s v="ORD-11041"/>
        <s v="ORD-11317"/>
        <s v="ORD-11405"/>
        <s v="ORD-11819"/>
        <s v="ORD-10293"/>
        <s v="ORD-10485"/>
        <s v="ORD-10490"/>
        <s v="ORD-11756"/>
        <s v="ORD-10135"/>
        <s v="ORD-10698"/>
        <s v="ORD-10911"/>
        <s v="ORD-11206"/>
        <s v="ORD-11578"/>
        <s v="ORD-11677"/>
        <s v="ORD-10081"/>
        <s v="ORD-10618"/>
        <s v="ORD-11389"/>
        <s v="ORD-11495"/>
        <s v="ORD-11913"/>
        <s v="ORD-10002"/>
        <s v="ORD-10324"/>
        <s v="ORD-10849"/>
        <s v="ORD-10039"/>
        <s v="ORD-10158"/>
        <s v="ORD-10267"/>
        <s v="ORD-11873"/>
        <s v="ORD-10692"/>
        <s v="ORD-11014"/>
        <s v="ORD-11563"/>
        <s v="ORD-10764"/>
        <s v="ORD-11386"/>
        <s v="ORD-11397"/>
        <s v="ORD-11538"/>
        <s v="ORD-11978"/>
        <s v="ORD-11989"/>
        <s v="ORD-11459"/>
        <s v="ORD-10789"/>
        <s v="ORD-11076"/>
        <s v="ORD-11611"/>
        <s v="ORD-10470"/>
        <s v="ORD-11729"/>
        <s v="ORD-11916"/>
        <s v="ORD-10328"/>
        <s v="ORD-10583"/>
        <s v="ORD-10482"/>
        <s v="ORD-10685"/>
        <s v="ORD-10946"/>
        <s v="ORD-11954"/>
        <s v="ORD-10492"/>
        <s v="ORD-10851"/>
        <s v="ORD-11521"/>
        <s v="ORD-11571"/>
        <s v="ORD-11528"/>
        <s v="ORD-10122"/>
        <s v="ORD-10612"/>
        <s v="ORD-10163"/>
        <s v="ORD-10406"/>
        <s v="ORD-10507"/>
        <s v="ORD-11235"/>
        <s v="ORD-10194"/>
        <s v="ORD-10206"/>
        <s v="ORD-10209"/>
        <s v="ORD-10762"/>
        <s v="ORD-10390"/>
        <s v="ORD-10534"/>
        <s v="ORD-11645"/>
        <s v="ORD-11536"/>
        <s v="ORD-11725"/>
        <s v="ORD-10181"/>
        <s v="ORD-10423"/>
        <s v="ORD-10784"/>
        <s v="ORD-11616"/>
        <s v="ORD-10597"/>
        <s v="ORD-10974"/>
        <s v="ORD-11013"/>
        <s v="ORD-11486"/>
        <s v="ORD-10622"/>
        <s v="ORD-11736"/>
        <s v="ORD-11844"/>
        <s v="ORD-11985"/>
        <s v="ORD-10777"/>
        <s v="ORD-11116"/>
        <s v="ORD-10270"/>
        <s v="ORD-11392"/>
        <s v="ORD-11662"/>
        <s v="ORD-11722"/>
        <s v="ORD-11050"/>
        <s v="ORD-11800"/>
        <s v="ORD-10304"/>
        <s v="ORD-10428"/>
        <s v="ORD-11134"/>
        <s v="ORD-11313"/>
        <s v="ORD-11243"/>
        <s v="ORD-11097"/>
        <s v="ORD-11105"/>
        <s v="ORD-11878"/>
        <s v="ORD-10357"/>
        <s v="ORD-11377"/>
        <s v="ORD-10617"/>
        <s v="ORD-10797"/>
        <s v="ORD-10886"/>
        <s v="ORD-11185"/>
        <s v="ORD-11382"/>
        <s v="ORD-10870"/>
        <s v="ORD-10535"/>
        <s v="ORD-10570"/>
        <s v="ORD-11320"/>
        <s v="ORD-10735"/>
        <s v="ORD-10200"/>
        <s v="ORD-10776"/>
        <s v="ORD-11022"/>
        <s v="ORD-10033"/>
        <s v="ORD-11875"/>
        <s v="ORD-11958"/>
        <s v="ORD-10564"/>
        <s v="ORD-10630"/>
        <s v="ORD-10639"/>
        <s v="ORD-11585"/>
        <s v="ORD-11963"/>
        <s v="ORD-10522"/>
        <s v="ORD-11032"/>
        <s v="ORD-11425"/>
        <s v="ORD-11602"/>
        <s v="ORD-11865"/>
        <s v="ORD-11907"/>
        <s v="ORD-10232"/>
        <s v="ORD-10829"/>
        <s v="ORD-10914"/>
        <s v="ORD-10656"/>
        <s v="ORD-11872"/>
        <s v="ORD-10834"/>
        <s v="ORD-11775"/>
        <s v="ORD-10479"/>
        <s v="ORD-10161"/>
        <s v="ORD-10596"/>
        <s v="ORD-11574"/>
        <s v="ORD-10859"/>
        <s v="ORD-10285"/>
        <s v="ORD-10995"/>
        <s v="ORD-11291"/>
        <s v="ORD-11983"/>
        <s v="ORD-10553"/>
        <s v="ORD-11640"/>
        <s v="ORD-10101"/>
        <s v="ORD-11004"/>
        <s v="ORD-11114"/>
        <s v="ORD-11388"/>
        <s v="ORD-10526"/>
        <s v="ORD-10740"/>
        <s v="ORD-11305"/>
        <s v="ORD-11937"/>
        <s v="ORD-10959"/>
        <s v="ORD-11527"/>
        <s v="ORD-10192"/>
        <s v="ORD-10465"/>
        <s v="ORD-10782"/>
        <s v="ORD-11016"/>
        <s v="ORD-11150"/>
        <s v="ORD-11213"/>
        <s v="ORD-11630"/>
        <s v="ORD-10089"/>
        <s v="ORD-10598"/>
        <s v="ORD-10094"/>
        <s v="ORD-11072"/>
        <s v="ORD-10603"/>
        <s v="ORD-10875"/>
        <s v="ORD-11516"/>
        <s v="ORD-11854"/>
        <s v="ORD-10205"/>
        <s v="ORD-10334"/>
        <s v="ORD-10895"/>
        <s v="ORD-11012"/>
        <s v="ORD-11063"/>
        <s v="ORD-10036"/>
        <s v="ORD-10280"/>
        <s v="ORD-11214"/>
        <s v="ORD-10065"/>
        <s v="ORD-10934"/>
        <s v="ORD-11400"/>
        <s v="ORD-10115"/>
        <s v="ORD-11977"/>
        <s v="ORD-10683"/>
        <s v="ORD-10913"/>
        <s v="ORD-11241"/>
        <s v="ORD-11525"/>
        <s v="ORD-11923"/>
        <s v="ORD-10226"/>
        <s v="ORD-10477"/>
        <s v="ORD-10746"/>
        <s v="ORD-11095"/>
        <s v="ORD-11838"/>
        <s v="ORD-11118"/>
        <s v="ORD-11439"/>
        <s v="ORD-10770"/>
        <s v="ORD-11176"/>
        <s v="ORD-10310"/>
        <s v="ORD-10397"/>
        <s v="ORD-11289"/>
        <s v="ORD-10627"/>
        <s v="ORD-10410"/>
        <s v="ORD-11465"/>
        <s v="ORD-11264"/>
        <s v="ORD-11619"/>
        <s v="ORD-10670"/>
        <s v="ORD-10118"/>
        <s v="ORD-11621"/>
        <s v="ORD-10985"/>
        <s v="ORD-11180"/>
        <s v="ORD-10763"/>
        <s v="ORD-11112"/>
        <s v="ORD-10369"/>
        <s v="ORD-10800"/>
        <s v="ORD-11420"/>
        <s v="ORD-11366"/>
        <s v="ORD-10393"/>
        <s v="ORD-11899"/>
        <s v="ORD-10028"/>
        <s v="ORD-11669"/>
        <s v="ORD-10451"/>
        <s v="ORD-10221"/>
        <s v="ORD-11905"/>
        <s v="ORD-10781"/>
        <s v="ORD-11354"/>
        <s v="ORD-10287"/>
        <s v="ORD-10164"/>
        <s v="ORD-10739"/>
        <s v="ORD-10307"/>
        <s v="ORD-10610"/>
        <s v="ORD-11971"/>
        <s v="ORD-10458"/>
        <s v="ORD-11140"/>
        <s v="ORD-10037"/>
        <s v="ORD-11894"/>
        <s v="ORD-10486"/>
        <s v="ORD-10351"/>
        <s v="ORD-10798"/>
        <s v="ORD-10965"/>
        <s v="ORD-11990"/>
        <s v="ORD-10986"/>
        <s v="ORD-11620"/>
        <s v="ORD-10771"/>
        <s v="ORD-11087"/>
        <s v="ORD-11075"/>
        <s v="ORD-10053"/>
        <s v="ORD-11086"/>
        <s v="ORD-10166"/>
        <s v="ORD-10185"/>
        <s v="ORD-10234"/>
        <s v="ORD-10145"/>
        <s v="ORD-10671"/>
        <s v="ORD-11794"/>
        <s v="ORD-10111"/>
        <s v="ORD-10643"/>
        <s v="ORD-11831"/>
        <s v="ORD-10555"/>
        <s v="ORD-11046"/>
        <s v="ORD-11931"/>
        <s v="ORD-10133"/>
        <s v="ORD-10282"/>
        <s v="ORD-10290"/>
        <s v="ORD-10862"/>
        <s v="ORD-11715"/>
        <s v="ORD-11753"/>
        <s v="ORD-10047"/>
        <s v="ORD-10235"/>
        <s v="ORD-10386"/>
        <s v="ORD-10501"/>
        <s v="ORD-10628"/>
        <s v="ORD-11748"/>
        <s v="ORD-10536"/>
        <s v="ORD-10653"/>
        <s v="ORD-11721"/>
        <s v="ORD-10548"/>
        <s v="ORD-10940"/>
        <s v="ORD-11541"/>
        <s v="ORD-10313"/>
        <s v="ORD-10319"/>
        <s v="ORD-10269"/>
        <s v="ORD-10505"/>
        <s v="ORD-10960"/>
        <s v="ORD-11040"/>
        <s v="ORD-10552"/>
        <s v="ORD-10689"/>
        <s v="ORD-10972"/>
        <s v="ORD-10170"/>
        <s v="ORD-11044"/>
        <s v="ORD-10850"/>
        <s v="ORD-11071"/>
        <s v="ORD-10195"/>
        <s v="ORD-10204"/>
        <s v="ORD-10542"/>
        <s v="ORD-10368"/>
        <s v="ORD-11945"/>
        <s v="ORD-10179"/>
        <s v="ORD-10299"/>
        <s v="ORD-11130"/>
        <s v="ORD-11984"/>
        <s v="ORD-11703"/>
        <s v="ORD-10918"/>
        <s v="ORD-11055"/>
        <s v="ORD-11567"/>
        <s v="ORD-10649"/>
        <s v="ORD-10238"/>
        <s v="ORD-10719"/>
        <s v="ORD-10890"/>
        <s v="ORD-11052"/>
        <s v="ORD-11200"/>
        <s v="ORD-11081"/>
        <s v="ORD-11832"/>
        <s v="ORD-10836"/>
        <s v="ORD-10981"/>
        <s v="ORD-11230"/>
        <s v="ORD-11975"/>
        <s v="ORD-10214"/>
        <s v="ORD-11024"/>
        <s v="ORD-11096"/>
        <s v="ORD-11285"/>
        <s v="ORD-10068"/>
        <s v="ORD-10099"/>
        <s v="ORD-10284"/>
        <s v="ORD-10930"/>
        <s v="ORD-11283"/>
        <s v="ORD-11051"/>
        <s v="ORD-11201"/>
        <s v="ORD-11266"/>
        <s v="ORD-11360"/>
        <s v="ORD-11842"/>
        <s v="ORD-10097"/>
        <s v="ORD-11482"/>
        <s v="ORD-11752"/>
        <s v="ORD-10502"/>
        <s v="ORD-11192"/>
        <s v="ORD-11691"/>
        <s v="ORD-10733"/>
        <s v="ORD-10809"/>
        <s v="ORD-10125"/>
        <s v="ORD-10743"/>
        <s v="ORD-10175"/>
        <s v="ORD-11232"/>
        <s v="ORD-10431"/>
        <s v="ORD-10729"/>
        <s v="ORD-11215"/>
        <s v="ORD-11197"/>
        <s v="ORD-10216"/>
        <s v="ORD-10731"/>
        <s v="ORD-10251"/>
        <s v="ORD-11679"/>
        <s v="ORD-10019"/>
        <s v="ORD-11773"/>
        <s v="ORD-11593"/>
        <s v="ORD-11605"/>
        <s v="ORD-11010"/>
        <s v="ORD-11334"/>
        <s v="ORD-11646"/>
        <s v="ORD-11500"/>
        <s v="ORD-11531"/>
        <s v="ORD-11972"/>
        <s v="ORD-10566"/>
        <s v="ORD-11915"/>
        <s v="ORD-11125"/>
        <s v="ORD-11490"/>
        <s v="ORD-11608"/>
        <s v="ORD-11119"/>
        <s v="ORD-11743"/>
        <s v="ORD-10858"/>
        <s v="ORD-11256"/>
        <s v="ORD-11940"/>
        <s v="ORD-11987"/>
        <s v="ORD-11474"/>
        <s v="ORD-10971"/>
        <s v="ORD-11413"/>
        <s v="ORD-11492"/>
        <s v="ORD-11741"/>
        <s v="ORD-10139"/>
        <s v="ORD-11028"/>
        <s v="ORD-11543"/>
        <s v="ORD-11674"/>
        <s v="ORD-11926"/>
        <s v="ORD-10839"/>
        <s v="ORD-11556"/>
        <s v="ORD-11145"/>
        <s v="ORD-11348"/>
        <s v="ORD-11970"/>
        <s v="ORD-10831"/>
        <s v="ORD-10565"/>
        <s v="ORD-10678"/>
        <s v="ORD-10758"/>
        <s v="ORD-11787"/>
        <s v="ORD-10086"/>
        <s v="ORD-10682"/>
        <s v="ORD-11102"/>
        <s v="ORD-11407"/>
        <s v="ORD-10303"/>
        <s v="ORD-10773"/>
        <s v="ORD-10902"/>
        <s v="ORD-11222"/>
        <s v="ORD-10062"/>
        <s v="ORD-11274"/>
        <s v="ORD-11131"/>
        <s v="ORD-11367"/>
        <s v="ORD-11896"/>
        <s v="ORD-10749"/>
        <s v="ORD-10414"/>
        <s v="ORD-10921"/>
        <s v="ORD-11805"/>
        <s v="ORD-10013"/>
        <s v="ORD-10333"/>
        <s v="ORD-11183"/>
        <s v="ORD-11710"/>
        <s v="ORD-10130"/>
        <s v="ORD-10593"/>
        <s v="ORD-10060"/>
        <s v="ORD-10190"/>
        <s v="ORD-11163"/>
        <s v="ORD-10933"/>
        <s v="ORD-11172"/>
        <s v="ORD-10957"/>
        <s v="ORD-11123"/>
        <s v="ORD-11889"/>
        <s v="ORD-10472"/>
        <s v="ORD-11151"/>
        <s v="ORD-11843"/>
        <s v="ORD-11927"/>
        <s v="ORD-11648"/>
        <s v="ORD-10518"/>
        <s v="ORD-11251"/>
        <s v="ORD-10327"/>
        <s v="ORD-10572"/>
        <s v="ORD-10864"/>
        <s v="ORD-11604"/>
        <s v="ORD-11933"/>
        <s v="ORD-10276"/>
        <s v="ORD-10353"/>
        <s v="ORD-11374"/>
        <s v="ORD-11779"/>
        <s v="ORD-10352"/>
        <s v="ORD-11596"/>
        <s v="ORD-10173"/>
        <s v="ORD-10272"/>
        <s v="ORD-10888"/>
        <s v="ORD-11404"/>
        <s v="ORD-11693"/>
        <s v="ORD-10922"/>
        <s v="ORD-10963"/>
        <s v="ORD-10155"/>
        <s v="ORD-11255"/>
        <s v="ORD-10096"/>
        <s v="ORD-10760"/>
        <s v="ORD-11898"/>
        <s v="ORD-10723"/>
        <s v="ORD-10943"/>
        <s v="ORD-11342"/>
        <s v="ORD-10142"/>
        <s v="ORD-10186"/>
        <s v="ORD-11009"/>
        <s v="ORD-11254"/>
        <s v="ORD-11692"/>
        <s v="ORD-10268"/>
        <s v="ORD-11168"/>
        <s v="ORD-10378"/>
        <s v="ORD-11034"/>
        <s v="ORD-10077"/>
        <s v="ORD-10938"/>
        <s v="ORD-11286"/>
        <s v="ORD-11409"/>
        <s v="ORD-11612"/>
        <s v="ORD-10577"/>
        <s v="ORD-11570"/>
        <s v="ORD-10592"/>
        <s v="ORD-10419"/>
        <s v="ORD-10766"/>
        <s v="ORD-10372"/>
        <s v="ORD-10675"/>
        <s v="ORD-10188"/>
        <s v="ORD-11353"/>
        <s v="ORD-11814"/>
        <s v="ORD-10823"/>
        <s v="ORD-10896"/>
        <s v="ORD-11148"/>
        <s v="ORD-11519"/>
        <s v="ORD-11701"/>
      </sharedItems>
    </cacheField>
    <cacheField name="Order_Date" numFmtId="14">
      <sharedItems containsSemiMixedTypes="0" containsNonDate="0" containsDate="1" containsString="0" minDate="2023-01-02T00:00:00" maxDate="2026-01-01T00:00:00" count="907">
        <d v="2023-01-02T00:00:00"/>
        <d v="2023-01-03T00:00:00"/>
        <d v="2023-01-05T00:00:00"/>
        <d v="2023-01-06T00:00:00"/>
        <d v="2023-01-07T00:00:00"/>
        <d v="2023-01-08T00:00:00"/>
        <d v="2023-01-09T00:00:00"/>
        <d v="2023-01-12T00:00:00"/>
        <d v="2023-01-13T00:00:00"/>
        <d v="2023-01-14T00:00:00"/>
        <d v="2023-01-15T00:00:00"/>
        <d v="2023-01-17T00:00:00"/>
        <d v="2023-01-18T00:00:00"/>
        <d v="2023-01-20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7T00:00:00"/>
        <d v="2023-02-08T00:00:00"/>
        <d v="2023-02-09T00:00:00"/>
        <d v="2023-02-10T00:00:00"/>
        <d v="2023-02-11T00:00:00"/>
        <d v="2023-02-12T00:00:00"/>
        <d v="2023-02-15T00:00:00"/>
        <d v="2023-02-16T00:00:00"/>
        <d v="2023-02-17T00:00:00"/>
        <d v="2023-02-18T00:00:00"/>
        <d v="2023-02-19T00:00:00"/>
        <d v="2023-02-20T00:00:00"/>
        <d v="2023-02-21T00:00:00"/>
        <d v="2023-02-22T00:00:00"/>
        <d v="2023-02-23T00:00:00"/>
        <d v="2023-02-24T00:00:00"/>
        <d v="2023-02-25T00:00:00"/>
        <d v="2023-02-26T00:00:00"/>
        <d v="2023-02-27T00:00:00"/>
        <d v="2023-03-01T00:00:00"/>
        <d v="2023-03-02T00:00:00"/>
        <d v="2023-03-04T00:00:00"/>
        <d v="2023-03-05T00:00:00"/>
        <d v="2023-03-06T00:00:00"/>
        <d v="2023-03-07T00:00:00"/>
        <d v="2023-03-08T00:00:00"/>
        <d v="2023-03-09T00:00:00"/>
        <d v="2023-03-10T00:00:00"/>
        <d v="2023-03-11T00:00:00"/>
        <d v="2023-03-12T00:00:00"/>
        <d v="2023-03-13T00:00:00"/>
        <d v="2023-03-15T00:00:00"/>
        <d v="2023-03-16T00:00:00"/>
        <d v="2023-03-17T00:00:00"/>
        <d v="2023-03-18T00:00:00"/>
        <d v="2023-03-19T00:00:00"/>
        <d v="2023-03-21T00:00:00"/>
        <d v="2023-03-22T00:00:00"/>
        <d v="2023-03-23T00:00:00"/>
        <d v="2023-03-24T00:00:00"/>
        <d v="2023-03-25T00:00:00"/>
        <d v="2023-03-26T00:00:00"/>
        <d v="2023-03-27T00:00:00"/>
        <d v="2023-03-29T00:00:00"/>
        <d v="2023-03-30T00:00:00"/>
        <d v="2023-03-31T00:00:00"/>
        <d v="2023-04-01T00:00:00"/>
        <d v="2023-04-02T00:00:00"/>
        <d v="2023-04-03T00:00:00"/>
        <d v="2023-04-04T00:00:00"/>
        <d v="2023-04-05T00:00:00"/>
        <d v="2023-04-06T00:00:00"/>
        <d v="2023-04-07T00:00:00"/>
        <d v="2023-04-09T00:00:00"/>
        <d v="2023-04-10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9T00:00:00"/>
        <d v="2023-04-30T00:00:00"/>
        <d v="2023-05-01T00:00:00"/>
        <d v="2023-05-02T00:00:00"/>
        <d v="2023-05-03T00:00:00"/>
        <d v="2023-05-04T00:00:00"/>
        <d v="2023-05-05T00:00:00"/>
        <d v="2023-05-06T00:00:00"/>
        <d v="2023-05-08T00:00:00"/>
        <d v="2023-05-10T00:00:00"/>
        <d v="2023-05-11T00:00:00"/>
        <d v="2023-05-12T00:00:00"/>
        <d v="2023-05-13T00:00:00"/>
        <d v="2023-05-14T00:00:00"/>
        <d v="2023-05-15T00:00:00"/>
        <d v="2023-05-16T00:00:00"/>
        <d v="2023-05-17T00:00:00"/>
        <d v="2023-05-18T00:00:00"/>
        <d v="2023-05-19T00:00:00"/>
        <d v="2023-05-20T00:00:00"/>
        <d v="2023-05-22T00:00:00"/>
        <d v="2023-05-23T00:00:00"/>
        <d v="2023-05-25T00:00:00"/>
        <d v="2023-05-26T00:00:00"/>
        <d v="2023-05-29T00:00:00"/>
        <d v="2023-05-30T00:00:00"/>
        <d v="2023-06-01T00:00:00"/>
        <d v="2023-06-03T00:00:00"/>
        <d v="2023-06-04T00:00:00"/>
        <d v="2023-06-05T00:00:00"/>
        <d v="2023-06-06T00:00:00"/>
        <d v="2023-06-07T00:00:00"/>
        <d v="2023-06-08T00:00:00"/>
        <d v="2023-06-09T00:00:00"/>
        <d v="2023-06-10T00:00:00"/>
        <d v="2023-06-11T00:00:00"/>
        <d v="2023-06-12T00:00:00"/>
        <d v="2023-06-13T00:00:00"/>
        <d v="2023-06-14T00:00:00"/>
        <d v="2023-06-17T00:00:00"/>
        <d v="2023-06-18T00:00:00"/>
        <d v="2023-06-19T00:00:00"/>
        <d v="2023-06-20T00:00:00"/>
        <d v="2023-06-21T00:00:00"/>
        <d v="2023-06-22T00:00:00"/>
        <d v="2023-06-23T00:00:00"/>
        <d v="2023-06-24T00:00:00"/>
        <d v="2023-06-26T00:00:00"/>
        <d v="2023-06-27T00:00:00"/>
        <d v="2023-06-28T00:00:00"/>
        <d v="2023-06-29T00:00:00"/>
        <d v="2023-07-01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2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2T00:00:00"/>
        <d v="2023-08-23T00:00:00"/>
        <d v="2023-08-24T00:00:00"/>
        <d v="2023-08-25T00:00:00"/>
        <d v="2023-08-27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3T00:00:00"/>
        <d v="2023-09-14T00:00:00"/>
        <d v="2023-09-15T00:00:00"/>
        <d v="2023-09-16T00:00:00"/>
        <d v="2023-09-17T00:00:00"/>
        <d v="2023-09-18T00:00:00"/>
        <d v="2023-09-19T00:00:00"/>
        <d v="2023-09-20T00:00:00"/>
        <d v="2023-09-21T00:00:00"/>
        <d v="2023-09-23T00:00:00"/>
        <d v="2023-09-24T00:00:00"/>
        <d v="2023-09-25T00:00:00"/>
        <d v="2023-09-26T00:00:00"/>
        <d v="2023-09-27T00:00:00"/>
        <d v="2023-09-28T00:00:00"/>
        <d v="2023-09-29T00:00:00"/>
        <d v="2023-09-30T00:00:00"/>
        <d v="2023-10-02T00:00:00"/>
        <d v="2023-10-03T00:00:00"/>
        <d v="2023-10-04T00:00:00"/>
        <d v="2023-10-05T00:00:00"/>
        <d v="2023-10-06T00:00:00"/>
        <d v="2023-10-07T00:00:00"/>
        <d v="2023-10-08T00:00:00"/>
        <d v="2023-10-09T00:00:00"/>
        <d v="2023-10-10T00:00:00"/>
        <d v="2023-10-11T00:00:00"/>
        <d v="2023-10-13T00:00:00"/>
        <d v="2023-10-14T00:00:00"/>
        <d v="2023-10-15T00:00:00"/>
        <d v="2023-10-17T00:00:00"/>
        <d v="2023-10-18T00:00:00"/>
        <d v="2023-10-20T00:00:00"/>
        <d v="2023-10-21T00:00:00"/>
        <d v="2023-10-22T00:00:00"/>
        <d v="2023-10-23T00:00:00"/>
        <d v="2023-10-24T00:00:00"/>
        <d v="2023-10-25T00:00:00"/>
        <d v="2023-10-26T00:00:00"/>
        <d v="2023-10-27T00:00:00"/>
        <d v="2023-10-28T00:00:00"/>
        <d v="2023-10-29T00:00:00"/>
        <d v="2023-11-01T00:00:00"/>
        <d v="2023-11-02T00:00:00"/>
        <d v="2023-11-03T00:00:00"/>
        <d v="2023-11-05T00:00:00"/>
        <d v="2023-11-06T00:00:00"/>
        <d v="2023-11-07T00:00:00"/>
        <d v="2023-11-09T00:00:00"/>
        <d v="2023-11-10T00:00:00"/>
        <d v="2023-11-12T00:00:00"/>
        <d v="2023-11-13T00:00:00"/>
        <d v="2023-11-14T00:00:00"/>
        <d v="2023-11-15T00:00:00"/>
        <d v="2023-11-18T00:00:00"/>
        <d v="2023-11-19T00:00:00"/>
        <d v="2023-11-20T00:00:00"/>
        <d v="2023-11-21T00:00:00"/>
        <d v="2023-11-22T00:00:00"/>
        <d v="2023-11-23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3T00:00:00"/>
        <d v="2023-12-14T00:00:00"/>
        <d v="2023-12-16T00:00:00"/>
        <d v="2023-12-17T00:00:00"/>
        <d v="2023-12-18T00:00:00"/>
        <d v="2023-12-20T00:00:00"/>
        <d v="2023-12-21T00:00:00"/>
        <d v="2023-12-22T00:00:00"/>
        <d v="2023-12-23T00:00:00"/>
        <d v="2023-12-24T00:00:00"/>
        <d v="2023-12-25T00:00:00"/>
        <d v="2023-12-26T00:00:00"/>
        <d v="2023-12-27T00:00:00"/>
        <d v="2023-12-28T00:00:00"/>
        <d v="2023-12-31T00:00:00"/>
        <d v="2024-01-01T00:00:00"/>
        <d v="2024-01-03T00:00:00"/>
        <d v="2024-01-04T00:00:00"/>
        <d v="2024-01-06T00:00:00"/>
        <d v="2024-01-07T00:00:00"/>
        <d v="2024-01-08T00:00:00"/>
        <d v="2024-01-09T00:00:00"/>
        <d v="2024-01-10T00:00:00"/>
        <d v="2024-01-11T00:00:00"/>
        <d v="2024-01-13T00:00:00"/>
        <d v="2024-01-14T00:00:00"/>
        <d v="2024-01-16T00:00:00"/>
        <d v="2024-01-17T00:00:00"/>
        <d v="2024-01-18T00:00:00"/>
        <d v="2024-01-19T00:00:00"/>
        <d v="2024-01-20T00:00:00"/>
        <d v="2024-01-21T00:00:00"/>
        <d v="2024-01-22T00:00:00"/>
        <d v="2024-01-24T00:00:00"/>
        <d v="2024-01-27T00:00:00"/>
        <d v="2024-01-28T00:00:00"/>
        <d v="2024-01-29T00:00:00"/>
        <d v="2024-01-30T00:00:00"/>
        <d v="2024-01-31T00:00:00"/>
        <d v="2024-02-02T00:00:00"/>
        <d v="2024-02-03T00:00:00"/>
        <d v="2024-02-04T00:00:00"/>
        <d v="2024-02-07T00:00:00"/>
        <d v="2024-02-08T00:00:00"/>
        <d v="2024-02-10T00:00:00"/>
        <d v="2024-02-11T00:00:00"/>
        <d v="2024-02-12T00:00:00"/>
        <d v="2024-02-13T00:00:00"/>
        <d v="2024-02-14T00:00:00"/>
        <d v="2024-02-15T00:00:00"/>
        <d v="2024-02-16T00:00:00"/>
        <d v="2024-02-17T00:00:00"/>
        <d v="2024-02-18T00:00:00"/>
        <d v="2024-02-21T00:00:00"/>
        <d v="2024-02-23T00:00:00"/>
        <d v="2024-02-25T00:00:00"/>
        <d v="2024-02-27T00:00:00"/>
        <d v="2024-03-02T00:00:00"/>
        <d v="2024-03-03T00:00:00"/>
        <d v="2024-03-04T00:00:00"/>
        <d v="2024-03-05T00:00:00"/>
        <d v="2024-03-06T00:00:00"/>
        <d v="2024-03-07T00:00:00"/>
        <d v="2024-03-08T00:00:00"/>
        <d v="2024-03-09T00:00:00"/>
        <d v="2024-03-10T00:00:00"/>
        <d v="2024-03-13T00:00:00"/>
        <d v="2024-03-16T00:00:00"/>
        <d v="2024-03-17T00:00:00"/>
        <d v="2024-03-18T00:00:00"/>
        <d v="2024-03-19T00:00:00"/>
        <d v="2024-03-21T00:00:00"/>
        <d v="2024-03-27T00:00:00"/>
        <d v="2024-03-28T00:00:00"/>
        <d v="2024-03-30T00:00:00"/>
        <d v="2024-03-31T00:00:00"/>
        <d v="2024-04-01T00:00:00"/>
        <d v="2024-04-03T00:00:00"/>
        <d v="2024-04-04T00:00:00"/>
        <d v="2024-04-05T00:00:00"/>
        <d v="2024-04-06T00:00:00"/>
        <d v="2024-04-07T00:00:00"/>
        <d v="2024-04-08T00:00:00"/>
        <d v="2024-04-09T00:00:00"/>
        <d v="2024-04-10T00:00:00"/>
        <d v="2024-04-11T00:00:00"/>
        <d v="2024-04-13T00:00:00"/>
        <d v="2024-04-14T00:00:00"/>
        <d v="2024-04-15T00:00:00"/>
        <d v="2024-04-16T00:00:00"/>
        <d v="2024-04-18T00:00:00"/>
        <d v="2024-04-19T00:00:00"/>
        <d v="2024-04-20T00:00:00"/>
        <d v="2024-04-21T00:00:00"/>
        <d v="2024-04-22T00:00:00"/>
        <d v="2024-04-23T00:00:00"/>
        <d v="2024-04-24T00:00:00"/>
        <d v="2024-04-25T00:00:00"/>
        <d v="2024-04-26T00:00:00"/>
        <d v="2024-04-28T00:00:00"/>
        <d v="2024-04-29T00:00:00"/>
        <d v="2024-04-30T00:00:00"/>
        <d v="2024-05-04T00:00:00"/>
        <d v="2024-05-05T00:00:00"/>
        <d v="2024-05-06T00:00:00"/>
        <d v="2024-05-07T00:00:00"/>
        <d v="2024-05-08T00:00:00"/>
        <d v="2024-05-09T00:00:00"/>
        <d v="2024-05-11T00:00:00"/>
        <d v="2024-05-12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7T00:00:00"/>
        <d v="2024-06-08T00:00:00"/>
        <d v="2024-06-09T00:00:00"/>
        <d v="2024-06-10T00:00:00"/>
        <d v="2024-06-12T00:00:00"/>
        <d v="2024-06-14T00:00:00"/>
        <d v="2024-06-15T00:00:00"/>
        <d v="2024-06-16T00:00:00"/>
        <d v="2024-06-18T00:00:00"/>
        <d v="2024-06-19T00:00:00"/>
        <d v="2024-06-20T00:00:00"/>
        <d v="2024-06-21T00:00:00"/>
        <d v="2024-06-22T00:00:00"/>
        <d v="2024-06-23T00:00:00"/>
        <d v="2024-06-24T00:00:00"/>
        <d v="2024-06-25T00:00:00"/>
        <d v="2024-06-26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9T00:00:00"/>
        <d v="2024-07-21T00:00:00"/>
        <d v="2024-07-23T00:00:00"/>
        <d v="2024-07-24T00:00:00"/>
        <d v="2024-07-25T00:00:00"/>
        <d v="2024-07-26T00:00:00"/>
        <d v="2024-07-27T00:00:00"/>
        <d v="2024-07-28T00:00:00"/>
        <d v="2024-07-29T00:00:00"/>
        <d v="2024-08-01T00:00:00"/>
        <d v="2024-08-02T00:00:00"/>
        <d v="2024-08-03T00:00:00"/>
        <d v="2024-08-04T00:00:00"/>
        <d v="2024-08-05T00:00:00"/>
        <d v="2024-08-06T00:00:00"/>
        <d v="2024-08-07T00:00:00"/>
        <d v="2024-08-08T00:00:00"/>
        <d v="2024-08-09T00:00:00"/>
        <d v="2024-08-10T00:00:00"/>
        <d v="2024-08-12T00:00:00"/>
        <d v="2024-08-13T00:00:00"/>
        <d v="2024-08-14T00:00:00"/>
        <d v="2024-08-15T00:00:00"/>
        <d v="2024-08-16T00:00:00"/>
        <d v="2024-08-18T00:00:00"/>
        <d v="2024-08-19T00:00:00"/>
        <d v="2024-08-20T00:00:00"/>
        <d v="2024-08-22T00:00:00"/>
        <d v="2024-08-24T00:00:00"/>
        <d v="2024-08-25T00:00:00"/>
        <d v="2024-08-26T00:00:00"/>
        <d v="2024-08-28T00:00:00"/>
        <d v="2024-08-29T00:00:00"/>
        <d v="2024-08-30T00:00:00"/>
        <d v="2024-08-31T00:00:00"/>
        <d v="2024-09-01T00:00:00"/>
        <d v="2024-09-03T00:00:00"/>
        <d v="2024-09-04T00:00:00"/>
        <d v="2024-09-05T00:00:00"/>
        <d v="2024-09-06T00:00:00"/>
        <d v="2024-09-07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8T00:00:00"/>
        <d v="2024-10-09T00:00:00"/>
        <d v="2024-10-10T00:00:00"/>
        <d v="2024-10-11T00:00:00"/>
        <d v="2024-10-13T00:00:00"/>
        <d v="2024-10-14T00:00:00"/>
        <d v="2024-10-15T00:00:00"/>
        <d v="2024-10-16T00:00:00"/>
        <d v="2024-10-17T00:00:00"/>
        <d v="2024-10-18T00:00:00"/>
        <d v="2024-10-19T00:00:00"/>
        <d v="2024-10-21T00:00:00"/>
        <d v="2024-10-23T00:00:00"/>
        <d v="2024-10-24T00:00:00"/>
        <d v="2024-10-25T00:00:00"/>
        <d v="2024-10-26T00:00:00"/>
        <d v="2024-10-27T00:00:00"/>
        <d v="2024-10-28T00:00:00"/>
        <d v="2024-10-29T00:00:00"/>
        <d v="2024-10-30T00:00:00"/>
        <d v="2024-10-31T00:00:00"/>
        <d v="2024-11-01T00:00:00"/>
        <d v="2024-11-02T00:00:00"/>
        <d v="2024-11-05T00:00:00"/>
        <d v="2024-11-06T00:00:00"/>
        <d v="2024-11-07T00:00:00"/>
        <d v="2024-11-08T00:00:00"/>
        <d v="2024-11-09T00:00:00"/>
        <d v="2024-11-10T00:00:00"/>
        <d v="2024-11-13T00:00:00"/>
        <d v="2024-11-14T00:00:00"/>
        <d v="2024-11-15T00:00:00"/>
        <d v="2024-11-16T00:00:00"/>
        <d v="2024-11-17T00:00:00"/>
        <d v="2024-11-18T00:00:00"/>
        <d v="2024-11-19T00:00:00"/>
        <d v="2024-11-20T00:00:00"/>
        <d v="2024-11-21T00:00:00"/>
        <d v="2024-11-22T00:00:00"/>
        <d v="2024-11-24T00:00:00"/>
        <d v="2024-11-25T00:00:00"/>
        <d v="2024-11-26T00:00:00"/>
        <d v="2024-11-28T00:00:00"/>
        <d v="2024-11-29T00:00:00"/>
        <d v="2024-11-30T00:00:00"/>
        <d v="2024-12-01T00:00:00"/>
        <d v="2024-12-02T00:00:00"/>
        <d v="2024-12-03T00:00:00"/>
        <d v="2024-12-05T00:00:00"/>
        <d v="2024-12-06T00:00:00"/>
        <d v="2024-12-08T00:00:00"/>
        <d v="2024-12-09T00:00:00"/>
        <d v="2024-12-10T00:00:00"/>
        <d v="2024-12-11T00:00:00"/>
        <d v="2024-12-13T00:00:00"/>
        <d v="2024-12-14T00:00:00"/>
        <d v="2024-12-15T00:00:00"/>
        <d v="2024-12-16T00:00:00"/>
        <d v="2024-12-17T00:00:00"/>
        <d v="2024-12-18T00:00:00"/>
        <d v="2024-12-20T00:00:00"/>
        <d v="2024-12-21T00:00:00"/>
        <d v="2024-12-23T00:00:00"/>
        <d v="2024-12-24T00:00:00"/>
        <d v="2024-12-25T00:00:00"/>
        <d v="2024-12-26T00:00:00"/>
        <d v="2024-12-27T00:00:00"/>
        <d v="2024-12-30T00:00:00"/>
        <d v="2024-12-31T00:00:00"/>
        <d v="2025-01-01T00:00:00"/>
        <d v="2025-01-02T00:00:00"/>
        <d v="2025-01-03T00:00:00"/>
        <d v="2025-01-04T00:00:00"/>
        <d v="2025-01-05T00:00:00"/>
        <d v="2025-01-06T00:00:00"/>
        <d v="2025-01-08T00:00:00"/>
        <d v="2025-01-09T00:00:00"/>
        <d v="2025-01-10T00:00:00"/>
        <d v="2025-01-11T00:00:00"/>
        <d v="2025-01-12T00:00:00"/>
        <d v="2025-01-14T00:00:00"/>
        <d v="2025-01-16T00:00:00"/>
        <d v="2025-01-17T00:00:00"/>
        <d v="2025-01-18T00:00:00"/>
        <d v="2025-01-19T00:00:00"/>
        <d v="2025-01-20T00:00:00"/>
        <d v="2025-01-21T00:00:00"/>
        <d v="2025-01-22T00:00:00"/>
        <d v="2025-01-24T00:00:00"/>
        <d v="2025-01-25T00:00:00"/>
        <d v="2025-01-26T00:00:00"/>
        <d v="2025-01-29T00:00:00"/>
        <d v="2025-01-30T00:00:00"/>
        <d v="2025-02-01T00:00:00"/>
        <d v="2025-02-02T00:00:00"/>
        <d v="2025-02-03T00:00:00"/>
        <d v="2025-02-05T00:00:00"/>
        <d v="2025-02-07T00:00:00"/>
        <d v="2025-02-08T00:00:00"/>
        <d v="2025-02-10T00:00:00"/>
        <d v="2025-02-11T00:00:00"/>
        <d v="2025-02-12T00:00:00"/>
        <d v="2025-02-14T00:00:00"/>
        <d v="2025-02-15T00:00:00"/>
        <d v="2025-02-17T00:00:00"/>
        <d v="2025-02-18T00:00:00"/>
        <d v="2025-02-19T00:00:00"/>
        <d v="2025-02-20T00:00:00"/>
        <d v="2025-02-21T00:00:00"/>
        <d v="2025-02-22T00:00:00"/>
        <d v="2025-02-24T00:00:00"/>
        <d v="2025-02-25T00:00:00"/>
        <d v="2025-02-26T00:00:00"/>
        <d v="2025-02-27T00:00:00"/>
        <d v="2025-02-28T00:00:00"/>
        <d v="2025-03-01T00:00:00"/>
        <d v="2025-03-03T00:00:00"/>
        <d v="2025-03-05T00:00:00"/>
        <d v="2025-03-06T00:00:00"/>
        <d v="2025-03-07T00:00:00"/>
        <d v="2025-03-08T00:00:00"/>
        <d v="2025-03-09T00:00:00"/>
        <d v="2025-03-10T00:00:00"/>
        <d v="2025-03-11T00:00:00"/>
        <d v="2025-03-12T00:00:00"/>
        <d v="2025-03-14T00:00:00"/>
        <d v="2025-03-15T00:00:00"/>
        <d v="2025-03-16T00:00:00"/>
        <d v="2025-03-17T00:00:00"/>
        <d v="2025-03-18T00:00:00"/>
        <d v="2025-03-19T00:00:00"/>
        <d v="2025-03-20T00:00:00"/>
        <d v="2025-03-21T00:00:00"/>
        <d v="2025-03-22T00:00:00"/>
        <d v="2025-03-25T00:00:00"/>
        <d v="2025-03-26T00:00:00"/>
        <d v="2025-03-27T00:00:00"/>
        <d v="2025-03-28T00:00:00"/>
        <d v="2025-03-29T00:00:00"/>
        <d v="2025-03-30T00:00:00"/>
        <d v="2025-03-31T00:00:00"/>
        <d v="2025-04-01T00:00:00"/>
        <d v="2025-04-02T00:00:00"/>
        <d v="2025-04-04T00:00:00"/>
        <d v="2025-04-05T00:00:00"/>
        <d v="2025-04-06T00:00:00"/>
        <d v="2025-04-07T00:00:00"/>
        <d v="2025-04-08T00:00:00"/>
        <d v="2025-04-09T00:00:00"/>
        <d v="2025-04-10T00:00:00"/>
        <d v="2025-04-11T00:00:00"/>
        <d v="2025-04-12T00:00:00"/>
        <d v="2025-04-13T00:00:00"/>
        <d v="2025-04-14T00:00:00"/>
        <d v="2025-04-16T00:00:00"/>
        <d v="2025-04-17T00:00:00"/>
        <d v="2025-04-18T00:00:00"/>
        <d v="2025-04-19T00:00:00"/>
        <d v="2025-04-20T00:00:00"/>
        <d v="2025-04-21T00:00:00"/>
        <d v="2025-04-22T00:00:00"/>
        <d v="2025-04-24T00:00:00"/>
        <d v="2025-04-25T00:00:00"/>
        <d v="2025-04-26T00:00:00"/>
        <d v="2025-04-27T00:00:00"/>
        <d v="2025-04-28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20T00:00:00"/>
        <d v="2025-05-21T00:00:00"/>
        <d v="2025-05-22T00:00:00"/>
        <d v="2025-05-24T00:00:00"/>
        <d v="2025-05-26T00:00:00"/>
        <d v="2025-05-27T00:00:00"/>
        <d v="2025-05-29T00:00:00"/>
        <d v="2025-05-30T00:00:00"/>
        <d v="2025-05-31T00:00:00"/>
        <d v="2025-06-01T00:00:00"/>
        <d v="2025-06-02T00:00:00"/>
        <d v="2025-06-03T00:00:00"/>
        <d v="2025-06-04T00:00:00"/>
        <d v="2025-06-05T00:00:00"/>
        <d v="2025-06-06T00:00:00"/>
        <d v="2025-06-07T00:00:00"/>
        <d v="2025-06-08T00:00:00"/>
        <d v="2025-06-10T00:00:00"/>
        <d v="2025-06-11T00:00:00"/>
        <d v="2025-06-12T00:00:00"/>
        <d v="2025-06-14T00:00:00"/>
        <d v="2025-06-16T00:00:00"/>
        <d v="2025-06-17T00:00:00"/>
        <d v="2025-06-18T00:00:00"/>
        <d v="2025-06-19T00:00:00"/>
        <d v="2025-06-20T00:00:00"/>
        <d v="2025-06-21T00:00:00"/>
        <d v="2025-06-22T00:00:00"/>
        <d v="2025-06-23T00:00:00"/>
        <d v="2025-06-24T00:00:00"/>
        <d v="2025-06-25T00:00:00"/>
        <d v="2025-06-27T00:00:00"/>
        <d v="2025-06-28T00:00:00"/>
        <d v="2025-06-30T00:00:00"/>
        <d v="2025-07-02T00:00:00"/>
        <d v="2025-07-03T00:00:00"/>
        <d v="2025-07-04T00:00:00"/>
        <d v="2025-07-06T00:00:00"/>
        <d v="2025-07-07T00:00:00"/>
        <d v="2025-07-08T00:00:00"/>
        <d v="2025-07-10T00:00:00"/>
        <d v="2025-07-12T00:00:00"/>
        <d v="2025-07-13T00:00:00"/>
        <d v="2025-07-14T00:00:00"/>
        <d v="2025-07-15T00:00:00"/>
        <d v="2025-07-16T00:00:00"/>
        <d v="2025-07-17T00:00:00"/>
        <d v="2025-07-18T00:00:00"/>
        <d v="2025-07-19T00:00:00"/>
        <d v="2025-07-20T00:00:00"/>
        <d v="2025-07-21T00:00:00"/>
        <d v="2025-07-23T00:00:00"/>
        <d v="2025-07-24T00:00:00"/>
        <d v="2025-07-25T00:00:00"/>
        <d v="2025-07-26T00:00:00"/>
        <d v="2025-07-27T00:00:00"/>
        <d v="2025-07-28T00:00:00"/>
        <d v="2025-07-29T00:00:00"/>
        <d v="2025-07-31T00:00:00"/>
        <d v="2025-08-01T00:00:00"/>
        <d v="2025-08-02T00:00:00"/>
        <d v="2025-08-03T00:00:00"/>
        <d v="2025-08-04T00:00:00"/>
        <d v="2025-08-05T00:00:00"/>
        <d v="2025-08-06T00:00:00"/>
        <d v="2025-08-07T00:00:00"/>
        <d v="2025-08-09T00:00:00"/>
        <d v="2025-08-10T00:00:00"/>
        <d v="2025-08-11T00:00:00"/>
        <d v="2025-08-13T00:00:00"/>
        <d v="2025-08-16T00:00:00"/>
        <d v="2025-08-17T00:00:00"/>
        <d v="2025-08-18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5T00:00:00"/>
        <d v="2025-09-06T00:00:00"/>
        <d v="2025-09-07T00:00:00"/>
        <d v="2025-09-08T00:00:00"/>
        <d v="2025-09-09T00:00:00"/>
        <d v="2025-09-11T00:00:00"/>
        <d v="2025-09-14T00:00:00"/>
        <d v="2025-09-15T00:00:00"/>
        <d v="2025-09-16T00:00:00"/>
        <d v="2025-09-17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7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1T00:00:00"/>
        <d v="2025-11-23T00:00:00"/>
        <d v="2025-11-24T00:00:00"/>
        <d v="2025-11-25T00:00:00"/>
        <d v="2025-11-26T00:00:00"/>
        <d v="2025-11-27T00:00:00"/>
        <d v="2025-11-28T00:00:00"/>
        <d v="2025-11-29T00:00:00"/>
        <d v="2025-11-30T00:00:00"/>
        <d v="2025-12-01T00:00:00"/>
        <d v="2025-12-02T00:00:00"/>
        <d v="2025-12-03T00:00:00"/>
        <d v="2025-12-04T00:00:00"/>
        <d v="2025-12-06T00:00:00"/>
        <d v="2025-12-07T00:00:00"/>
        <d v="2025-12-08T00:00:00"/>
        <d v="2025-12-09T00:00:00"/>
        <d v="2025-12-10T00:00:00"/>
        <d v="2025-12-11T00:00:00"/>
        <d v="2025-12-12T00:00:00"/>
        <d v="2025-12-14T00:00:00"/>
        <d v="2025-12-15T00:00:00"/>
        <d v="2025-12-16T00:00:00"/>
        <d v="2025-12-17T00:00:00"/>
        <d v="2025-12-18T00:00:00"/>
        <d v="2025-12-19T00:00:00"/>
        <d v="2025-12-21T00:00:00"/>
        <d v="2025-12-22T00:00:00"/>
        <d v="2025-12-23T00:00:00"/>
        <d v="2025-12-24T00:00:00"/>
        <d v="2025-12-25T00:00:00"/>
        <d v="2025-12-27T00:00:00"/>
        <d v="2025-12-28T00:00:00"/>
        <d v="2025-12-29T00:00:00"/>
        <d v="2025-12-30T00:00:00"/>
        <d v="2025-12-31T00:00:00"/>
      </sharedItems>
      <fieldGroup par="23"/>
    </cacheField>
    <cacheField name="Customer_Name" numFmtId="0">
      <sharedItems count="1534">
        <s v="Karen Suzuki"/>
        <s v="John Johansson"/>
        <s v="Jessica Garcia"/>
        <s v="Clara Taylor"/>
        <s v="Felix Thomas"/>
        <s v="Fatima Suzuki"/>
        <s v="Felix Rodriguez"/>
        <s v="Ayumi Ferrari"/>
        <s v="Thomas Smith"/>
        <s v="Ali Rodriguez"/>
        <s v="Raj Martinez"/>
        <s v="Kenji Rossi"/>
        <s v="Mary Khan"/>
        <s v="Maria Tanaka"/>
        <s v="Zara Brown"/>
        <s v="Marco Moreau"/>
        <s v="Christopher Johansson"/>
        <s v="Susan Davis"/>
        <s v="Jamal Schmidt"/>
        <s v="Sarah Davis"/>
        <s v="Clara Smith"/>
        <s v="Robert Khan"/>
        <s v="Jennifer Russo"/>
        <s v="Yuki Costa"/>
        <s v="Amir Oliveira"/>
        <s v="Ivan Zhang"/>
        <s v="Sakura Martinez"/>
        <s v="Mary Davis"/>
        <s v="Karen Rossi"/>
        <s v="Chen Singh"/>
        <s v="Wei Müller"/>
        <s v="Raj Costa"/>
        <s v="Hanna Sato"/>
        <s v="Sarah Zhang"/>
        <s v="Linda Russo"/>
        <s v="Chen Laurent"/>
        <s v="David Anderson"/>
        <s v="Ayumi Tanaka"/>
        <s v="Susan Johansson"/>
        <s v="Mary Ferrari"/>
        <s v="Michael Harris"/>
        <s v="Priya Martin"/>
        <s v="Kenji Nilsson"/>
        <s v="Amir Hassan"/>
        <s v="Ahmed Garcia"/>
        <s v="Li Wang"/>
        <s v="Ava Martinez"/>
        <s v="Ahmed Clark"/>
        <s v="William Sharma"/>
        <s v="Felix Smith"/>
        <s v="Yuki Kumar"/>
        <s v="Jamal Rossi"/>
        <s v="Maria Sharma"/>
        <s v="Karen Martinez"/>
        <s v="Sakura Thomas"/>
        <s v="Hans Chen"/>
        <s v="Lucas Sharma"/>
        <s v="Giulia Leroy"/>
        <s v="Felix Yamamoto"/>
        <s v="Layla Khan"/>
        <s v="Ava Jones"/>
        <s v="Sakura Martin"/>
        <s v="Maria Laurent"/>
        <s v="Zara Suzuki"/>
        <s v="Zara Costa"/>
        <s v="Olga Kim"/>
        <s v="Hans Kim"/>
        <s v="Isabella White"/>
        <s v="Emma Oliveira"/>
        <s v="Michael Zhang"/>
        <s v="Hanna Ahmed"/>
        <s v="Patricia Müller"/>
        <s v="Kenji Zhang"/>
        <s v="Ayumi Martinez"/>
        <s v="Ayumi Nilsson"/>
        <s v="Mia Ali"/>
        <s v="Lucas Schmidt"/>
        <s v="Barbara Davis"/>
        <s v="Jessica Wang"/>
        <s v="Jamal Zhang"/>
        <s v="Felix Johansson"/>
        <s v="Priya Wang"/>
        <s v="Sophie Park"/>
        <s v="Ayumi Khan"/>
        <s v="Michael Davis"/>
        <s v="Felix Thompson"/>
        <s v="Hans Johnson"/>
        <s v="Jennifer Moreau"/>
        <s v="Mia Müller"/>
        <s v="Priya Martinez"/>
        <s v="Zara White"/>
        <s v="Felix Moreau"/>
        <s v="Ethan Hassan"/>
        <s v="Ingrid Schmidt"/>
        <s v="Mia Harris"/>
        <s v="Sophie Harris"/>
        <s v="Michael Hassan"/>
        <s v="Oscar Jones"/>
        <s v="Giulia Ali"/>
        <s v="Fatima Rossi"/>
        <s v="Yuki Patel"/>
        <s v="Mia Clark"/>
        <s v="Mary Smith"/>
        <s v="Ayumi Suzuki"/>
        <s v="Elizabeth Moreau"/>
        <s v="Jamal Martinez"/>
        <s v="Barbara Ali"/>
        <s v="Lucas Anderson"/>
        <s v="Omar Garcia"/>
        <s v="Clara Miller"/>
        <s v="David Harris"/>
        <s v="James Chen"/>
        <s v="Ahmed Harris"/>
        <s v="Elizabeth Ahmed"/>
        <s v="Fatima Kumar"/>
        <s v="Mia Martin"/>
        <s v="Robert Robinson"/>
        <s v="Liam Jones"/>
        <s v="Emma Johnson"/>
        <s v="Mia Santos"/>
        <s v="Susan Kim"/>
        <s v="Amir Khan"/>
        <s v="Barbara Leroy"/>
        <s v="Thomas Patel"/>
        <s v="Isabella Martin"/>
        <s v="Wei Chen"/>
        <s v="Karen Jackson"/>
        <s v="Felix Santos"/>
        <s v="Mia Weber"/>
        <s v="Jessica Anderson"/>
        <s v="Fatima Li"/>
        <s v="Pierre Yamamoto"/>
        <s v="Hanna Jones"/>
        <s v="Felix Park"/>
        <s v="Mia Ferrari"/>
        <s v="Omar Leroy"/>
        <s v="Carlos Smith"/>
        <s v="Barbara Russo"/>
        <s v="Fatima Singh"/>
        <s v="Olga Russo"/>
        <s v="Emma Pereira"/>
        <s v="Thomas Chen"/>
        <s v="Carlos Anderson"/>
        <s v="Ayumi Johnson"/>
        <s v="Hans Santos"/>
        <s v="Thomas Oliveira"/>
        <s v="Oscar Taylor"/>
        <s v="Emma Brown"/>
        <s v="Susan White"/>
        <s v="Nadia Weber"/>
        <s v="James Anderson"/>
        <s v="Olga Zhang"/>
        <s v="Nadia Santos"/>
        <s v="Lucas Kim"/>
        <s v="Hans Laurent"/>
        <s v="William Nilsson"/>
        <s v="James Sharma"/>
        <s v="Ava Ferrari"/>
        <s v="Priya Zhang"/>
        <s v="Richard Harris"/>
        <s v="Richard Ali"/>
        <s v="Richard Müller"/>
        <s v="Diego Johansson"/>
        <s v="Jamal Ferrari"/>
        <s v="Li Pereira"/>
        <s v="Olga Leroy"/>
        <s v="Michael Yamamoto"/>
        <s v="Michael Ferrari"/>
        <s v="Priya Park"/>
        <s v="Olga Hassan"/>
        <s v="Maria Schmidt"/>
        <s v="Maria Martinez"/>
        <s v="Hans Fischer"/>
        <s v="Lucas Chen"/>
        <s v="Priya Jones"/>
        <s v="Sophie Thomas"/>
        <s v="Jessica Sato"/>
        <s v="Giulia Brown"/>
        <s v="Li Taylor"/>
        <s v="Ahmed Miller"/>
        <s v="Barbara Thomas"/>
        <s v="Clara Oliveira"/>
        <s v="Carlos Wang"/>
        <s v="Li White"/>
        <s v="Felix Miller"/>
        <s v="Sakura Dubois"/>
        <s v="Barbara Suzuki"/>
        <s v="Zara Patel"/>
        <s v="Wei Johansson"/>
        <s v="Sarah Robinson"/>
        <s v="Omar Williams"/>
        <s v="Karen Moreau"/>
        <s v="Christopher Park"/>
        <s v="Kenji Jones"/>
        <s v="Marco Taylor"/>
        <s v="Li Yamamoto"/>
        <s v="Ava Fischer"/>
        <s v="Mia Smith"/>
        <s v="Ivan Anderson"/>
        <s v="Raj Thomas"/>
        <s v="Priya Chen"/>
        <s v="Kenji Romano"/>
        <s v="Pierre Fischer"/>
        <s v="Ali Miller"/>
        <s v="John Robinson"/>
        <s v="Wei Sato"/>
        <s v="Amir Garcia"/>
        <s v="Layla Santos"/>
        <s v="Christopher Taylor"/>
        <s v="Chen Thompson"/>
        <s v="Barbara Sharma"/>
        <s v="Diego Jackson"/>
        <s v="Ayumi Ahmed"/>
        <s v="Fatima Laurent"/>
        <s v="Olivia Kumar"/>
        <s v="Raj Rossi"/>
        <s v="Patricia Dubois"/>
        <s v="Robert Jackson"/>
        <s v="Jennifer Costa"/>
        <s v="Ivan Li"/>
        <s v="Nadia Brown"/>
        <s v="Emma Johansson"/>
        <s v="Diego Schmidt"/>
        <s v="Clara Jackson"/>
        <s v="Jamal Clark"/>
        <s v="Lucas Khan"/>
        <s v="Chen Romano"/>
        <s v="Sophie Yamamoto"/>
        <s v="Ahmed Taylor"/>
        <s v="Zara Rodriguez"/>
        <s v="Clara Santos"/>
        <s v="Hanna Davis"/>
        <s v="Barbara Rossi"/>
        <s v="Oscar Santos"/>
        <s v="Patricia Chen"/>
        <s v="Ahmed Dubois"/>
        <s v="Kenji Robinson"/>
        <s v="Robert Sharma"/>
        <s v="Chen Smith"/>
        <s v="Kenji Leroy"/>
        <s v="Richard Li"/>
        <s v="Karen Anderson"/>
        <s v="Zara Kim"/>
        <s v="Jennifer Nilsson"/>
        <s v="Christopher Harris"/>
        <s v="Marco Martin"/>
        <s v="Emma Zhang"/>
        <s v="David Smith"/>
        <s v="Wei Romano"/>
        <s v="Zara Ferrari"/>
        <s v="Hans Yamamoto"/>
        <s v="Nadia Costa"/>
        <s v="Mia Sharma"/>
        <s v="William Hassan"/>
        <s v="Ali Johansson"/>
        <s v="Amir Chen"/>
        <s v="Ethan Park"/>
        <s v="Christopher Robinson"/>
        <s v="Noah Khan"/>
        <s v="Linda Smith"/>
        <s v="Isabella Jackson"/>
        <s v="Sarah Kim"/>
        <s v="James Suzuki"/>
        <s v="Wei Harris"/>
        <s v="Thomas Li"/>
        <s v="Michael Khan"/>
        <s v="Isabella Ahmed"/>
        <s v="Felix Hassan"/>
        <s v="Amir Thompson"/>
        <s v="Chen Miller"/>
        <s v="Priya Jackson"/>
        <s v="Karen Wang"/>
        <s v="Carlos Dubois"/>
        <s v="Raj Chen"/>
        <s v="Xiao Taylor"/>
        <s v="Fatima Jackson"/>
        <s v="William Clark"/>
        <s v="Ayumi Robinson"/>
        <s v="Mary Johansson"/>
        <s v="Michael Martin"/>
        <s v="Karen Sato"/>
        <s v="Isabella Kumar"/>
        <s v="Carlos Rodriguez"/>
        <s v="James Tanaka"/>
        <s v="Priya Thomas"/>
        <s v="Olga Nilsson"/>
        <s v="Olga Patel"/>
        <s v="Priya Schmidt"/>
        <s v="Noah Jones"/>
        <s v="Oscar Schmidt"/>
        <s v="Marco Harris"/>
        <s v="Giulia Johnson"/>
        <s v="Robert Smith"/>
        <s v="Ingrid Khan"/>
        <s v="Lucas White"/>
        <s v="Nadia Jackson"/>
        <s v="Chen Jones"/>
        <s v="Susan Miller"/>
        <s v="Ahmed Thompson"/>
        <s v="Diego Kim"/>
        <s v="Giulia Dubois"/>
        <s v="Carlos Schmidt"/>
        <s v="Oscar Johnson"/>
        <s v="Jennifer Garcia"/>
        <s v="Noah Santos"/>
        <s v="Elizabeth Harris"/>
        <s v="Ali Jones"/>
        <s v="Jamal Harris"/>
        <s v="Elizabeth Williams"/>
        <s v="Lucas Suzuki"/>
        <s v="Clara Nilsson"/>
        <s v="Ali Harris"/>
        <s v="Hans Singh"/>
        <s v="Olga Schmidt"/>
        <s v="David Thompson"/>
        <s v="Priya Ali"/>
        <s v="Jamal Jones"/>
        <s v="Thomas Thompson"/>
        <s v="Fatima Costa"/>
        <s v="Diego Davis"/>
        <s v="Omar Müller"/>
        <s v="Mary Weber"/>
        <s v="Amina Johansson"/>
        <s v="Liam Clark"/>
        <s v="Ethan Chen"/>
        <s v="Clara Williams"/>
        <s v="Christopher Davis"/>
        <s v="James Taylor"/>
        <s v="Chen Johnson"/>
        <s v="Fatima Smith"/>
        <s v="Lucas Jones"/>
        <s v="Karen Thomas"/>
        <s v="Priya Nilsson"/>
        <s v="Elizabeth Sato"/>
        <s v="Sakura Jones"/>
        <s v="Xiao Smith"/>
        <s v="Robert Park"/>
        <s v="Joseph Johnson"/>
        <s v="Liam Wang"/>
        <s v="Olivia Sharma"/>
        <s v="William Martinez"/>
        <s v="Felix Costa"/>
        <s v="Noah Smith"/>
        <s v="Olivia Moreau"/>
        <s v="Noah Oliveira"/>
        <s v="Noah Russo"/>
        <s v="Amir Singh"/>
        <s v="Mary Miller"/>
        <s v="Olivia Rossi"/>
        <s v="Wei Li"/>
        <s v="Sakura Rodriguez"/>
        <s v="Christopher Rossi"/>
        <s v="Michael Rodriguez"/>
        <s v="Hans Anderson"/>
        <s v="Liam Johansson"/>
        <s v="James Schmidt"/>
        <s v="Wei Yamamoto"/>
        <s v="Linda Brown"/>
        <s v="Jamal Ahmed"/>
        <s v="Ahmed Singh"/>
        <s v="Pierre Wang"/>
        <s v="Ivan Davis"/>
        <s v="Giulia Taylor"/>
        <s v="Hanna Rossi"/>
        <s v="William Kim"/>
        <s v="Giulia Pereira"/>
        <s v="Barbara Hassan"/>
        <s v="Karen Zhang"/>
        <s v="Clara Clark"/>
        <s v="Oscar White"/>
        <s v="John Brown"/>
        <s v="Amina Ali"/>
        <s v="Oscar Thomas"/>
        <s v="Karen Russo"/>
        <s v="Susan Wang"/>
        <s v="Fatima Patel"/>
        <s v="Ethan Kim"/>
        <s v="Kenji Suzuki"/>
        <s v="Wei Santos"/>
        <s v="Liam Pereira"/>
        <s v="Ava Clark"/>
        <s v="Mary Hassan"/>
        <s v="Barbara Jones"/>
        <s v="Christopher Williams"/>
        <s v="Priya Weber"/>
        <s v="Patricia Jackson"/>
        <s v="Xiao Laurent"/>
        <s v="Jamal Leroy"/>
        <s v="Liam Ali"/>
        <s v="Ivan Pereira"/>
        <s v="Omar Singh"/>
        <s v="Ethan Rodriguez"/>
        <s v="Pierre Romano"/>
        <s v="Omar Park"/>
        <s v="Richard Tanaka"/>
        <s v="Ayumi Martin"/>
        <s v="Omar Hassan"/>
        <s v="Giulia Anderson"/>
        <s v="Chen Rodriguez"/>
        <s v="Mia Davis"/>
        <s v="Isabella Taylor"/>
        <s v="Mary Martin"/>
        <s v="Mary Chen"/>
        <s v="Clara Tanaka"/>
        <s v="Clara Robinson"/>
        <s v="Michael Ali"/>
        <s v="Yuki Zhang"/>
        <s v="David Clark"/>
        <s v="John Laurent"/>
        <s v="Ethan Yamamoto"/>
        <s v="Noah Taylor"/>
        <s v="Hans Smith"/>
        <s v="Yuki Rodriguez"/>
        <s v="Sarah Jackson"/>
        <s v="Thomas Santos"/>
        <s v="Chen Patel"/>
        <s v="Maria Rodriguez"/>
        <s v="Olga Taylor"/>
        <s v="Omar Russo"/>
        <s v="Sakura Ali"/>
        <s v="Marco Sato"/>
        <s v="Sophie Brown"/>
        <s v="Diego Harris"/>
        <s v="Noah Moreau"/>
        <s v="Chen Garcia"/>
        <s v="Fatima Wang"/>
        <s v="Hanna Santos"/>
        <s v="Ingrid Weber"/>
        <s v="Ali Johnson"/>
        <s v="Hanna Khan"/>
        <s v="Liam Laurent"/>
        <s v="Elizabeth Martin"/>
        <s v="Joseph Martinez"/>
        <s v="Michael Li"/>
        <s v="Lucas Thomas"/>
        <s v="Ahmed Sharma"/>
        <s v="Kenji Taylor"/>
        <s v="James Clark"/>
        <s v="Xiao Wang"/>
        <s v="Layla Fischer"/>
        <s v="Sarah Khan"/>
        <s v="Lucas Leroy"/>
        <s v="Jessica Tanaka"/>
        <s v="Sarah Thompson"/>
        <s v="Isabella Patel"/>
        <s v="Lucas Oliveira"/>
        <s v="Olivia Ferrari"/>
        <s v="Xiao Ferrari"/>
        <s v="Marco Nilsson"/>
        <s v="John Patel"/>
        <s v="Ayumi Ali"/>
        <s v="Sophie Clark"/>
        <s v="Priya Garcia"/>
        <s v="Emma Martinez"/>
        <s v="Fatima Martin"/>
        <s v="Jamal Robinson"/>
        <s v="Carlos Santos"/>
        <s v="Omar Li"/>
        <s v="Noah Johansson"/>
        <s v="Hanna Yamamoto"/>
        <s v="William Yamamoto"/>
        <s v="Joseph Leroy"/>
        <s v="Giulia Khan"/>
        <s v="Diego Pereira"/>
        <s v="Raj Oliveira"/>
        <s v="Ayumi Garcia"/>
        <s v="Felix Kim"/>
        <s v="Zara Moreau"/>
        <s v="Richard Romano"/>
        <s v="Patricia Kim"/>
        <s v="Patricia Martinez"/>
        <s v="Richard Moreau"/>
        <s v="Hanna Kumar"/>
        <s v="Jessica Müller"/>
        <s v="Sarah Li"/>
        <s v="Ingrid Moreau"/>
        <s v="Robert Taylor"/>
        <s v="Layla Oliveira"/>
        <s v="Sophie Martinez"/>
        <s v="Liam Davis"/>
        <s v="Christopher Thompson"/>
        <s v="Olga Müller"/>
        <s v="James Harris"/>
        <s v="Isabella Li"/>
        <s v="Oscar Thompson"/>
        <s v="Amir Park"/>
        <s v="Ethan Clark"/>
        <s v="Barbara Weber"/>
        <s v="Susan Jackson"/>
        <s v="Maria Costa"/>
        <s v="Joseph Chen"/>
        <s v="Robert Clark"/>
        <s v="Jessica Weber"/>
        <s v="Li Sharma"/>
        <s v="Sarah Tanaka"/>
        <s v="Susan Weber"/>
        <s v="Nadia Tanaka"/>
        <s v="Michael Sato"/>
        <s v="Felix Müller"/>
        <s v="Thomas Rodriguez"/>
        <s v="Karen Robinson"/>
        <s v="Elizabeth Fischer"/>
        <s v="Fatima Williams"/>
        <s v="Layla Anderson"/>
        <s v="Ali Li"/>
        <s v="Fatima Kim"/>
        <s v="Elizabeth Johansson"/>
        <s v="Sarah Suzuki"/>
        <s v="Susan Chen"/>
        <s v="Kenji Martin"/>
        <s v="Zara Miller"/>
        <s v="Diego Jones"/>
        <s v="Fatima Brown"/>
        <s v="Hanna Johnson"/>
        <s v="Ahmed Pereira"/>
        <s v="Fatima Yamamoto"/>
        <s v="Joseph Romano"/>
        <s v="Sarah Sharma"/>
        <s v="Linda Laurent"/>
        <s v="Diego Robinson"/>
        <s v="Ethan Wang"/>
        <s v="Wei Smith"/>
        <s v="Jennifer Kim"/>
        <s v="Jessica Park"/>
        <s v="Emma Jackson"/>
        <s v="Zara Nilsson"/>
        <s v="Priya Leroy"/>
        <s v="Christopher Leroy"/>
        <s v="Jennifer Romano"/>
        <s v="Felix Laurent"/>
        <s v="Raj Anderson"/>
        <s v="Giulia Rossi"/>
        <s v="Kenji Moreau"/>
        <s v="Karen Khan"/>
        <s v="Olga Thompson"/>
        <s v="Wei Fischer"/>
        <s v="Ali Romano"/>
        <s v="Omar Costa"/>
        <s v="Diego Hassan"/>
        <s v="Xiao Rodriguez"/>
        <s v="Ethan Khan"/>
        <s v="Oscar Costa"/>
        <s v="Jessica Hassan"/>
        <s v="Linda Kumar"/>
        <s v="Isabella Harris"/>
        <s v="Joseph Suzuki"/>
        <s v="Xiao Harris"/>
        <s v="Pierre Leroy"/>
        <s v="Susan Leroy"/>
        <s v="Christopher Khan"/>
        <s v="Ivan Jones"/>
        <s v="Fatima Ferrari"/>
        <s v="Amir Laurent"/>
        <s v="Zara Leroy"/>
        <s v="Chen Nilsson"/>
        <s v="Emma Sharma"/>
        <s v="Isabella Rossi"/>
        <s v="Hans Martin"/>
        <s v="Jennifer Santos"/>
        <s v="Nadia Rossi"/>
        <s v="John Ferrari"/>
        <s v="Thomas Ferrari"/>
        <s v="Amina Jones"/>
        <s v="Richard Yamamoto"/>
        <s v="Lucas Li"/>
        <s v="William Miller"/>
        <s v="Wei Hassan"/>
        <s v="Olivia Laurent"/>
        <s v="Raj Khan"/>
        <s v="Ava Garcia"/>
        <s v="Ayumi Kumar"/>
        <s v="Elizabeth Weber"/>
        <s v="Liam Costa"/>
        <s v="Elizabeth Dubois"/>
        <s v="Robert Dubois"/>
        <s v="Liam Rossi"/>
        <s v="David White"/>
        <s v="Oscar Martinez"/>
        <s v="Hans Robinson"/>
        <s v="Carlos Ali"/>
        <s v="Isabella Johansson"/>
        <s v="Ava Li"/>
        <s v="Noah Chen"/>
        <s v="Giulia Williams"/>
        <s v="Sophie Miller"/>
        <s v="Linda Martin"/>
        <s v="Karen Smith"/>
        <s v="William Chen"/>
        <s v="Diego Anderson"/>
        <s v="Ingrid Zhang"/>
        <s v="Kenji Schmidt"/>
        <s v="Mary Laurent"/>
        <s v="Maria Miller"/>
        <s v="Amina Taylor"/>
        <s v="Zara Smith"/>
        <s v="Diego Thomas"/>
        <s v="Isabella Johnson"/>
        <s v="Sarah Rossi"/>
        <s v="Felix Davis"/>
        <s v="Hans Rossi"/>
        <s v="James Ferrari"/>
        <s v="David Leroy"/>
        <s v="Ava Yamamoto"/>
        <s v="Priya Costa"/>
        <s v="Olivia Patel"/>
        <s v="Liam Romano"/>
        <s v="Olga Davis"/>
        <s v="Noah Ali"/>
        <s v="Isabella Anderson"/>
        <s v="Raj Singh"/>
        <s v="Ali Weber"/>
        <s v="John Miller"/>
        <s v="Ahmed Jackson"/>
        <s v="Hanna Dubois"/>
        <s v="Priya Li"/>
        <s v="Priya Johansson"/>
        <s v="Sarah Johnson"/>
        <s v="James Li"/>
        <s v="Olga Pereira"/>
        <s v="Chen Johansson"/>
        <s v="Jamal Patel"/>
        <s v="Diego Nilsson"/>
        <s v="Jessica Kim"/>
        <s v="Olga Ahmed"/>
        <s v="Hans Costa"/>
        <s v="Carlos Ahmed"/>
        <s v="Hanna Taylor"/>
        <s v="Linda Müller"/>
        <s v="Priya Smith"/>
        <s v="William Ahmed"/>
        <s v="Nadia Martin"/>
        <s v="Jennifer Khan"/>
        <s v="Maria Khan"/>
        <s v="Olivia Miller"/>
        <s v="Ivan Dubois"/>
        <s v="Thomas Miller"/>
        <s v="Felix Taylor"/>
        <s v="Ivan Smith"/>
        <s v="Susan Zhang"/>
        <s v="Yuki Chen"/>
        <s v="James Kumar"/>
        <s v="Zara Müller"/>
        <s v="Richard Rodriguez"/>
        <s v="Noah Leroy"/>
        <s v="Kenji White"/>
        <s v="Nadia Zhang"/>
        <s v="Liam Tanaka"/>
        <s v="Clara Rodriguez"/>
        <s v="Oscar Pereira"/>
        <s v="Oscar Khan"/>
        <s v="Clara Sato"/>
        <s v="Thomas Suzuki"/>
        <s v="Mary Russo"/>
        <s v="Fatima Jones"/>
        <s v="Ayumi White"/>
        <s v="Kenji Dubois"/>
        <s v="Marco Sharma"/>
        <s v="Yuki Ferrari"/>
        <s v="Hans Patel"/>
        <s v="Priya Laurent"/>
        <s v="Yuki Martin"/>
        <s v="Hans Martinez"/>
        <s v="John Zhang"/>
        <s v="Jennifer Ali"/>
        <s v="Jennifer Martinez"/>
        <s v="Marco Hassan"/>
        <s v="Maria Zhang"/>
        <s v="Patricia Khan"/>
        <s v="Lucas Rodriguez"/>
        <s v="Li Laurent"/>
        <s v="Elizabeth Singh"/>
        <s v="Olivia Anderson"/>
        <s v="Hanna Leroy"/>
        <s v="Chen Santos"/>
        <s v="Oscar Wang"/>
        <s v="Maria Ferrari"/>
        <s v="Jennifer Tanaka"/>
        <s v="Susan Li"/>
        <s v="Patricia Clark"/>
        <s v="Kenji Davis"/>
        <s v="Sarah Chen"/>
        <s v="Michael Garcia"/>
        <s v="Noah Clark"/>
        <s v="Priya Rodriguez"/>
        <s v="Sakura Smith"/>
        <s v="Nadia Harris"/>
        <s v="Carlos Martinez"/>
        <s v="Clara Johnson"/>
        <s v="Elizabeth Sharma"/>
        <s v="Olivia Sato"/>
        <s v="William Smith"/>
        <s v="Emma Moreau"/>
        <s v="Layla Park"/>
        <s v="James Wang"/>
        <s v="Nadia Johansson"/>
        <s v="Hanna Müller"/>
        <s v="Hanna Brown"/>
        <s v="Noah Müller"/>
        <s v="Barbara Sato"/>
        <s v="Wei Jones"/>
        <s v="Ivan Patel"/>
        <s v="Giulia Nilsson"/>
        <s v="Nadia Romano"/>
        <s v="Chen Dubois"/>
        <s v="Hans Harris"/>
        <s v="Xiao Ali"/>
        <s v="Jessica Patel"/>
        <s v="Patricia Rossi"/>
        <s v="Oscar Kim"/>
        <s v="Nadia Laurent"/>
        <s v="Fatima Fischer"/>
        <s v="Sarah Moreau"/>
        <s v="Jessica Costa"/>
        <s v="Isabella Yamamoto"/>
        <s v="Ayumi Miller"/>
        <s v="Karen Tanaka"/>
        <s v="Emma Kim"/>
        <s v="Noah Martinez"/>
        <s v="Jennifer Ferrari"/>
        <s v="Raj Li"/>
        <s v="Chen Martin"/>
        <s v="Olivia Nilsson"/>
        <s v="Olivia Robinson"/>
        <s v="Susan Hassan"/>
        <s v="Richard Kumar"/>
        <s v="Amir Wang"/>
        <s v="Marco Weber"/>
        <s v="Michael Sharma"/>
        <s v="Richard Garcia"/>
        <s v="Olga Anderson"/>
        <s v="Robert Schmidt"/>
        <s v="Michael Taylor"/>
        <s v="Sakura Oliveira"/>
        <s v="Hans Kumar"/>
        <s v="Hans Müller"/>
        <s v="Clara Singh"/>
        <s v="Ahmed Johansson"/>
        <s v="Wei Johnson"/>
        <s v="Zara Chen"/>
        <s v="Michael Kim"/>
        <s v="Amina Clark"/>
        <s v="Robert Chen"/>
        <s v="Ali Thomas"/>
        <s v="Layla Kumar"/>
        <s v="Karen Nilsson"/>
        <s v="Priya Brown"/>
        <s v="Isabella Laurent"/>
        <s v="Barbara Nilsson"/>
        <s v="Ahmed Santos"/>
        <s v="Sophie White"/>
        <s v="Ali Wang"/>
        <s v="Omar Fischer"/>
        <s v="Felix White"/>
        <s v="Layla Li"/>
        <s v="Kenji Sharma"/>
        <s v="Ethan Li"/>
        <s v="Linda Sato"/>
        <s v="Ali Dubois"/>
        <s v="Clara Romano"/>
        <s v="Priya Williams"/>
        <s v="Lucas Brown"/>
        <s v="Wei Rodriguez"/>
        <s v="Carlos Robinson"/>
        <s v="Jessica Martin"/>
        <s v="Jamal Khan"/>
        <s v="Lucas Russo"/>
        <s v="Amir Li"/>
        <s v="Wei Martinez"/>
        <s v="Patricia Weber"/>
        <s v="Olivia Williams"/>
        <s v="Amina Harris"/>
        <s v="Amir Yamamoto"/>
        <s v="Wei Patel"/>
        <s v="Layla Thomas"/>
        <s v="Maria Anderson"/>
        <s v="Kenji Anderson"/>
        <s v="Raj Rodriguez"/>
        <s v="Jessica Yamamoto"/>
        <s v="Ava Harris"/>
        <s v="James Ahmed"/>
        <s v="Priya Kumar"/>
        <s v="Ethan Kumar"/>
        <s v="Ingrid Müller"/>
        <s v="Karen Ferrari"/>
        <s v="Sophie Schmidt"/>
        <s v="Hanna Robinson"/>
        <s v="Jessica Russo"/>
        <s v="Mary Garcia"/>
        <s v="Robert Thompson"/>
        <s v="Sophie Martin"/>
        <s v="Mia Jones"/>
        <s v="Olivia Wang"/>
        <s v="Emma Dubois"/>
        <s v="Richard Brown"/>
        <s v="Marco Santos"/>
        <s v="David Laurent"/>
        <s v="James Brown"/>
        <s v="Oscar Anderson"/>
        <s v="Amina Russo"/>
        <s v="Jamal Williams"/>
        <s v="James White"/>
        <s v="William Ferrari"/>
        <s v="Olivia Davis"/>
        <s v="Richard Johnson"/>
        <s v="Lucas Williams"/>
        <s v="Emma Nilsson"/>
        <s v="Omar Nilsson"/>
        <s v="Yuki Johnson"/>
        <s v="Giulia Miller"/>
        <s v="Hanna Kim"/>
        <s v="Emma Weber"/>
        <s v="Susan Kumar"/>
        <s v="Sophie Weber"/>
        <s v="Li Khan"/>
        <s v="Nadia Pereira"/>
        <s v="Wei Taylor"/>
        <s v="Joseph Johansson"/>
        <s v="Xiao Kumar"/>
        <s v="Wei Costa"/>
        <s v="Elizabeth Taylor"/>
        <s v="Emma Tanaka"/>
        <s v="Olga Romano"/>
        <s v="Olga Robinson"/>
        <s v="Joseph Russo"/>
        <s v="Chen Tanaka"/>
        <s v="Olivia Pereira"/>
        <s v="Yuki Thompson"/>
        <s v="Liam Kim"/>
        <s v="Linda Suzuki"/>
        <s v="Pierre Jackson"/>
        <s v="Barbara Dubois"/>
        <s v="Xiao Johnson"/>
        <s v="Carlos Thompson"/>
        <s v="Olga Suzuki"/>
        <s v="Ali Sato"/>
        <s v="Ethan Johnson"/>
        <s v="Ava Patel"/>
        <s v="Sakura Müller"/>
        <s v="Nadia Anderson"/>
        <s v="Oscar Miller"/>
        <s v="Nadia Davis"/>
        <s v="Maria Hassan"/>
        <s v="Sophie Li"/>
        <s v="Hans Schmidt"/>
        <s v="Maria Weber"/>
        <s v="Priya Robinson"/>
        <s v="Fatima Robinson"/>
        <s v="Joseph Singh"/>
        <s v="Maria Rossi"/>
        <s v="Raj Weber"/>
        <s v="Omar Rodriguez"/>
        <s v="Ayumi Moreau"/>
        <s v="Sarah Clark"/>
        <s v="Li Oliveira"/>
        <s v="Pierre Weber"/>
        <s v="Felix Ahmed"/>
        <s v="Mary Clark"/>
        <s v="Li Rossi"/>
        <s v="Christopher Brown"/>
        <s v="Ingrid Davis"/>
        <s v="Priya Oliveira"/>
        <s v="Hanna White"/>
        <s v="Michael Schmidt"/>
        <s v="Ivan Ahmed"/>
        <s v="Ayumi Harris"/>
        <s v="Pierre Rodriguez"/>
        <s v="Amina Romano"/>
        <s v="Mia White"/>
        <s v="Ali Oliveira"/>
        <s v="David Garcia"/>
        <s v="Li Davis"/>
        <s v="Mary Rodriguez"/>
        <s v="Mia Romano"/>
        <s v="Clara Leroy"/>
        <s v="Linda Patel"/>
        <s v="Hans White"/>
        <s v="Christopher Schmidt"/>
        <s v="William Moreau"/>
        <s v="Felix Romano"/>
        <s v="Hanna Ali"/>
        <s v="Susan Schmidt"/>
        <s v="Amir Ali"/>
        <s v="Hans Hassan"/>
        <s v="Layla Zhang"/>
        <s v="Sarah Harris"/>
        <s v="Noah Hassan"/>
        <s v="Amir Smith"/>
        <s v="Chen Anderson"/>
        <s v="Raj Patel"/>
        <s v="Mary Oliveira"/>
        <s v="Ivan Martinez"/>
        <s v="Nadia Wang"/>
        <s v="Jessica Suzuki"/>
        <s v="Priya Ferrari"/>
        <s v="Raj Santos"/>
        <s v="Thomas Wang"/>
        <s v="Zara Anderson"/>
        <s v="Jennifer Anderson"/>
        <s v="Emma Suzuki"/>
        <s v="Sarah Patel"/>
        <s v="Lucas Moreau"/>
        <s v="Richard Patel"/>
        <s v="Karen Hassan"/>
        <s v="Wei Suzuki"/>
        <s v="Thomas Yamamoto"/>
        <s v="Jamal Sharma"/>
        <s v="Lucas Laurent"/>
        <s v="Xiao Romano"/>
        <s v="Amina Thomas"/>
        <s v="Olga Li"/>
        <s v="Kenji Wang"/>
        <s v="Jamal Nilsson"/>
        <s v="Sophie Williams"/>
        <s v="Ahmed Anderson"/>
        <s v="Felix Schmidt"/>
        <s v="Ingrid Martin"/>
        <s v="Yuki Kim"/>
        <s v="Amina Wang"/>
        <s v="Richard Costa"/>
        <s v="Oscar Johansson"/>
        <s v="Ingrid Laurent"/>
        <s v="Hans Park"/>
        <s v="Wei Thompson"/>
        <s v="Ethan Williams"/>
        <s v="Ali Patel"/>
        <s v="Noah Dubois"/>
        <s v="Ivan Müller"/>
        <s v="Jessica Williams"/>
        <s v="Clara Schmidt"/>
        <s v="Pierre Patel"/>
        <s v="Olivia Garcia"/>
        <s v="David Suzuki"/>
        <s v="Christopher Müller"/>
        <s v="William Robinson"/>
        <s v="Omar Weber"/>
        <s v="Linda Fischer"/>
        <s v="Ivan Thomas"/>
        <s v="Layla Johansson"/>
        <s v="Liam Nilsson"/>
        <s v="Elizabeth Chen"/>
        <s v="Linda Santos"/>
        <s v="Ingrid White"/>
        <s v="Amir Moreau"/>
        <s v="Isabella Ferrari"/>
        <s v="Xiao Martin"/>
        <s v="Oscar Williams"/>
        <s v="Ayumi Thomas"/>
        <s v="Jamal Pereira"/>
        <s v="William Romano"/>
        <s v="Zara Harris"/>
        <s v="Pierre Smith"/>
        <s v="Zara Clark"/>
        <s v="Carlos Yamamoto"/>
        <s v="Yuki Pereira"/>
        <s v="Carlos Ferrari"/>
        <s v="Diego Miller"/>
        <s v="Robert Garcia"/>
        <s v="Sakura Garcia"/>
        <s v="Maria Thomas"/>
        <s v="Omar Dubois"/>
        <s v="Sarah Miller"/>
        <s v="Mia Chen"/>
        <s v="Isabella Jones"/>
        <s v="Pierre Jones"/>
        <s v="Karen Ali"/>
        <s v="Amir Anderson"/>
        <s v="Jennifer Yamamoto"/>
        <s v="Olivia Jones"/>
        <s v="Carlos Patel"/>
        <s v="Olivia Johnson"/>
        <s v="Robert Leroy"/>
        <s v="Michael Tanaka"/>
        <s v="Lucas Nilsson"/>
        <s v="Omar Thompson"/>
        <s v="Raj Thompson"/>
        <s v="Layla Romano"/>
        <s v="Ivan Williams"/>
        <s v="Nadia Taylor"/>
        <s v="John Suzuki"/>
        <s v="Emma Müller"/>
        <s v="Mia Costa"/>
        <s v="Zara Thomas"/>
        <s v="Giulia Yamamoto"/>
        <s v="Hans Miller"/>
        <s v="Liam Schmidt"/>
        <s v="John Wang"/>
        <s v="Layla Patel"/>
        <s v="Linda Weber"/>
        <s v="Yuki Sharma"/>
        <s v="Maria Yamamoto"/>
        <s v="Omar Jackson"/>
        <s v="Nadia Martinez"/>
        <s v="Raj Schmidt"/>
        <s v="Li Miller"/>
        <s v="Richard Santos"/>
        <s v="Jessica Taylor"/>
        <s v="Patricia Santos"/>
        <s v="Linda Rodriguez"/>
        <s v="Wei Khan"/>
        <s v="Isabella Schmidt"/>
        <s v="Maria Johnson"/>
        <s v="Sophie Johansson"/>
        <s v="Li Müller"/>
        <s v="Lucas Park"/>
        <s v="Ivan Romano"/>
        <s v="Thomas Johnson"/>
        <s v="Zara Hassan"/>
        <s v="Thomas Jackson"/>
        <s v="Ingrid Martinez"/>
        <s v="Elizabeth Patel"/>
        <s v="Susan Patel"/>
        <s v="Hanna Thomas"/>
        <s v="Richard Jackson"/>
        <s v="Giulia Li"/>
        <s v="David Rodriguez"/>
        <s v="Hanna Weber"/>
        <s v="Ava Miller"/>
        <s v="Marco Rodriguez"/>
        <s v="Omar Thomas"/>
        <s v="Barbara Miller"/>
        <s v="Mary White"/>
        <s v="Raj Sato"/>
        <s v="Layla Garcia"/>
        <s v="David Schmidt"/>
        <s v="Priya Sato"/>
        <s v="Carlos Davis"/>
        <s v="Barbara Moreau"/>
        <s v="Christopher Fischer"/>
        <s v="Ingrid Sato"/>
        <s v="Zara Fischer"/>
        <s v="Sakura Ahmed"/>
        <s v="Elizabeth Johnson"/>
        <s v="Ethan Sato"/>
        <s v="Elizabeth Wang"/>
        <s v="Mia Laurent"/>
        <s v="Linda Thompson"/>
        <s v="Fatima Zhang"/>
        <s v="Mary Fischer"/>
        <s v="Hanna Sharma"/>
        <s v="Ayumi Laurent"/>
        <s v="Noah Ferrari"/>
        <s v="Thomas Costa"/>
        <s v="Wei Wang"/>
        <s v="Ali Hassan"/>
        <s v="Layla Williams"/>
        <s v="Wei Moreau"/>
        <s v="Omar Yamamoto"/>
        <s v="Nadia Dubois"/>
        <s v="Zara Williams"/>
        <s v="Joseph Ali"/>
        <s v="Ahmed Tanaka"/>
        <s v="Ivan Robinson"/>
        <s v="Christopher Miller"/>
        <s v="Pierre Hassan"/>
        <s v="Sophie Kim"/>
        <s v="Amir Johansson"/>
        <s v="Lucas Müller"/>
        <s v="James Oliveira"/>
        <s v="Sophie Pereira"/>
        <s v="Oscar Zhang"/>
        <s v="Carlos Sharma"/>
        <s v="Ivan Martin"/>
        <s v="Raj Johnson"/>
        <s v="Olivia Zhang"/>
        <s v="Ava Rodriguez"/>
        <s v="James Ali"/>
        <s v="Liam Patel"/>
        <s v="Ethan Moreau"/>
        <s v="Maria Suzuki"/>
        <s v="Jessica Moreau"/>
        <s v="Sarah Santos"/>
        <s v="James Johansson"/>
        <s v="Yuki Thomas"/>
        <s v="Clara Garcia"/>
        <s v="Lucas Sato"/>
        <s v="Ingrid Yamamoto"/>
        <s v="Xiao Robinson"/>
        <s v="Wei Ali"/>
        <s v="Jamal Wang"/>
        <s v="Ivan Moreau"/>
        <s v="Sarah Johansson"/>
        <s v="Linda Harris"/>
        <s v="Ivan Park"/>
        <s v="Elizabeth Leroy"/>
        <s v="Jennifer Zhang"/>
        <s v="Mia Li"/>
        <s v="Ahmed Ali"/>
        <s v="Ahmed Thomas"/>
        <s v="Ahmed Johnson"/>
        <s v="Barbara Johnson"/>
        <s v="Jessica Nilsson"/>
        <s v="Zara Weber"/>
        <s v="Ivan Ali"/>
        <s v="Ava Rossi"/>
        <s v="Ayumi Taylor"/>
        <s v="Clara Müller"/>
        <s v="Clara Ali"/>
        <s v="Ingrid Santos"/>
        <s v="Patricia Costa"/>
        <s v="Liam Russo"/>
        <s v="Karen Romano"/>
        <s v="Richard Park"/>
        <s v="Jamal Chen"/>
        <s v="Nadia Robinson"/>
        <s v="Giulia Johansson"/>
        <s v="Pierre Ahmed"/>
        <s v="Zara Davis"/>
        <s v="Liam Taylor"/>
        <s v="Jamal Taylor"/>
        <s v="Layla Ahmed"/>
        <s v="David Rossi"/>
        <s v="Thomas Thomas"/>
        <s v="Oscar Nilsson"/>
        <s v="Nadia Oliveira"/>
        <s v="Sakura Costa"/>
        <s v="Richard Rossi"/>
        <s v="Jamal Kim"/>
        <s v="Sophie Ahmed"/>
        <s v="Christopher Jackson"/>
        <s v="Barbara Khan"/>
        <s v="Clara Laurent"/>
        <s v="Liam Rodriguez"/>
        <s v="Marco Kim"/>
        <s v="Robert Rodriguez"/>
        <s v="Michael Nilsson"/>
        <s v="Ali Leroy"/>
        <s v="Amir Rodriguez"/>
        <s v="Karen Santos"/>
        <s v="Patricia Ferrari"/>
        <s v="Robert Harris"/>
        <s v="Christopher Martinez"/>
        <s v="Giulia Rodriguez"/>
        <s v="Thomas Laurent"/>
        <s v="Isabella Tanaka"/>
        <s v="Barbara Singh"/>
        <s v="Raj Garcia"/>
        <s v="Isabella Davis"/>
        <s v="Mary Patel"/>
        <s v="Christopher Clark"/>
        <s v="Marco Davis"/>
        <s v="Maria Moreau"/>
        <s v="James Patel"/>
        <s v="Priya Singh"/>
        <s v="Ayumi Smith"/>
        <s v="Emma Clark"/>
        <s v="Li Harris"/>
        <s v="Noah Suzuki"/>
        <s v="Robert Wang"/>
        <s v="Ayumi Pereira"/>
        <s v="Chen Rossi"/>
        <s v="Kenji Smith"/>
        <s v="Patricia Park"/>
        <s v="Li Suzuki"/>
        <s v="Jessica Schmidt"/>
        <s v="Thomas Tanaka"/>
        <s v="Sakura Harris"/>
        <s v="Richard Dubois"/>
        <s v="Raj Yamamoto"/>
        <s v="Amir Taylor"/>
        <s v="Clara Costa"/>
        <s v="Elizabeth Schmidt"/>
        <s v="Ahmed Smith"/>
        <s v="Jamal Singh"/>
        <s v="Ayumi Clark"/>
        <s v="Lucas Yamamoto"/>
        <s v="Ingrid Williams"/>
        <s v="Jennifer Thomas"/>
        <s v="Joseph Weber"/>
        <s v="Hanna Williams"/>
        <s v="Michael Leroy"/>
        <s v="Kenji Johansson"/>
        <s v="Robert Patel"/>
        <s v="Maria Müller"/>
        <s v="John Rodriguez"/>
        <s v="Ivan Leroy"/>
        <s v="Giulia Singh"/>
        <s v="Xiao Weber"/>
        <s v="Jennifer Harris"/>
        <s v="Mia Anderson"/>
        <s v="Richard Zhang"/>
        <s v="Ali Taylor"/>
        <s v="Olivia White"/>
        <s v="Ahmed Zhang"/>
        <s v="Patricia Wang"/>
        <s v="Sakura Zhang"/>
        <s v="Carlos Jones"/>
        <s v="John Martin"/>
        <s v="Emma Anderson"/>
        <s v="Hans Ali"/>
        <s v="Thomas Clark"/>
        <s v="Olivia Kim"/>
        <s v="Sophie Jackson"/>
        <s v="Lucas Tanaka"/>
        <s v="Raj Harris"/>
        <s v="Giulia White"/>
        <s v="Fatima Müller"/>
        <s v="Sakura Chen"/>
        <s v="Omar Schmidt"/>
        <s v="Sarah Brown"/>
        <s v="Isabella Thompson"/>
        <s v="Olga Wang"/>
        <s v="Diego Rossi"/>
        <s v="David Johansson"/>
        <s v="Emma Romano"/>
        <s v="Giulia Smith"/>
        <s v="Emma Chen"/>
        <s v="Priya Romano"/>
        <s v="Ali Müller"/>
        <s v="Diego Weber"/>
        <s v="William Wang"/>
        <s v="Priya Patel"/>
        <s v="David Park"/>
        <s v="James Miller"/>
        <s v="Olga Ali"/>
        <s v="Amina Khan"/>
        <s v="Ingrid Clark"/>
        <s v="Hans Zhang"/>
        <s v="Jennifer Leroy"/>
        <s v="Ahmed Hassan"/>
        <s v="Joseph Garcia"/>
        <s v="Sarah Smith"/>
        <s v="Sophie Jones"/>
        <s v="Richard Weber"/>
        <s v="Hans Sharma"/>
        <s v="Layla Jackson"/>
        <s v="Hanna Li"/>
        <s v="Wei Anderson"/>
        <s v="Layla Leroy"/>
        <s v="Priya Sharma"/>
        <s v="Pierre Garcia"/>
        <s v="Amina Singh"/>
        <s v="David Chen"/>
        <s v="Xiao White"/>
        <s v="Pierre Pereira"/>
        <s v="Ingrid Robinson"/>
        <s v="Lucas Costa"/>
        <s v="Sophie Johnson"/>
        <s v="Christopher Tanaka"/>
        <s v="Sophie Rossi"/>
        <s v="Raj Pereira"/>
        <s v="Hanna Rodriguez"/>
        <s v="John Pereira"/>
        <s v="Layla Ferrari"/>
        <s v="Mia Johansson"/>
        <s v="Emma Wang"/>
        <s v="Omar Patel"/>
        <s v="Jessica Brown"/>
        <s v="Joseph Thompson"/>
        <s v="Xiao Sharma"/>
        <s v="Christopher Jones"/>
        <s v="Sarah Leroy"/>
        <s v="Robert Davis"/>
        <s v="Isabella Nilsson"/>
        <s v="Joseph Schmidt"/>
        <s v="Richard Williams"/>
        <s v="Patricia Leroy"/>
        <s v="Nadia Rodriguez"/>
        <s v="Oscar Ali"/>
        <s v="David Fischer"/>
        <s v="Barbara White"/>
        <s v="Susan Garcia"/>
        <s v="Sakura Davis"/>
        <s v="Oscar Martin"/>
        <s v="Thomas Zhang"/>
        <s v="Fatima Davis"/>
        <s v="Jamal Hassan"/>
        <s v="Hans Khan"/>
        <s v="Ivan Sharma"/>
        <s v="Christopher Ahmed"/>
        <s v="Hanna Nilsson"/>
        <s v="William Zhang"/>
        <s v="Liam White"/>
        <s v="Kenji Yamamoto"/>
        <s v="Emma Martin"/>
        <s v="Michael Miller"/>
        <s v="Olivia Clark"/>
        <s v="Noah Nilsson"/>
        <s v="William Khan"/>
        <s v="Ingrid Romano"/>
        <s v="Barbara Fischer"/>
        <s v="Ayumi Zhang"/>
        <s v="Patricia Zhang"/>
        <s v="Ava Oliveira"/>
        <s v="Layla Chen"/>
        <s v="Thomas Weber"/>
        <s v="Linda Wang"/>
        <s v="Amina Tanaka"/>
        <s v="Christopher Hassan"/>
        <s v="Sarah Hassan"/>
        <s v="Thomas Brown"/>
        <s v="Linda Johnson"/>
        <s v="Richard Leroy"/>
        <s v="Mia Brown"/>
        <s v="Ahmed Weber"/>
        <s v="Diego Li"/>
        <s v="Jennifer Thompson"/>
        <s v="Ethan Jones"/>
        <s v="Felix Patel"/>
        <s v="Clara Moreau"/>
        <s v="Isabella Russo"/>
        <s v="Diego Suzuki"/>
        <s v="Sophie Chen"/>
        <s v="Giulia Müller"/>
        <s v="Yuki Suzuki"/>
        <s v="William Garcia"/>
        <s v="Ivan Santos"/>
        <s v="Emma Jones"/>
        <s v="Liam Zhang"/>
        <s v="Felix Pereira"/>
        <s v="Ali Yamamoto"/>
        <s v="Karen Yamamoto"/>
        <s v="Amina Anderson"/>
        <s v="Olga Johansson"/>
        <s v="David Kumar"/>
        <s v="Susan Harris"/>
        <s v="Christopher Chen"/>
        <s v="Carlos Jackson"/>
        <s v="Hans Ferrari"/>
        <s v="Clara Martinez"/>
        <s v="Olga Yamamoto"/>
        <s v="Nadia Thomas"/>
        <s v="Noah Tanaka"/>
        <s v="Chen Khan"/>
        <s v="Ayumi Romano"/>
        <s v="Joseph Clark"/>
        <s v="Elizabeth Park"/>
        <s v="Olivia Schmidt"/>
        <s v="Clara Sharma"/>
        <s v="Hanna Fischer"/>
        <s v="Marco Ferrari"/>
        <s v="Sakura Kim"/>
        <s v="Chen Ali"/>
        <s v="Clara Martin"/>
        <s v="Carlos Tanaka"/>
        <s v="Ethan Thomas"/>
        <s v="Elizabeth Santos"/>
        <s v="Wei Laurent"/>
        <s v="David Nilsson"/>
        <s v="Giulia Russo"/>
        <s v="Ingrid Pereira"/>
        <s v="Patricia Garcia"/>
        <s v="Oscar Chen"/>
        <s v="Patricia Pereira"/>
        <s v="Michael Ahmed"/>
        <s v="Richard Sharma"/>
        <s v="Clara Dubois"/>
        <s v="Ethan Santos"/>
        <s v="Mary Anderson"/>
        <s v="Diego Russo"/>
        <s v="Xiao Brown"/>
        <s v="Hanna Park"/>
        <s v="Clara Brown"/>
        <s v="Linda Hassan"/>
        <s v="Li Smith"/>
        <s v="Mia Wang"/>
        <s v="Nadia Leroy"/>
        <s v="Jennifer White"/>
        <s v="Jessica Johnson"/>
        <s v="Ivan Laurent"/>
        <s v="Barbara Robinson"/>
        <s v="Mia Johnson"/>
        <s v="Carlos Thomas"/>
        <s v="Michael Oliveira"/>
        <s v="Yuki Robinson"/>
        <s v="Oscar Müller"/>
        <s v="Karen Patel"/>
        <s v="Kenji Santos"/>
        <s v="Sophie Sato"/>
        <s v="Emma Sato"/>
        <s v="Noah Rodriguez"/>
        <s v="Robert Thomas"/>
        <s v="Felix Leroy"/>
        <s v="Wei Sharma"/>
        <s v="Kenji Williams"/>
        <s v="Ingrid Nilsson"/>
        <s v="Ivan Nilsson"/>
        <s v="Amina Sharma"/>
        <s v="James Williams"/>
        <s v="Xiao Santos"/>
        <s v="Hans Oliveira"/>
        <s v="Amir Brown"/>
        <s v="Ali Kim"/>
        <s v="William Martin"/>
        <s v="Jennifer Robinson"/>
        <s v="Ivan Costa"/>
        <s v="Elizabeth Miller"/>
        <s v="Lucas Romano"/>
        <s v="Fatima Johnson"/>
        <s v="Pierre Anderson"/>
        <s v="Jennifer Clark"/>
        <s v="Pierre Costa"/>
        <s v="Ayumi Singh"/>
        <s v="Nadia Ahmed"/>
        <s v="Amina Nilsson"/>
        <s v="Jennifer Pereira"/>
        <s v="Sophie Sharma"/>
        <s v="Diego Sharma"/>
        <s v="Sakura Nilsson"/>
        <s v="Marco Tanaka"/>
        <s v="Ahmed Russo"/>
        <s v="Kenji Miller"/>
        <s v="Isabella Smith"/>
        <s v="Isabella Khan"/>
        <s v="Olga Weber"/>
        <s v="Christopher Rodriguez"/>
        <s v="Robert Tanaka"/>
        <s v="Amir Dubois"/>
        <s v="Clara Hassan"/>
        <s v="Joseph Wang"/>
        <s v="Susan Laurent"/>
        <s v="Amir Ferrari"/>
        <s v="Elizabeth Zhang"/>
        <s v="Chen Chen"/>
        <s v="Sarah Weber"/>
        <s v="Noah Fischer"/>
        <s v="Chen Martinez"/>
        <s v="Fatima Weber"/>
        <s v="Olivia Ali"/>
        <s v="Diego Ferrari"/>
        <s v="Layla Sharma"/>
        <s v="Ingrid Wang"/>
        <s v="Maria Ahmed"/>
        <s v="Thomas Hassan"/>
        <s v="Yuki Miller"/>
        <s v="Sakura Rossi"/>
        <s v="Michael Park"/>
        <s v="James Santos"/>
        <s v="Linda Khan"/>
        <s v="Zara Oliveira"/>
        <s v="David Williams"/>
        <s v="Wei Zhang"/>
        <s v="Sophie Tanaka"/>
        <s v="Olga Garcia"/>
        <s v="Lucas Hassan"/>
        <s v="Amir Williams"/>
        <s v="Giulia Garcia"/>
        <s v="Sophie Leroy"/>
        <s v="Felix Robinson"/>
        <s v="Zara Wang"/>
        <s v="Amir Tanaka"/>
        <s v="Michael Smith"/>
        <s v="Jennifer Dubois"/>
        <s v="Elizabeth Garcia"/>
        <s v="Ahmed Rodriguez"/>
        <s v="Giulia Oliveira"/>
        <s v="Mary Martinez"/>
        <s v="William Rodriguez"/>
        <s v="Priya Harris"/>
        <s v="Liam Smith"/>
        <s v="Jamal Brown"/>
        <s v="Felix Fischer"/>
        <s v="Layla Smith"/>
        <s v="Jennifer Brown"/>
        <s v="Ingrid Jackson"/>
        <s v="Linda Zhang"/>
        <s v="Christopher White"/>
        <s v="Robert Russo"/>
        <s v="Layla Rodriguez"/>
        <s v="Wei White"/>
        <s v="Emma Miller"/>
        <s v="Giulia Harris"/>
        <s v="Wei Jackson"/>
        <s v="Isabella Sato"/>
        <s v="Xiao Jackson"/>
        <s v="Hans Sato"/>
        <s v="Ivan Sato"/>
        <s v="Hanna Hassan"/>
        <s v="Hanna Ferrari"/>
        <s v="Mary Rossi"/>
        <s v="Hans Wang"/>
        <s v="William Ali"/>
        <s v="Olivia Leroy"/>
        <s v="James Rossi"/>
        <s v="Susan Yamamoto"/>
        <s v="Liam Sharma"/>
        <s v="Sophie Zhang"/>
        <s v="Jessica Thomas"/>
        <s v="Joseph Zhang"/>
        <s v="Clara Fischer"/>
        <s v="William Sato"/>
        <s v="Emma Thompson"/>
        <s v="Diego Williams"/>
        <s v="Susan Ali"/>
        <s v="Liam Martin"/>
        <s v="Kenji Hassan"/>
        <s v="Jamal Park"/>
        <s v="Noah Thomas"/>
        <s v="Christopher Romano"/>
        <s v="Joseph Martin"/>
        <s v="Layla Yamamoto"/>
        <s v="Sarah Nilsson"/>
        <s v="Felix Singh"/>
        <s v="Olga Miller"/>
        <s v="Jessica Pereira"/>
        <s v="Raj White"/>
        <s v="Omar Ali"/>
        <s v="Emma Laurent"/>
        <s v="Mary Yamamoto"/>
        <s v="James Khan"/>
        <s v="Pierre Suzuki"/>
        <s v="Lucas Clark"/>
        <s v="Joseph Fischer"/>
        <s v="Oscar Davis"/>
        <s v="Mary Jackson"/>
        <s v="Maria Martin"/>
        <s v="Robert Martinez"/>
        <s v="Richard Martinez"/>
        <s v="Karen Garcia"/>
        <s v="Mia Tanaka"/>
        <s v="Ava Laurent"/>
        <s v="Li Kim"/>
        <s v="Amina Smith"/>
        <s v="Xiao Johansson"/>
        <s v="Hanna Martinez"/>
        <s v="Nadia Nilsson"/>
        <s v="Ingrid Li"/>
        <s v="Sophie Khan"/>
        <s v="Kenji Johnson"/>
        <s v="Barbara Williams"/>
        <s v="Ingrid Suzuki"/>
        <s v="Pierre Robinson"/>
        <s v="Ali Jackson"/>
        <s v="Kenji Harris"/>
        <s v="Robert Sato"/>
        <s v="Chen Taylor"/>
        <s v="Xiao Davis"/>
        <s v="Isabella Thomas"/>
        <s v="Ayumi Russo"/>
        <s v="Maria Leroy"/>
        <s v="Elizabeth Müller"/>
        <s v="Jennifer Oliveira"/>
        <s v="Linda Nilsson"/>
        <s v="Ayumi Dubois"/>
        <s v="Susan Russo"/>
      </sharedItems>
    </cacheField>
    <cacheField name="Customer_Segment" numFmtId="0">
      <sharedItems count="3">
        <s v="Corporate"/>
        <s v="Consumer"/>
        <s v="Home Office"/>
      </sharedItems>
    </cacheField>
    <cacheField name="Country" numFmtId="0">
      <sharedItems count="20">
        <s v="United States"/>
        <s v="Spain"/>
        <s v="Mexico"/>
        <s v="Italy"/>
        <s v="Nigeria"/>
        <s v="China"/>
        <s v="Saudi Arabia"/>
        <s v="Colombia"/>
        <s v="United Kingdom"/>
        <s v="Japan"/>
        <s v="Australia"/>
        <s v="UAE"/>
        <s v="Argentina"/>
        <s v="Canada"/>
        <s v="Germany"/>
        <s v="South Africa"/>
        <s v="South Korea"/>
        <s v="India"/>
        <s v="Brazil"/>
        <s v="France"/>
      </sharedItems>
    </cacheField>
    <cacheField name="Region" numFmtId="0">
      <sharedItems count="5">
        <s v="North America"/>
        <s v="Europe"/>
        <s v="Middle East &amp; Africa"/>
        <s v="Asia Pacific"/>
        <s v="South America"/>
      </sharedItems>
    </cacheField>
    <cacheField name="Product_Category" numFmtId="0">
      <sharedItems count="4">
        <s v="Technology"/>
        <s v="Office Supplies"/>
        <s v="Furniture"/>
        <s v="Clothing &amp; Accessories"/>
      </sharedItems>
    </cacheField>
    <cacheField name="Product_Name" numFmtId="0">
      <sharedItems count="40">
        <s v="Wireless Bluetooth Headphones"/>
        <s v="Mechanical Gaming Keyboard"/>
        <s v="Binder Clips Assorted 48pc"/>
        <s v="Webcam HD 1080p"/>
        <s v="Standing Desk Converter"/>
        <s v="Bookshelf 5-Tier"/>
        <s v="Premium Notebook Set A5"/>
        <s v="Laptop Stand Adjustable"/>
        <s v="Folding Table Portable"/>
        <s v="Leather Wallet Minimalist"/>
        <s v="Paper Clips Box 500pc"/>
        <s v="Travel Backpack 30L"/>
        <s v="Tape Dispenser Heavy Duty"/>
        <s v="Business Casual Blazer"/>
        <s v="Corner L-Shaped Desk"/>
        <s v="Ergonomic Office Chair"/>
        <s v="Wool Blend Scarf"/>
        <s v="Whiteboard Markers Set 8"/>
        <s v="Smart LED Desk Lamp"/>
        <s v="Sticky Notes Multicolor 6-Pack"/>
        <s v="Desk Calendar 2025"/>
        <s v="Floating Wall Shelves Set"/>
        <s v="Portable External SSD 1TB"/>
        <s v="Stapler Full-Size"/>
        <s v="Canvas Messenger Bag"/>
        <s v="Ballpoint Pen Pack 12"/>
        <s v="Silk Tie Collection"/>
        <s v="Cotton Formal Shirt"/>
        <s v="USB-C Hub Multiport Adapter"/>
        <s v="Tablet Stand Holder"/>
        <s v="Sports Water Bottle 750ml"/>
        <s v="Noise Cancelling Earbuds"/>
        <s v="Monitor Riser Wood"/>
        <s v="Leather Belt Classic"/>
        <s v="Desk Organizer Set"/>
        <s v="Wireless Ergonomic Mouse"/>
        <s v="Mesh Back Task Chair"/>
        <s v="Polarized Sunglasses"/>
        <s v="Highlighters Neon Pack 6"/>
        <s v="Filing Cabinet 3-Drawer"/>
      </sharedItems>
    </cacheField>
    <cacheField name="Quantity" numFmtId="0">
      <sharedItems containsSemiMixedTypes="0" containsString="0" containsNumber="1" containsInteger="1" minValue="1" maxValue="15" count="15">
        <n v="3"/>
        <n v="4"/>
        <n v="2"/>
        <n v="1"/>
        <n v="6"/>
        <n v="5"/>
        <n v="7"/>
        <n v="8"/>
        <n v="12"/>
        <n v="10"/>
        <n v="9"/>
        <n v="11"/>
        <n v="15"/>
        <n v="13"/>
        <n v="14"/>
      </sharedItems>
    </cacheField>
    <cacheField name="Unit_Price" numFmtId="0">
      <sharedItems containsSemiMixedTypes="0" containsString="0" containsNumber="1" minValue="3.03" maxValue="472.56" count="1839">
        <n v="99.43"/>
        <n v="97.93"/>
        <n v="10.74"/>
        <n v="61.86"/>
        <n v="330.67"/>
        <n v="61.93"/>
        <n v="15.03"/>
        <n v="33.909999999999997"/>
        <n v="334.11"/>
        <n v="58.77"/>
        <n v="38.909999999999997"/>
        <n v="7.8"/>
        <n v="48.73"/>
        <n v="59.48"/>
        <n v="15.82"/>
        <n v="51.92"/>
        <n v="358.6"/>
        <n v="446.8"/>
        <n v="96.58"/>
        <n v="27.9"/>
        <n v="9.91"/>
        <n v="47"/>
        <n v="32.909999999999997"/>
        <n v="11.41"/>
        <n v="333.59"/>
        <n v="10.6"/>
        <n v="67.38"/>
        <n v="121.25"/>
        <n v="19.920000000000002"/>
        <n v="34.979999999999997"/>
        <n v="37.18"/>
        <n v="8.5399999999999991"/>
        <n v="8.5299999999999994"/>
        <n v="57.87"/>
        <n v="15.41"/>
        <n v="167.57"/>
        <n v="212.13"/>
        <n v="9.02"/>
        <n v="55.78"/>
        <n v="10.25"/>
        <n v="54.25"/>
        <n v="16.61"/>
        <n v="18.32"/>
        <n v="53.6"/>
        <n v="429.23"/>
        <n v="28.99"/>
        <n v="8.65"/>
        <n v="19.940000000000001"/>
        <n v="32.72"/>
        <n v="25.43"/>
        <n v="274.83"/>
        <n v="60.16"/>
        <n v="8.3699999999999992"/>
        <n v="4.78"/>
        <n v="79.23"/>
        <n v="188.93"/>
        <n v="138.69999999999999"/>
        <n v="8.9600000000000009"/>
        <n v="173.37"/>
        <n v="63.94"/>
        <n v="64.55"/>
        <n v="14.53"/>
        <n v="9.6300000000000008"/>
        <n v="118.02"/>
        <n v="126.93"/>
        <n v="289.70999999999998"/>
        <n v="81.58"/>
        <n v="111.98"/>
        <n v="45.99"/>
        <n v="4.96"/>
        <n v="80.13"/>
        <n v="43.57"/>
        <n v="143.15"/>
        <n v="126.81"/>
        <n v="48.95"/>
        <n v="47.62"/>
        <n v="238.37"/>
        <n v="39.22"/>
        <n v="72.23"/>
        <n v="35.6"/>
        <n v="4.37"/>
        <n v="20.92"/>
        <n v="54.4"/>
        <n v="72.89"/>
        <n v="54.39"/>
        <n v="472.56"/>
        <n v="133.63"/>
        <n v="32.06"/>
        <n v="36.01"/>
        <n v="7.24"/>
        <n v="60.99"/>
        <n v="7.14"/>
        <n v="8.06"/>
        <n v="31.71"/>
        <n v="82.3"/>
        <n v="77.48"/>
        <n v="5.63"/>
        <n v="26.25"/>
        <n v="135.29"/>
        <n v="24.66"/>
        <n v="165.1"/>
        <n v="11.57"/>
        <n v="113.52"/>
        <n v="9.18"/>
        <n v="201.32"/>
        <n v="90.24"/>
        <n v="18.57"/>
        <n v="29.57"/>
        <n v="11.17"/>
        <n v="11.95"/>
        <n v="59.88"/>
        <n v="99.69"/>
        <n v="354.67"/>
        <n v="22.67"/>
        <n v="5.48"/>
        <n v="107.75"/>
        <n v="11.11"/>
        <n v="27.32"/>
        <n v="19.739999999999998"/>
        <n v="70.31"/>
        <n v="149.77000000000001"/>
        <n v="54.94"/>
        <n v="61.18"/>
        <n v="14.59"/>
        <n v="174.46"/>
        <n v="28.85"/>
        <n v="323.91000000000003"/>
        <n v="11.39"/>
        <n v="64.099999999999994"/>
        <n v="6.29"/>
        <n v="90.87"/>
        <n v="334.56"/>
        <n v="68.83"/>
        <n v="10.37"/>
        <n v="52.89"/>
        <n v="30.48"/>
        <n v="24.22"/>
        <n v="239.45"/>
        <n v="210.65"/>
        <n v="32.74"/>
        <n v="30.52"/>
        <n v="113.34"/>
        <n v="11.27"/>
        <n v="5.67"/>
        <n v="116.12"/>
        <n v="85.63"/>
        <n v="199.74"/>
        <n v="34.22"/>
        <n v="37.69"/>
        <n v="42.86"/>
        <n v="24.85"/>
        <n v="241.26"/>
        <n v="67.62"/>
        <n v="268.98"/>
        <n v="9.65"/>
        <n v="139.15"/>
        <n v="15.49"/>
        <n v="25.63"/>
        <n v="13"/>
        <n v="252.68"/>
        <n v="20.81"/>
        <n v="12.65"/>
        <n v="83.46"/>
        <n v="57.89"/>
        <n v="133.59"/>
        <n v="9.89"/>
        <n v="17.86"/>
        <n v="58.82"/>
        <n v="63.4"/>
        <n v="244.78"/>
        <n v="13.89"/>
        <n v="4.54"/>
        <n v="257.60000000000002"/>
        <n v="55"/>
        <n v="8.66"/>
        <n v="94.43"/>
        <n v="209.9"/>
        <n v="67.709999999999994"/>
        <n v="171.32"/>
        <n v="82.93"/>
        <n v="57.09"/>
        <n v="54.74"/>
        <n v="136.46"/>
        <n v="308.79000000000002"/>
        <n v="180.81"/>
        <n v="54.96"/>
        <n v="137.26"/>
        <n v="30.66"/>
        <n v="46.16"/>
        <n v="45.58"/>
        <n v="177.6"/>
        <n v="192.55"/>
        <n v="17.84"/>
        <n v="8.59"/>
        <n v="29.87"/>
        <n v="12.78"/>
        <n v="71.84"/>
        <n v="6.24"/>
        <n v="12.15"/>
        <n v="88.39"/>
        <n v="181.39"/>
        <n v="16.13"/>
        <n v="44.17"/>
        <n v="11.52"/>
        <n v="11.58"/>
        <n v="25.71"/>
        <n v="47.53"/>
        <n v="94.61"/>
        <n v="248.9"/>
        <n v="62.57"/>
        <n v="100.94"/>
        <n v="55.77"/>
        <n v="77.489999999999995"/>
        <n v="65.92"/>
        <n v="121.55"/>
        <n v="79.650000000000006"/>
        <n v="180.1"/>
        <n v="145.84"/>
        <n v="3.16"/>
        <n v="8.1999999999999993"/>
        <n v="214.52"/>
        <n v="43.71"/>
        <n v="119.77"/>
        <n v="217.82"/>
        <n v="295.24"/>
        <n v="195.08"/>
        <n v="26.84"/>
        <n v="15.48"/>
        <n v="54.1"/>
        <n v="37.26"/>
        <n v="10.54"/>
        <n v="15.84"/>
        <n v="33.159999999999997"/>
        <n v="14"/>
        <n v="54.12"/>
        <n v="118.34"/>
        <n v="20.28"/>
        <n v="263.11"/>
        <n v="271.69"/>
        <n v="43.62"/>
        <n v="36.82"/>
        <n v="10.08"/>
        <n v="6.18"/>
        <n v="64.14"/>
        <n v="29.03"/>
        <n v="6.69"/>
        <n v="59.29"/>
        <n v="31.48"/>
        <n v="7.93"/>
        <n v="24.62"/>
        <n v="72.94"/>
        <n v="32.450000000000003"/>
        <n v="5.73"/>
        <n v="38.869999999999997"/>
        <n v="6.85"/>
        <n v="16.260000000000002"/>
        <n v="23.01"/>
        <n v="22.5"/>
        <n v="229.47"/>
        <n v="336.47"/>
        <n v="122.54"/>
        <n v="88.03"/>
        <n v="60.58"/>
        <n v="158.55000000000001"/>
        <n v="43.48"/>
        <n v="33.119999999999997"/>
        <n v="30.15"/>
        <n v="18.829999999999998"/>
        <n v="17.239999999999998"/>
        <n v="6.68"/>
        <n v="33.65"/>
        <n v="69.430000000000007"/>
        <n v="398.27"/>
        <n v="114.01"/>
        <n v="79.09"/>
        <n v="12.13"/>
        <n v="42.27"/>
        <n v="48.52"/>
        <n v="27.6"/>
        <n v="23.39"/>
        <n v="14.57"/>
        <n v="250.47"/>
        <n v="57.98"/>
        <n v="45.1"/>
        <n v="10.66"/>
        <n v="26.53"/>
        <n v="94.63"/>
        <n v="30.06"/>
        <n v="40.18"/>
        <n v="74.430000000000007"/>
        <n v="24.48"/>
        <n v="62.62"/>
        <n v="97.31"/>
        <n v="18.79"/>
        <n v="192.58"/>
        <n v="48.59"/>
        <n v="46.18"/>
        <n v="309.68"/>
        <n v="24.14"/>
        <n v="15.95"/>
        <n v="6.99"/>
        <n v="19.72"/>
        <n v="194.07"/>
        <n v="52.02"/>
        <n v="19.62"/>
        <n v="43.03"/>
        <n v="50.01"/>
        <n v="53.14"/>
        <n v="3.31"/>
        <n v="11.9"/>
        <n v="21.26"/>
        <n v="59.16"/>
        <n v="10.59"/>
        <n v="62.93"/>
        <n v="54.62"/>
        <n v="42.71"/>
        <n v="113.15"/>
        <n v="61.5"/>
        <n v="3.47"/>
        <n v="394.43"/>
        <n v="161.93"/>
        <n v="233.89"/>
        <n v="30.7"/>
        <n v="21.72"/>
        <n v="18.989999999999998"/>
        <n v="190.35"/>
        <n v="64.89"/>
        <n v="133.94999999999999"/>
        <n v="56.54"/>
        <n v="51.24"/>
        <n v="145.33000000000001"/>
        <n v="27.72"/>
        <n v="53.18"/>
        <n v="167.91"/>
        <n v="16.43"/>
        <n v="71.010000000000005"/>
        <n v="41.08"/>
        <n v="21.14"/>
        <n v="52.78"/>
        <n v="13.41"/>
        <n v="75.900000000000006"/>
        <n v="8.9499999999999993"/>
        <n v="20.02"/>
        <n v="10.76"/>
        <n v="9.48"/>
        <n v="33.19"/>
        <n v="73.540000000000006"/>
        <n v="19.91"/>
        <n v="96.5"/>
        <n v="104.58"/>
        <n v="83.44"/>
        <n v="64.87"/>
        <n v="182.51"/>
        <n v="10.99"/>
        <n v="10.7"/>
        <n v="7.28"/>
        <n v="44.23"/>
        <n v="151.07"/>
        <n v="35.700000000000003"/>
        <n v="15.21"/>
        <n v="206.62"/>
        <n v="34.17"/>
        <n v="9.43"/>
        <n v="67.349999999999994"/>
        <n v="75.47"/>
        <n v="91.18"/>
        <n v="88.88"/>
        <n v="120.89"/>
        <n v="48.11"/>
        <n v="79.11"/>
        <n v="17.66"/>
        <n v="7.76"/>
        <n v="97.26"/>
        <n v="18.190000000000001"/>
        <n v="75.459999999999994"/>
        <n v="16.46"/>
        <n v="55.59"/>
        <n v="78.86"/>
        <n v="89.29"/>
        <n v="22.46"/>
        <n v="12.89"/>
        <n v="27.41"/>
        <n v="78.77"/>
        <n v="62.43"/>
        <n v="59.71"/>
        <n v="148.55000000000001"/>
        <n v="12.61"/>
        <n v="8.92"/>
        <n v="48.47"/>
        <n v="156.51"/>
        <n v="64.17"/>
        <n v="57.21"/>
        <n v="14.44"/>
        <n v="100.41"/>
        <n v="8.3000000000000007"/>
        <n v="10.19"/>
        <n v="20.76"/>
        <n v="6.4"/>
        <n v="156.74"/>
        <n v="127.96"/>
        <n v="36.74"/>
        <n v="11.42"/>
        <n v="37.020000000000003"/>
        <n v="82.15"/>
        <n v="53.25"/>
        <n v="185.14"/>
        <n v="29.47"/>
        <n v="6.31"/>
        <n v="50.95"/>
        <n v="13.7"/>
        <n v="8.73"/>
        <n v="34.68"/>
        <n v="25.23"/>
        <n v="116.76"/>
        <n v="13.92"/>
        <n v="76.290000000000006"/>
        <n v="37.56"/>
        <n v="9.0500000000000007"/>
        <n v="26.62"/>
        <n v="17.03"/>
        <n v="67.099999999999994"/>
        <n v="199.2"/>
        <n v="7.16"/>
        <n v="12.17"/>
        <n v="19.47"/>
        <n v="14.43"/>
        <n v="11.34"/>
        <n v="152.34"/>
        <n v="27.11"/>
        <n v="426.27"/>
        <n v="42.55"/>
        <n v="28.98"/>
        <n v="79.27"/>
        <n v="47.47"/>
        <n v="4.1900000000000004"/>
        <n v="61.26"/>
        <n v="13.62"/>
        <n v="66.08"/>
        <n v="77.47"/>
        <n v="83.62"/>
        <n v="51.7"/>
        <n v="7.5"/>
        <n v="149.93"/>
        <n v="107.46"/>
        <n v="61.54"/>
        <n v="25.4"/>
        <n v="110.59"/>
        <n v="25.73"/>
        <n v="12.82"/>
        <n v="133.6"/>
        <n v="67.53"/>
        <n v="36.08"/>
        <n v="7.89"/>
        <n v="197.76"/>
        <n v="115.98"/>
        <n v="137.32"/>
        <n v="153.34"/>
        <n v="5.85"/>
        <n v="60.51"/>
        <n v="112.29"/>
        <n v="43.61"/>
        <n v="22.12"/>
        <n v="59.04"/>
        <n v="42.94"/>
        <n v="77.510000000000005"/>
        <n v="52.59"/>
        <n v="126.55"/>
        <n v="145.12"/>
        <n v="26.2"/>
        <n v="18.82"/>
        <n v="238.24"/>
        <n v="222.71"/>
        <n v="36.61"/>
        <n v="59.01"/>
        <n v="49.37"/>
        <n v="131.91"/>
        <n v="79.63"/>
        <n v="399.1"/>
        <n v="241.8"/>
        <n v="162.94"/>
        <n v="44.26"/>
        <n v="6.82"/>
        <n v="59.55"/>
        <n v="74.959999999999994"/>
        <n v="35.29"/>
        <n v="129.80000000000001"/>
        <n v="6.83"/>
        <n v="340.77"/>
        <n v="131.68"/>
        <n v="12.07"/>
        <n v="50.05"/>
        <n v="21.94"/>
        <n v="68.42"/>
        <n v="85.91"/>
        <n v="43.09"/>
        <n v="184.6"/>
        <n v="272.86"/>
        <n v="74.92"/>
        <n v="216.45"/>
        <n v="82.78"/>
        <n v="211.07"/>
        <n v="19.95"/>
        <n v="37.67"/>
        <n v="24.08"/>
        <n v="19.41"/>
        <n v="37.35"/>
        <n v="18.53"/>
        <n v="20.54"/>
        <n v="34.81"/>
        <n v="62.32"/>
        <n v="9.4499999999999993"/>
        <n v="65.64"/>
        <n v="38.42"/>
        <n v="46.22"/>
        <n v="146.85"/>
        <n v="15.34"/>
        <n v="22.13"/>
        <n v="68.150000000000006"/>
        <n v="129.24"/>
        <n v="82.52"/>
        <n v="127.98"/>
        <n v="33.479999999999997"/>
        <n v="20.53"/>
        <n v="151.91999999999999"/>
        <n v="108.96"/>
        <n v="11.09"/>
        <n v="33.979999999999997"/>
        <n v="52.9"/>
        <n v="33.200000000000003"/>
        <n v="18.760000000000002"/>
        <n v="113.95"/>
        <n v="81.19"/>
        <n v="13.39"/>
        <n v="183.81"/>
        <n v="58.27"/>
        <n v="7.39"/>
        <n v="38.06"/>
        <n v="17.559999999999999"/>
        <n v="145.72999999999999"/>
        <n v="30.54"/>
        <n v="40.21"/>
        <n v="302.02999999999997"/>
        <n v="34.799999999999997"/>
        <n v="14.97"/>
        <n v="83.28"/>
        <n v="95.46"/>
        <n v="8.91"/>
        <n v="64.75"/>
        <n v="127.45"/>
        <n v="70.540000000000006"/>
        <n v="9.27"/>
        <n v="53.47"/>
        <n v="94.39"/>
        <n v="187.3"/>
        <n v="163.55000000000001"/>
        <n v="22.15"/>
        <n v="37.78"/>
        <n v="162.18"/>
        <n v="40.47"/>
        <n v="10.67"/>
        <n v="11.62"/>
        <n v="53.68"/>
        <n v="7.45"/>
        <n v="10.56"/>
        <n v="53.62"/>
        <n v="20.66"/>
        <n v="18.510000000000002"/>
        <n v="209.98"/>
        <n v="15.72"/>
        <n v="29.09"/>
        <n v="40.22"/>
        <n v="9.1300000000000008"/>
        <n v="15.28"/>
        <n v="90.7"/>
        <n v="24.47"/>
        <n v="45.68"/>
        <n v="9.14"/>
        <n v="43.67"/>
        <n v="182.4"/>
        <n v="9.44"/>
        <n v="8.8000000000000007"/>
        <n v="55.17"/>
        <n v="336.19"/>
        <n v="48.93"/>
        <n v="191.06"/>
        <n v="112.46"/>
        <n v="16.62"/>
        <n v="42.01"/>
        <n v="43.95"/>
        <n v="233.71"/>
        <n v="55.94"/>
        <n v="263.20999999999998"/>
        <n v="67.5"/>
        <n v="8.8699999999999992"/>
        <n v="14.98"/>
        <n v="33.03"/>
        <n v="66.28"/>
        <n v="216.54"/>
        <n v="17.57"/>
        <n v="68.14"/>
        <n v="9.23"/>
        <n v="9.6"/>
        <n v="57.77"/>
        <n v="24.03"/>
        <n v="21.32"/>
        <n v="152.94999999999999"/>
        <n v="52.21"/>
        <n v="58.09"/>
        <n v="9.9600000000000009"/>
        <n v="15.07"/>
        <n v="38.590000000000003"/>
        <n v="16.649999999999999"/>
        <n v="10.81"/>
        <n v="44.11"/>
        <n v="6.13"/>
        <n v="30.27"/>
        <n v="43.37"/>
        <n v="126.07"/>
        <n v="19.32"/>
        <n v="47.08"/>
        <n v="109.55"/>
        <n v="32.24"/>
        <n v="32.68"/>
        <n v="85.21"/>
        <n v="166.63"/>
        <n v="9.33"/>
        <n v="8.1"/>
        <n v="17.75"/>
        <n v="59.95"/>
        <n v="3.66"/>
        <n v="64.86"/>
        <n v="94.69"/>
        <n v="6.89"/>
        <n v="98.38"/>
        <n v="371.61"/>
        <n v="288.74"/>
        <n v="11.81"/>
        <n v="67.73"/>
        <n v="166.71"/>
        <n v="41.24"/>
        <n v="81.099999999999994"/>
        <n v="190.75"/>
        <n v="69.13"/>
        <n v="51.57"/>
        <n v="85.34"/>
        <n v="11.72"/>
        <n v="53.57"/>
        <n v="8.93"/>
        <n v="57.59"/>
        <n v="25.88"/>
        <n v="85.83"/>
        <n v="139.66999999999999"/>
        <n v="8.83"/>
        <n v="172.7"/>
        <n v="162.05000000000001"/>
        <n v="135.75"/>
        <n v="50.45"/>
        <n v="9.84"/>
        <n v="246.96"/>
        <n v="17.170000000000002"/>
        <n v="11.89"/>
        <n v="17.43"/>
        <n v="22.55"/>
        <n v="161.38999999999999"/>
        <n v="47.57"/>
        <n v="259.86"/>
        <n v="12.29"/>
        <n v="192.53"/>
        <n v="6.51"/>
        <n v="32.020000000000003"/>
        <n v="155.87"/>
        <n v="62.1"/>
        <n v="21.65"/>
        <n v="21.54"/>
        <n v="75.67"/>
        <n v="51.47"/>
        <n v="81.16"/>
        <n v="11.12"/>
        <n v="21.03"/>
        <n v="34.67"/>
        <n v="11.84"/>
        <n v="27.55"/>
        <n v="34.06"/>
        <n v="61.68"/>
        <n v="5.79"/>
        <n v="36.549999999999997"/>
        <n v="35.549999999999997"/>
        <n v="197.67"/>
        <n v="49.24"/>
        <n v="74.459999999999994"/>
        <n v="36.68"/>
        <n v="61.95"/>
        <n v="18.850000000000001"/>
        <n v="49.71"/>
        <n v="59.07"/>
        <n v="21.61"/>
        <n v="39.619999999999997"/>
        <n v="150.5"/>
        <n v="8.68"/>
        <n v="29.62"/>
        <n v="96.97"/>
        <n v="15.66"/>
        <n v="93.08"/>
        <n v="38.08"/>
        <n v="297.8"/>
        <n v="10.39"/>
        <n v="214.42"/>
        <n v="96.59"/>
        <n v="54.17"/>
        <n v="90.04"/>
        <n v="33.729999999999997"/>
        <n v="67.39"/>
        <n v="443.99"/>
        <n v="216.25"/>
        <n v="89.21"/>
        <n v="180.57"/>
        <n v="22.02"/>
        <n v="10.97"/>
        <n v="78.61"/>
        <n v="12.56"/>
        <n v="40.58"/>
        <n v="28.43"/>
        <n v="20.74"/>
        <n v="48.34"/>
        <n v="429.66"/>
        <n v="48.32"/>
        <n v="62.02"/>
        <n v="62.36"/>
        <n v="43.72"/>
        <n v="13.07"/>
        <n v="246.49"/>
        <n v="23.26"/>
        <n v="78.349999999999994"/>
        <n v="13.33"/>
        <n v="14.7"/>
        <n v="10.51"/>
        <n v="131.71"/>
        <n v="5"/>
        <n v="12.92"/>
        <n v="15.88"/>
        <n v="32.04"/>
        <n v="187.55"/>
        <n v="67.959999999999994"/>
        <n v="127.07"/>
        <n v="110.65"/>
        <n v="27.57"/>
        <n v="36.409999999999997"/>
        <n v="7.72"/>
        <n v="57.7"/>
        <n v="69.59"/>
        <n v="10.42"/>
        <n v="10.33"/>
        <n v="24.87"/>
        <n v="73.849999999999994"/>
        <n v="16.12"/>
        <n v="74.64"/>
        <n v="119.66"/>
        <n v="187.16"/>
        <n v="115.3"/>
        <n v="185.09"/>
        <n v="55.49"/>
        <n v="24.44"/>
        <n v="15.11"/>
        <n v="4.03"/>
        <n v="123.28"/>
        <n v="21.45"/>
        <n v="34.409999999999997"/>
        <n v="99.17"/>
        <n v="140.88999999999999"/>
        <n v="42.6"/>
        <n v="7.85"/>
        <n v="203.47"/>
        <n v="14.51"/>
        <n v="18.75"/>
        <n v="130.44999999999999"/>
        <n v="231.11"/>
        <n v="35.17"/>
        <n v="73.44"/>
        <n v="9.1"/>
        <n v="14.61"/>
        <n v="15.19"/>
        <n v="116.53"/>
        <n v="45.28"/>
        <n v="43.07"/>
        <n v="23.69"/>
        <n v="80.36"/>
        <n v="39.53"/>
        <n v="14.32"/>
        <n v="9"/>
        <n v="77.97"/>
        <n v="70.34"/>
        <n v="29.44"/>
        <n v="36.630000000000003"/>
        <n v="13.3"/>
        <n v="184.93"/>
        <n v="53.29"/>
        <n v="43.88"/>
        <n v="198.87"/>
        <n v="42.06"/>
        <n v="24.16"/>
        <n v="33.049999999999997"/>
        <n v="10.3"/>
        <n v="10.57"/>
        <n v="118.27"/>
        <n v="38.81"/>
        <n v="9.5"/>
        <n v="9.64"/>
        <n v="10.28"/>
        <n v="20.41"/>
        <n v="14.35"/>
        <n v="221.74"/>
        <n v="14.12"/>
        <n v="49.44"/>
        <n v="67.05"/>
        <n v="20.62"/>
        <n v="32.39"/>
        <n v="4.0199999999999996"/>
        <n v="39.340000000000003"/>
        <n v="69.72"/>
        <n v="32.79"/>
        <n v="123.37"/>
        <n v="363.39"/>
        <n v="82.89"/>
        <n v="189.66"/>
        <n v="83.03"/>
        <n v="79.819999999999993"/>
        <n v="128.49"/>
        <n v="57.54"/>
        <n v="74.599999999999994"/>
        <n v="12.87"/>
        <n v="107.45"/>
        <n v="72.81"/>
        <n v="69.05"/>
        <n v="137.49"/>
        <n v="242.25"/>
        <n v="128.34"/>
        <n v="34.76"/>
        <n v="52.77"/>
        <n v="28.72"/>
        <n v="264.57"/>
        <n v="85.33"/>
        <n v="39.28"/>
        <n v="6.14"/>
        <n v="77.16"/>
        <n v="5.66"/>
        <n v="112.68"/>
        <n v="72.3"/>
        <n v="33.61"/>
        <n v="8.1300000000000008"/>
        <n v="37.590000000000003"/>
        <n v="52.88"/>
        <n v="9.5500000000000007"/>
        <n v="99.39"/>
        <n v="76.11"/>
        <n v="57.26"/>
        <n v="42.93"/>
        <n v="37.01"/>
        <n v="57.38"/>
        <n v="20.52"/>
        <n v="10.88"/>
        <n v="66.48"/>
        <n v="32.31"/>
        <n v="12.42"/>
        <n v="54.24"/>
        <n v="49.78"/>
        <n v="50.94"/>
        <n v="26.58"/>
        <n v="296.60000000000002"/>
        <n v="151.62"/>
        <n v="34.369999999999997"/>
        <n v="10.26"/>
        <n v="128.41"/>
        <n v="21.23"/>
        <n v="5.26"/>
        <n v="9.24"/>
        <n v="88.23"/>
        <n v="111.78"/>
        <n v="201.56"/>
        <n v="48.43"/>
        <n v="9.99"/>
        <n v="51.37"/>
        <n v="14.19"/>
        <n v="59.09"/>
        <n v="114"/>
        <n v="38.44"/>
        <n v="171.31"/>
        <n v="175.05"/>
        <n v="11.19"/>
        <n v="31.92"/>
        <n v="35.49"/>
        <n v="71.92"/>
        <n v="20.69"/>
        <n v="142.85"/>
        <n v="50.33"/>
        <n v="23.24"/>
        <n v="79.95"/>
        <n v="14.73"/>
        <n v="15.35"/>
        <n v="171.98"/>
        <n v="67.180000000000007"/>
        <n v="27.93"/>
        <n v="8.6199999999999992"/>
        <n v="77.63"/>
        <n v="18.62"/>
        <n v="205.48"/>
        <n v="212.46"/>
        <n v="232.65"/>
        <n v="47.83"/>
        <n v="10.5"/>
        <n v="26.36"/>
        <n v="63.86"/>
        <n v="26.54"/>
        <n v="49.62"/>
        <n v="187.45"/>
        <n v="41.69"/>
        <n v="3.65"/>
        <n v="190.99"/>
        <n v="50.55"/>
        <n v="61.44"/>
        <n v="84.46"/>
        <n v="53.44"/>
        <n v="39.409999999999997"/>
        <n v="214.3"/>
        <n v="88.33"/>
        <n v="73.45"/>
        <n v="47.32"/>
        <n v="34.14"/>
        <n v="141.5"/>
        <n v="55.5"/>
        <n v="8.11"/>
        <n v="303.29000000000002"/>
        <n v="68.39"/>
        <n v="9.7200000000000006"/>
        <n v="78.08"/>
        <n v="9.5399999999999991"/>
        <n v="122.5"/>
        <n v="33.340000000000003"/>
        <n v="14.05"/>
        <n v="22.89"/>
        <n v="52.83"/>
        <n v="28.41"/>
        <n v="23.88"/>
        <n v="25.8"/>
        <n v="157.04"/>
        <n v="21.15"/>
        <n v="16.71"/>
        <n v="4.42"/>
        <n v="15.39"/>
        <n v="8.34"/>
        <n v="47.66"/>
        <n v="52.81"/>
        <n v="31.63"/>
        <n v="11.86"/>
        <n v="19.36"/>
        <n v="42.03"/>
        <n v="17.3"/>
        <n v="305.38"/>
        <n v="59.82"/>
        <n v="19.829999999999998"/>
        <n v="86.73"/>
        <n v="19"/>
        <n v="28.49"/>
        <n v="191.99"/>
        <n v="9.42"/>
        <n v="70.739999999999995"/>
        <n v="131.07"/>
        <n v="50.5"/>
        <n v="68.260000000000005"/>
        <n v="95.79"/>
        <n v="150.27000000000001"/>
        <n v="25.15"/>
        <n v="153.49"/>
        <n v="425.29"/>
        <n v="44.59"/>
        <n v="23.76"/>
        <n v="215.99"/>
        <n v="13.61"/>
        <n v="43.36"/>
        <n v="84.43"/>
        <n v="142.01"/>
        <n v="51.54"/>
        <n v="83.83"/>
        <n v="19.09"/>
        <n v="42.3"/>
        <n v="296.08"/>
        <n v="264.5"/>
        <n v="51.5"/>
        <n v="14.54"/>
        <n v="75.05"/>
        <n v="39.58"/>
        <n v="102.39"/>
        <n v="7.92"/>
        <n v="22.41"/>
        <n v="34.53"/>
        <n v="76.33"/>
        <n v="40.65"/>
        <n v="22.85"/>
        <n v="59.34"/>
        <n v="167.77"/>
        <n v="147.28"/>
        <n v="63.81"/>
        <n v="347.26"/>
        <n v="53.78"/>
        <n v="104.66"/>
        <n v="17.940000000000001"/>
        <n v="305.72000000000003"/>
        <n v="13.76"/>
        <n v="20.47"/>
        <n v="4.1100000000000003"/>
        <n v="98"/>
        <n v="66.5"/>
        <n v="121.67"/>
        <n v="63.57"/>
        <n v="10.58"/>
        <n v="57.19"/>
        <n v="9.9499999999999993"/>
        <n v="33.42"/>
        <n v="132.41"/>
        <n v="145.65"/>
        <n v="20.03"/>
        <n v="74.989999999999995"/>
        <n v="45.38"/>
        <n v="91.15"/>
        <n v="64.84"/>
        <n v="277.81"/>
        <n v="15.31"/>
        <n v="57.71"/>
        <n v="36.93"/>
        <n v="20.09"/>
        <n v="112.26"/>
        <n v="22.08"/>
        <n v="29.9"/>
        <n v="79.84"/>
        <n v="12.3"/>
        <n v="30.33"/>
        <n v="13.5"/>
        <n v="7.55"/>
        <n v="187.47"/>
        <n v="50.79"/>
        <n v="15.17"/>
        <n v="68.400000000000006"/>
        <n v="57.12"/>
        <n v="62.96"/>
        <n v="214.38"/>
        <n v="17.600000000000001"/>
        <n v="22.04"/>
        <n v="376.74"/>
        <n v="174.88"/>
        <n v="13.21"/>
        <n v="43.13"/>
        <n v="41.61"/>
        <n v="33.229999999999997"/>
        <n v="12.55"/>
        <n v="62.5"/>
        <n v="31.01"/>
        <n v="29.07"/>
        <n v="62.9"/>
        <n v="13.51"/>
        <n v="64.94"/>
        <n v="20.04"/>
        <n v="17.37"/>
        <n v="73.069999999999993"/>
        <n v="5.97"/>
        <n v="67.400000000000006"/>
        <n v="13.57"/>
        <n v="6.44"/>
        <n v="13.09"/>
        <n v="164.14"/>
        <n v="49.49"/>
        <n v="18.149999999999999"/>
        <n v="6.42"/>
        <n v="55.32"/>
        <n v="17.850000000000001"/>
        <n v="18.670000000000002"/>
        <n v="83.77"/>
        <n v="48.97"/>
        <n v="29.28"/>
        <n v="26"/>
        <n v="31.83"/>
        <n v="61.97"/>
        <n v="47.45"/>
        <n v="6.49"/>
        <n v="37.06"/>
        <n v="165.01"/>
        <n v="66.59"/>
        <n v="41.43"/>
        <n v="160.44999999999999"/>
        <n v="142.59"/>
        <n v="287.66000000000003"/>
        <n v="55.82"/>
        <n v="7.06"/>
        <n v="8.48"/>
        <n v="113.75"/>
        <n v="88.37"/>
        <n v="5.9"/>
        <n v="37.979999999999997"/>
        <n v="34.24"/>
        <n v="99.45"/>
        <n v="53.93"/>
        <n v="16.760000000000002"/>
        <n v="135.35"/>
        <n v="13.9"/>
        <n v="58.38"/>
        <n v="21.81"/>
        <n v="48.56"/>
        <n v="371.21"/>
        <n v="345.3"/>
        <n v="51.23"/>
        <n v="66.94"/>
        <n v="26.72"/>
        <n v="115.8"/>
        <n v="9.2799999999999994"/>
        <n v="17.78"/>
        <n v="275.12"/>
        <n v="53.38"/>
        <n v="77.59"/>
        <n v="7"/>
        <n v="61.38"/>
        <n v="9.7899999999999991"/>
        <n v="26.92"/>
        <n v="29.08"/>
        <n v="45.48"/>
        <n v="4.87"/>
        <n v="19.93"/>
        <n v="239.53"/>
        <n v="17.329999999999998"/>
        <n v="292.37"/>
        <n v="13.36"/>
        <n v="12.11"/>
        <n v="94.04"/>
        <n v="40.25"/>
        <n v="24.54"/>
        <n v="36.840000000000003"/>
        <n v="130.63"/>
        <n v="46.74"/>
        <n v="38.76"/>
        <n v="87.75"/>
        <n v="10.52"/>
        <n v="13.97"/>
        <n v="51.41"/>
        <n v="47.84"/>
        <n v="45.95"/>
        <n v="16.16"/>
        <n v="39.32"/>
        <n v="210.89"/>
        <n v="177.54"/>
        <n v="42.25"/>
        <n v="10.34"/>
        <n v="54.34"/>
        <n v="61.78"/>
        <n v="17.350000000000001"/>
        <n v="8.2899999999999991"/>
        <n v="144.76"/>
        <n v="88.95"/>
        <n v="44.69"/>
        <n v="106.07"/>
        <n v="55.43"/>
        <n v="58.73"/>
        <n v="215.11"/>
        <n v="86.2"/>
        <n v="21.57"/>
        <n v="20.84"/>
        <n v="6.32"/>
        <n v="40.909999999999997"/>
        <n v="171.68"/>
        <n v="288.51"/>
        <n v="57.02"/>
        <n v="58.15"/>
        <n v="56.22"/>
        <n v="186.09"/>
        <n v="74.260000000000005"/>
        <n v="66.349999999999994"/>
        <n v="45.27"/>
        <n v="6.86"/>
        <n v="123.89"/>
        <n v="15.77"/>
        <n v="8.27"/>
        <n v="36.18"/>
        <n v="13.86"/>
        <n v="36.53"/>
        <n v="62.77"/>
        <n v="39.61"/>
        <n v="239.49"/>
        <n v="6.5"/>
        <n v="79.16"/>
        <n v="46.43"/>
        <n v="259.75"/>
        <n v="60.7"/>
        <n v="14.78"/>
        <n v="18.59"/>
        <n v="75.25"/>
        <n v="181.78"/>
        <n v="15.61"/>
        <n v="11.05"/>
        <n v="6.95"/>
        <n v="50.22"/>
        <n v="66.12"/>
        <n v="81.97"/>
        <n v="120.71"/>
        <n v="62.59"/>
        <n v="63.14"/>
        <n v="38.82"/>
        <n v="446.58"/>
        <n v="24.35"/>
        <n v="7.36"/>
        <n v="250.01"/>
        <n v="66.53"/>
        <n v="45.43"/>
        <n v="11.64"/>
        <n v="171.86"/>
        <n v="25.68"/>
        <n v="55.09"/>
        <n v="14.87"/>
        <n v="282.23"/>
        <n v="5.74"/>
        <n v="10.53"/>
        <n v="76.16"/>
        <n v="84.66"/>
        <n v="44.66"/>
        <n v="329.54"/>
        <n v="6.27"/>
        <n v="8.94"/>
        <n v="39.270000000000003"/>
        <n v="13.74"/>
        <n v="12.49"/>
        <n v="38.770000000000003"/>
        <n v="173.33"/>
        <n v="66.19"/>
        <n v="72.64"/>
        <n v="253.85"/>
        <n v="12.47"/>
        <n v="70.900000000000006"/>
        <n v="6.45"/>
        <n v="69.3"/>
        <n v="212.35"/>
        <n v="76.2"/>
        <n v="44.65"/>
        <n v="13.27"/>
        <n v="105.02"/>
        <n v="49.09"/>
        <n v="416.86"/>
        <n v="20.149999999999999"/>
        <n v="12.97"/>
        <n v="47.58"/>
        <n v="22.51"/>
        <n v="142.21"/>
        <n v="60.18"/>
        <n v="44.45"/>
        <n v="234.12"/>
        <n v="115.76"/>
        <n v="219.08"/>
        <n v="23.83"/>
        <n v="127.03"/>
        <n v="26.43"/>
        <n v="9.2100000000000009"/>
        <n v="18.18"/>
        <n v="45.26"/>
        <n v="12.48"/>
        <n v="9.4"/>
        <n v="9.86"/>
        <n v="73.19"/>
        <n v="56.84"/>
        <n v="185.01"/>
        <n v="82.49"/>
        <n v="71.81"/>
        <n v="67.72"/>
        <n v="87.29"/>
        <n v="32.200000000000003"/>
        <n v="266.33"/>
        <n v="162.72999999999999"/>
        <n v="9.15"/>
        <n v="31.26"/>
        <n v="186.71"/>
        <n v="49.36"/>
        <n v="68.02"/>
        <n v="79.25"/>
        <n v="43.25"/>
        <n v="306.48"/>
        <n v="52.22"/>
        <n v="16.32"/>
        <n v="92.96"/>
        <n v="63.72"/>
        <n v="291.52"/>
        <n v="62.51"/>
        <n v="72.27"/>
        <n v="46.41"/>
        <n v="27.85"/>
        <n v="148.04"/>
        <n v="26.79"/>
        <n v="27.73"/>
        <n v="119.38"/>
        <n v="57.05"/>
        <n v="14.06"/>
        <n v="51.1"/>
        <n v="26.45"/>
        <n v="15.54"/>
        <n v="42.63"/>
        <n v="302.08"/>
        <n v="22.63"/>
        <n v="60.59"/>
        <n v="16.2"/>
        <n v="230.1"/>
        <n v="78.3"/>
        <n v="46.46"/>
        <n v="53.74"/>
        <n v="3.03"/>
        <n v="15.32"/>
        <n v="12.93"/>
        <n v="71.91"/>
        <n v="146.19999999999999"/>
        <n v="40.32"/>
        <n v="228"/>
        <n v="107.1"/>
        <n v="11.74"/>
        <n v="59.14"/>
        <n v="239.93"/>
        <n v="48.49"/>
        <n v="45.77"/>
        <n v="14.68"/>
        <n v="163.97"/>
        <n v="55.66"/>
        <n v="112.7"/>
        <n v="71.02"/>
        <n v="3.72"/>
        <n v="11.45"/>
        <n v="14.94"/>
        <n v="52.34"/>
        <n v="128.18"/>
        <n v="7.4"/>
        <n v="418.59"/>
        <n v="28.19"/>
        <n v="48.23"/>
        <n v="13.18"/>
        <n v="17.18"/>
        <n v="135.69"/>
        <n v="51.32"/>
        <n v="64.33"/>
        <n v="137.47"/>
        <n v="61.85"/>
        <n v="67.37"/>
        <n v="81.59"/>
        <n v="48.66"/>
        <n v="29.97"/>
        <n v="29.02"/>
        <n v="78.8"/>
        <n v="67.91"/>
        <n v="17.48"/>
        <n v="55.31"/>
        <n v="25.46"/>
        <n v="19.04"/>
        <n v="29.19"/>
        <n v="136.47999999999999"/>
        <n v="20.22"/>
        <n v="48.96"/>
        <n v="47.73"/>
        <n v="268.81"/>
        <n v="50.88"/>
        <n v="45.17"/>
        <n v="77.8"/>
        <n v="14.79"/>
        <n v="17.829999999999998"/>
        <n v="222.57"/>
        <n v="42.99"/>
        <n v="11.48"/>
        <n v="34.92"/>
        <n v="24.3"/>
        <n v="13.42"/>
        <n v="42.23"/>
        <n v="53.71"/>
        <n v="23.09"/>
        <n v="164.84"/>
        <n v="219.67"/>
        <n v="16.100000000000001"/>
        <n v="90.62"/>
        <n v="9.7799999999999994"/>
        <n v="154.97"/>
        <n v="20.57"/>
        <n v="116.2"/>
        <n v="27.29"/>
        <n v="128.69999999999999"/>
        <n v="93.28"/>
        <n v="193.39"/>
        <n v="31.57"/>
        <n v="14.71"/>
        <n v="115.93"/>
        <n v="39.65"/>
        <n v="13.25"/>
        <n v="9.3800000000000008"/>
        <n v="55.11"/>
        <n v="60.01"/>
        <n v="19.7"/>
        <n v="8.77"/>
        <n v="44.96"/>
        <n v="19.2"/>
        <n v="165.71"/>
        <n v="155.22"/>
        <n v="238.98"/>
        <n v="12.81"/>
        <n v="32.49"/>
        <n v="67.489999999999995"/>
        <n v="294.08999999999997"/>
        <n v="61.12"/>
        <n v="46.7"/>
        <n v="25.36"/>
        <n v="84.96"/>
        <n v="15.62"/>
        <n v="155.55000000000001"/>
        <n v="138.55000000000001"/>
        <n v="76.94"/>
        <n v="31.3"/>
        <n v="320.60000000000002"/>
        <n v="172.2"/>
        <n v="163.76"/>
        <n v="36.57"/>
        <n v="17.87"/>
        <n v="11.65"/>
        <n v="136.78"/>
        <n v="34"/>
        <n v="155.18"/>
        <n v="59.73"/>
        <n v="217.51"/>
        <n v="60.6"/>
        <n v="166.65"/>
        <n v="12.86"/>
        <n v="53.7"/>
        <n v="129.13999999999999"/>
        <n v="31.62"/>
        <n v="56.61"/>
        <n v="82.26"/>
        <n v="29.71"/>
        <n v="144.04"/>
        <n v="46.45"/>
        <n v="215.75"/>
        <n v="18.399999999999999"/>
        <n v="250.2"/>
        <n v="17.16"/>
        <n v="18.940000000000001"/>
        <n v="45.23"/>
        <n v="26.13"/>
        <n v="37.700000000000003"/>
        <n v="125.15"/>
        <n v="184.19"/>
        <n v="6.93"/>
        <n v="10.73"/>
        <n v="51.67"/>
        <n v="38.97"/>
        <n v="8.5"/>
        <n v="79.180000000000007"/>
        <n v="40.98"/>
        <n v="43.41"/>
        <n v="38.1"/>
        <n v="14.92"/>
        <n v="122.78"/>
        <n v="323.26"/>
        <n v="18.45"/>
        <n v="5.41"/>
        <n v="45.5"/>
        <n v="105.75"/>
        <n v="39.94"/>
        <n v="6.54"/>
        <n v="12.72"/>
        <n v="12.85"/>
        <n v="6.01"/>
        <n v="243.91"/>
        <n v="7.22"/>
        <n v="46.37"/>
        <n v="133.22999999999999"/>
        <n v="37.58"/>
        <n v="175.88"/>
        <n v="24.53"/>
        <n v="10.15"/>
        <n v="33.54"/>
        <n v="213.39"/>
        <n v="114.98"/>
        <n v="5.01"/>
        <n v="9.93"/>
        <n v="41.25"/>
        <n v="115.16"/>
        <n v="54.27"/>
        <n v="100.53"/>
        <n v="37.44"/>
        <n v="65.87"/>
        <n v="11.24"/>
        <n v="148.46"/>
        <n v="10.07"/>
        <n v="159.65"/>
        <n v="11.67"/>
        <n v="16.7"/>
        <n v="408.13"/>
        <n v="22.94"/>
        <n v="112.24"/>
        <n v="133.72"/>
        <n v="132.13999999999999"/>
        <n v="177.5"/>
        <n v="91.93"/>
        <n v="52.67"/>
        <n v="3.44"/>
        <n v="16.98"/>
        <n v="6.96"/>
        <n v="49.74"/>
        <n v="126.48"/>
        <n v="81.06"/>
        <n v="95.57"/>
        <n v="177.19"/>
        <n v="134.93"/>
        <n v="84.99"/>
        <n v="89.6"/>
        <n v="4.99"/>
        <n v="24.99"/>
        <n v="32.11"/>
        <n v="39.86"/>
        <n v="44.68"/>
        <n v="19.010000000000002"/>
        <n v="422.4"/>
        <n v="227.94"/>
        <n v="11.32"/>
        <n v="56.68"/>
        <n v="125.68"/>
        <n v="111.51"/>
        <n v="27.7"/>
        <n v="12.26"/>
        <n v="166.9"/>
        <n v="51.63"/>
        <n v="144.88999999999999"/>
        <n v="13.53"/>
        <n v="18.899999999999999"/>
        <n v="16.309999999999999"/>
        <n v="70.84"/>
        <n v="19.61"/>
        <n v="284.77999999999997"/>
        <n v="61.31"/>
        <n v="22.6"/>
        <n v="34.770000000000003"/>
        <n v="17.93"/>
        <n v="65.25"/>
        <n v="38.03"/>
        <n v="53.91"/>
        <n v="40.01"/>
        <n v="8.98"/>
        <n v="29.12"/>
        <n v="12.16"/>
        <n v="17.670000000000002"/>
        <n v="94.65"/>
        <n v="49.81"/>
        <n v="42.35"/>
        <n v="16.22"/>
        <n v="75.930000000000007"/>
        <n v="13.01"/>
        <n v="15.36"/>
        <n v="59.17"/>
        <n v="40.96"/>
        <n v="117.46"/>
        <n v="12.71"/>
        <n v="38.49"/>
        <n v="431.91"/>
        <n v="46.07"/>
        <n v="27.46"/>
        <n v="239.62"/>
        <n v="59.54"/>
        <n v="77.09"/>
        <n v="29.22"/>
        <n v="94.59"/>
        <n v="22.61"/>
        <n v="178.14"/>
        <n v="274.79000000000002"/>
        <n v="143.11000000000001"/>
        <n v="94.55"/>
        <n v="367.48"/>
        <n v="196.01"/>
        <n v="44.78"/>
        <n v="41.19"/>
        <n v="30.37"/>
        <n v="46.12"/>
        <n v="123.59"/>
        <n v="85.59"/>
        <n v="59.5"/>
        <n v="7.1"/>
        <n v="21.92"/>
        <n v="279.64999999999998"/>
        <n v="49.84"/>
        <n v="271.05"/>
        <n v="77.91"/>
        <n v="109.79"/>
        <n v="116.48"/>
        <n v="5.71"/>
        <n v="56.01"/>
        <n v="49.04"/>
        <n v="137.38999999999999"/>
        <n v="95.66"/>
        <n v="45.61"/>
        <n v="27.82"/>
        <n v="107.11"/>
        <n v="81.709999999999994"/>
        <n v="31.28"/>
        <n v="8.7799999999999994"/>
        <n v="115.18"/>
        <n v="111.03"/>
        <n v="39.06"/>
        <n v="15.81"/>
        <n v="41.55"/>
        <n v="30.49"/>
        <n v="35.06"/>
        <n v="46.59"/>
        <n v="36.299999999999997"/>
        <n v="139.35"/>
        <n v="39.229999999999997"/>
        <n v="20.38"/>
        <n v="15.79"/>
        <n v="79.7"/>
        <n v="141.99"/>
        <n v="70.12"/>
        <n v="45.19"/>
        <n v="37.479999999999997"/>
        <n v="12.12"/>
        <n v="33.659999999999997"/>
        <n v="85.05"/>
        <n v="175.98"/>
        <n v="161.29"/>
        <n v="377.92"/>
        <n v="17.45"/>
        <n v="89.1"/>
        <n v="162.84"/>
        <n v="56.91"/>
        <n v="20.71"/>
        <n v="153.82"/>
        <n v="75.599999999999994"/>
        <n v="222.78"/>
        <n v="80.08"/>
        <n v="38.659999999999997"/>
        <n v="95.44"/>
        <n v="61.71"/>
        <n v="161.02000000000001"/>
        <n v="17.55"/>
        <n v="62.48"/>
        <n v="5.25"/>
        <n v="241.54"/>
        <n v="7.54"/>
        <n v="195.17"/>
        <n v="37.450000000000003"/>
        <n v="48.19"/>
        <n v="293.43"/>
        <n v="94.47"/>
        <n v="40.83"/>
        <n v="68.69"/>
        <n v="396.83"/>
        <n v="28.55"/>
        <n v="52.17"/>
        <n v="70.319999999999993"/>
        <n v="9.6999999999999993"/>
        <n v="10.29"/>
        <n v="39.869999999999997"/>
        <n v="64.38"/>
        <n v="42.67"/>
        <n v="330.31"/>
        <n v="105.62"/>
        <n v="195.6"/>
        <n v="64.16"/>
        <n v="85.22"/>
        <n v="9.94"/>
        <n v="167.52"/>
        <n v="237.11"/>
        <n v="311.45999999999998"/>
        <n v="42.2"/>
        <n v="15.3"/>
        <n v="72.47"/>
        <n v="118.21"/>
        <n v="15.04"/>
        <n v="7.09"/>
        <n v="103.88"/>
        <n v="15.78"/>
        <n v="10.63"/>
        <n v="78.87"/>
        <n v="153.30000000000001"/>
        <n v="171.18"/>
        <n v="198.45"/>
        <n v="4.32"/>
        <n v="62.91"/>
        <n v="41.86"/>
        <n v="116.5"/>
        <n v="190.05"/>
        <n v="63.03"/>
        <n v="55.18"/>
        <n v="190.58"/>
        <n v="14.09"/>
        <n v="26.66"/>
        <n v="109.17"/>
        <n v="34.31"/>
        <n v="5.4"/>
        <n v="56.99"/>
        <n v="18.13"/>
        <n v="67.56"/>
        <n v="128.66"/>
        <n v="145.38999999999999"/>
        <n v="301.44"/>
        <n v="333.64"/>
        <n v="57.2"/>
        <n v="60.42"/>
        <n v="9.26"/>
        <n v="81.900000000000006"/>
        <n v="50.77"/>
        <n v="35.76"/>
        <n v="164.93"/>
        <n v="70.849999999999994"/>
        <n v="46.96"/>
        <n v="35.090000000000003"/>
        <n v="31.02"/>
        <n v="57.57"/>
        <n v="66.819999999999993"/>
        <n v="31.44"/>
        <n v="32.700000000000003"/>
        <n v="21.86"/>
        <n v="5.03"/>
        <n v="7.81"/>
        <n v="63.63"/>
        <n v="107.74"/>
        <n v="11.36"/>
        <n v="31.6"/>
        <n v="36.619999999999997"/>
        <n v="38.24"/>
        <n v="59.6"/>
        <n v="40.46"/>
        <n v="18.809999999999999"/>
        <n v="61.28"/>
        <n v="79.5"/>
        <n v="43.24"/>
        <n v="98.63"/>
        <n v="82.5"/>
        <n v="11.46"/>
        <n v="147.88"/>
        <n v="249.9"/>
        <n v="47.09"/>
        <n v="14.48"/>
        <n v="44.91"/>
        <n v="17.760000000000002"/>
        <n v="40.549999999999997"/>
        <n v="414.09"/>
        <n v="90.28"/>
        <n v="217.52"/>
        <n v="70.89"/>
        <n v="178.05"/>
        <n v="320.82"/>
        <n v="92.98"/>
        <n v="61.98"/>
        <n v="24.23"/>
        <n v="248.6"/>
        <n v="297.83999999999997"/>
        <n v="110.54"/>
        <n v="48.57"/>
        <n v="12.96"/>
        <n v="79.069999999999993"/>
        <n v="41.12"/>
        <n v="7.84"/>
        <n v="102.08"/>
        <n v="165.86"/>
        <n v="129.18"/>
        <n v="72.91"/>
        <n v="53.65"/>
        <n v="272.64"/>
        <n v="166.68"/>
        <n v="263.77"/>
        <n v="78.41"/>
        <n v="6.76"/>
        <n v="13.79"/>
        <n v="14.04"/>
        <n v="13.54"/>
        <n v="73.819999999999993"/>
        <n v="9.0399999999999991"/>
        <n v="8"/>
        <n v="41.83"/>
        <n v="17.07"/>
        <n v="34.21"/>
        <n v="71.05"/>
        <n v="198.02"/>
        <n v="280.54000000000002"/>
        <n v="112.34"/>
        <n v="188.36"/>
        <n v="23.95"/>
        <n v="25.11"/>
        <n v="121"/>
        <n v="24.61"/>
        <n v="118.2"/>
        <n v="75.55"/>
        <n v="23.57"/>
        <n v="45.56"/>
        <n v="38.28"/>
        <n v="4.2699999999999996"/>
        <n v="9.8699999999999992"/>
        <n v="13.2"/>
        <n v="31.37"/>
        <n v="66.790000000000006"/>
        <n v="17.12"/>
        <n v="189.49"/>
        <n v="72.25"/>
        <n v="12.44"/>
        <n v="41.13"/>
        <n v="19.350000000000001"/>
        <n v="121.88"/>
        <n v="48.3"/>
        <n v="40.369999999999997"/>
        <n v="26.38"/>
        <n v="46.65"/>
        <n v="28.76"/>
        <n v="128.26"/>
        <n v="13.26"/>
        <n v="56.46"/>
        <n v="130.57"/>
        <n v="107.98"/>
        <n v="45.07"/>
        <n v="87.05"/>
        <n v="194.57"/>
        <n v="416.05"/>
        <n v="98.02"/>
        <n v="11.75"/>
        <n v="242.14"/>
        <n v="9.32"/>
        <n v="183.87"/>
        <n v="52.93"/>
        <n v="68.790000000000006"/>
        <n v="54.8"/>
        <n v="46.63"/>
        <n v="223.52"/>
        <n v="63.87"/>
        <n v="130.38999999999999"/>
        <n v="70.680000000000007"/>
        <n v="55.45"/>
        <n v="83.9"/>
        <n v="30.28"/>
        <n v="101.37"/>
        <n v="88.14"/>
        <n v="48.39"/>
        <n v="77.11"/>
        <n v="84.14"/>
        <n v="204.17"/>
        <n v="15.08"/>
        <n v="177.9"/>
        <n v="104.73"/>
        <n v="59.27"/>
        <n v="31.79"/>
        <n v="28.27"/>
      </sharedItems>
    </cacheField>
    <cacheField name="Discount_Percent" numFmtId="0">
      <sharedItems containsSemiMixedTypes="0" containsString="0" containsNumber="1" containsInteger="1" minValue="0" maxValue="30" count="7">
        <n v="0"/>
        <n v="20"/>
        <n v="15"/>
        <n v="10"/>
        <n v="5"/>
        <n v="30"/>
        <n v="25"/>
      </sharedItems>
    </cacheField>
    <cacheField name="Total_Sales" numFmtId="0">
      <sharedItems containsSemiMixedTypes="0" containsString="0" containsNumber="1" minValue="2.42" maxValue="3813.98"/>
    </cacheField>
    <cacheField name="Shipping_Cost" numFmtId="0">
      <sharedItems containsSemiMixedTypes="0" containsString="0" containsNumber="1" minValue="5.52" maxValue="40.44"/>
    </cacheField>
    <cacheField name="Profit" numFmtId="0">
      <sharedItems containsSemiMixedTypes="0" containsString="0" containsNumber="1" minValue="-11.28" maxValue="1373.63" count="1855">
        <n v="124.92"/>
        <n v="83.62"/>
        <n v="3.69"/>
        <n v="26.32"/>
        <n v="253.44"/>
        <n v="12.7"/>
        <n v="8.44"/>
        <n v="9.36"/>
        <n v="221.96"/>
        <n v="8.5399999999999991"/>
        <n v="12.99"/>
        <n v="-2.08"/>
        <n v="8.9499999999999993"/>
        <n v="18.32"/>
        <n v="-0.46"/>
        <n v="17.760000000000002"/>
        <n v="254.21"/>
        <n v="299.17"/>
        <n v="221.57"/>
        <n v="3.62"/>
        <n v="-5.87"/>
        <n v="22.77"/>
        <n v="22.07"/>
        <n v="-3.85"/>
        <n v="491.36"/>
        <n v="7.71"/>
        <n v="36.159999999999997"/>
        <n v="199.72"/>
        <n v="27.81"/>
        <n v="27.3"/>
        <n v="39.770000000000003"/>
        <n v="-4.55"/>
        <n v="-0.77"/>
        <n v="55.56"/>
        <n v="33.57"/>
        <n v="60.82"/>
        <n v="154.97999999999999"/>
        <n v="0.34"/>
        <n v="65.92"/>
        <n v="9.3000000000000007"/>
        <n v="15.54"/>
        <n v="24.82"/>
        <n v="14.57"/>
        <n v="98.68"/>
        <n v="588.72"/>
        <n v="7.59"/>
        <n v="-4.07"/>
        <n v="18.309999999999999"/>
        <n v="68.41"/>
        <n v="113.76"/>
        <n v="319.52"/>
        <n v="4.1900000000000004"/>
        <n v="9.2899999999999991"/>
        <n v="-9.69"/>
        <n v="146.54"/>
        <n v="56.92"/>
        <n v="468.09"/>
        <n v="-6.6"/>
        <n v="145.13999999999999"/>
        <n v="15.52"/>
        <n v="54.76"/>
        <n v="24.46"/>
        <n v="-6.1"/>
        <n v="180.93"/>
        <n v="433.81"/>
        <n v="678.86"/>
        <n v="45.31"/>
        <n v="378.75"/>
        <n v="56.3"/>
        <n v="-0.4"/>
        <n v="142.09"/>
        <n v="9.5399999999999991"/>
        <n v="105.94"/>
        <n v="282.29000000000002"/>
        <n v="9.7100000000000009"/>
        <n v="25.04"/>
        <n v="60.48"/>
        <n v="60.74"/>
        <n v="30.26"/>
        <n v="33.03"/>
        <n v="-2.54"/>
        <n v="10.32"/>
        <n v="90.39"/>
        <n v="248.13"/>
        <n v="113.2"/>
        <n v="1115.05"/>
        <n v="50.19"/>
        <n v="21.03"/>
        <n v="32.770000000000003"/>
        <n v="4.18"/>
        <n v="70.31"/>
        <n v="10.97"/>
        <n v="-3.99"/>
        <n v="17.91"/>
        <n v="185.09"/>
        <n v="27.71"/>
        <n v="16.89"/>
        <n v="2.52"/>
        <n v="14.73"/>
        <n v="111.69"/>
        <n v="-1.41"/>
        <n v="248.72"/>
        <n v="-1.1399999999999999"/>
        <n v="26.71"/>
        <n v="0.26"/>
        <n v="167.47"/>
        <n v="265.39"/>
        <n v="0.3"/>
        <n v="24.6"/>
        <n v="-6.16"/>
        <n v="73.08"/>
        <n v="12.09"/>
        <n v="26.59"/>
        <n v="221.25"/>
        <n v="111.73"/>
        <n v="35.549999999999997"/>
        <n v="-1.04"/>
        <n v="286.77"/>
        <n v="-2"/>
        <n v="9.0299999999999994"/>
        <n v="37.26"/>
        <n v="90"/>
        <n v="247.62"/>
        <n v="40.68"/>
        <n v="107.7"/>
        <n v="3.8"/>
        <n v="220.87"/>
        <n v="-0.72"/>
        <n v="233.58"/>
        <n v="3.96"/>
        <n v="94.68"/>
        <n v="-0.3"/>
        <n v="58.02"/>
        <n v="1370.08"/>
        <n v="90.35"/>
        <n v="-1.94"/>
        <n v="46.62"/>
        <n v="104.15"/>
        <n v="23.83"/>
        <n v="464.29"/>
        <n v="325.93"/>
        <n v="98.71"/>
        <n v="153.26"/>
        <n v="70.42"/>
        <n v="127.82"/>
        <n v="16.170000000000002"/>
        <n v="-3.68"/>
        <n v="30.46"/>
        <n v="25.39"/>
        <n v="30.28"/>
        <n v="21.58"/>
        <n v="15.28"/>
        <n v="7.15"/>
        <n v="14.44"/>
        <n v="564.46"/>
        <n v="15.42"/>
        <n v="99.03"/>
        <n v="3.85"/>
        <n v="98.83"/>
        <n v="7.87"/>
        <n v="28.41"/>
        <n v="0.69"/>
        <n v="194.02"/>
        <n v="54.62"/>
        <n v="-2.21"/>
        <n v="109.12"/>
        <n v="59.99"/>
        <n v="47.64"/>
        <n v="-5.95"/>
        <n v="41.71"/>
        <n v="57.46"/>
        <n v="35.29"/>
        <n v="40.28"/>
        <n v="137.04"/>
        <n v="12.3"/>
        <n v="-8.7799999999999994"/>
        <n v="134.77000000000001"/>
        <n v="14.94"/>
        <n v="5.66"/>
        <n v="59.24"/>
        <n v="486.56"/>
        <n v="252.8"/>
        <n v="93.33"/>
        <n v="49.84"/>
        <n v="57.13"/>
        <n v="16.48"/>
        <n v="323.39999999999998"/>
        <n v="239.82"/>
        <n v="90.28"/>
        <n v="5.74"/>
        <n v="32.700000000000003"/>
        <n v="51.17"/>
        <n v="9.69"/>
        <n v="69.84"/>
        <n v="128.75"/>
        <n v="220.8"/>
        <n v="-3.9"/>
        <n v="5.67"/>
        <n v="7.01"/>
        <n v="4.45"/>
        <n v="88.42"/>
        <n v="-8.8699999999999992"/>
        <n v="1.46"/>
        <n v="19.73"/>
        <n v="394.52"/>
        <n v="0.33"/>
        <n v="29.03"/>
        <n v="-2.89"/>
        <n v="-4.84"/>
        <n v="18.12"/>
        <n v="35.6"/>
        <n v="68.37"/>
        <n v="91.33"/>
        <n v="72.61"/>
        <n v="500.67"/>
        <n v="11.06"/>
        <n v="26.11"/>
        <n v="78.83"/>
        <n v="11.63"/>
        <n v="53.58"/>
        <n v="153.78"/>
        <n v="94.84"/>
        <n v="-5.43"/>
        <n v="6.08"/>
        <n v="156.22999999999999"/>
        <n v="100.47"/>
        <n v="25.57"/>
        <n v="20.22"/>
        <n v="227.12"/>
        <n v="58.87"/>
        <n v="49.9"/>
        <n v="7.35"/>
        <n v="96.77"/>
        <n v="59.92"/>
        <n v="6"/>
        <n v="15.8"/>
        <n v="21.78"/>
        <n v="77.25"/>
        <n v="33.76"/>
        <n v="2.2400000000000002"/>
        <n v="535.99"/>
        <n v="43.68"/>
        <n v="74.59"/>
        <n v="-4.12"/>
        <n v="-1.76"/>
        <n v="131.29"/>
        <n v="0.8"/>
        <n v="-6.88"/>
        <n v="45.7"/>
        <n v="1.93"/>
        <n v="-0.93"/>
        <n v="34.32"/>
        <n v="56.76"/>
        <n v="14.09"/>
        <n v="-5.16"/>
        <n v="55.93"/>
        <n v="0.12"/>
        <n v="5.12"/>
        <n v="-3.94"/>
        <n v="15.43"/>
        <n v="162.27000000000001"/>
        <n v="657.16"/>
        <n v="86.25"/>
        <n v="115.42"/>
        <n v="23.43"/>
        <n v="53.86"/>
        <n v="131.02000000000001"/>
        <n v="51.28"/>
        <n v="185.38"/>
        <n v="2.4500000000000002"/>
        <n v="14.46"/>
        <n v="26.9"/>
        <n v="-5.55"/>
        <n v="89.26"/>
        <n v="72.599999999999994"/>
        <n v="1373.63"/>
        <n v="168.64"/>
        <n v="13.22"/>
        <n v="-2.56"/>
        <n v="25.67"/>
        <n v="30.61"/>
        <n v="30.83"/>
        <n v="101.55"/>
        <n v="30.02"/>
        <n v="76.89"/>
        <n v="104.96"/>
        <n v="-2.68"/>
        <n v="39.840000000000003"/>
        <n v="-0.16"/>
        <n v="170.35"/>
        <n v="12.28"/>
        <n v="47.96"/>
        <n v="222.86"/>
        <n v="-2.37"/>
        <n v="53.57"/>
        <n v="87.15"/>
        <n v="27.04"/>
        <n v="26.45"/>
        <n v="41.12"/>
        <n v="24.56"/>
        <n v="413.61"/>
        <n v="-3.52"/>
        <n v="16.899999999999999"/>
        <n v="-3.55"/>
        <n v="11.37"/>
        <n v="299.08999999999997"/>
        <n v="24.07"/>
        <n v="-2.67"/>
        <n v="74.05"/>
        <n v="93.18"/>
        <n v="24.98"/>
        <n v="-11.28"/>
        <n v="3.38"/>
        <n v="48.26"/>
        <n v="17.059999999999999"/>
        <n v="-6.11"/>
        <n v="156.02000000000001"/>
        <n v="97.88"/>
        <n v="9.14"/>
        <n v="56.82"/>
        <n v="7.7"/>
        <n v="-4.93"/>
        <n v="678.15"/>
        <n v="184.13"/>
        <n v="633.6"/>
        <n v="75.319999999999993"/>
        <n v="44.26"/>
        <n v="15.76"/>
        <n v="55.66"/>
        <n v="13.02"/>
        <n v="11.12"/>
        <n v="447.36"/>
        <n v="37.92"/>
        <n v="2.1800000000000002"/>
        <n v="719.68"/>
        <n v="46.81"/>
        <n v="34.56"/>
        <n v="362.63"/>
        <n v="-3.1"/>
        <n v="22.31"/>
        <n v="8.83"/>
        <n v="-7.85"/>
        <n v="17.55"/>
        <n v="-6.52"/>
        <n v="106.48"/>
        <n v="-3.63"/>
        <n v="-4.97"/>
        <n v="-1.44"/>
        <n v="3.56"/>
        <n v="18.63"/>
        <n v="41.81"/>
        <n v="-1.9"/>
        <n v="62.71"/>
        <n v="142.02000000000001"/>
        <n v="59.93"/>
        <n v="277.41000000000003"/>
        <n v="182.73"/>
        <n v="14.81"/>
        <n v="4.13"/>
        <n v="-2.5099999999999998"/>
        <n v="12.83"/>
        <n v="52.58"/>
        <n v="12.48"/>
        <n v="50.3"/>
        <n v="-0.06"/>
        <n v="1.1499999999999999"/>
        <n v="78.48"/>
        <n v="91.48"/>
        <n v="87.16"/>
        <n v="54.58"/>
        <n v="58.42"/>
        <n v="89.89"/>
        <n v="102.62"/>
        <n v="1.08"/>
        <n v="1.67"/>
        <n v="76.97"/>
        <n v="-0.54"/>
        <n v="164.92"/>
        <n v="1.18"/>
        <n v="13.35"/>
        <n v="24.14"/>
        <n v="26.54"/>
        <n v="3.16"/>
        <n v="16.21"/>
        <n v="98.95"/>
        <n v="216.56"/>
        <n v="17.7"/>
        <n v="9.4600000000000009"/>
        <n v="104"/>
        <n v="-1.62"/>
        <n v="-2.91"/>
        <n v="32.72"/>
        <n v="10.27"/>
        <n v="144.4"/>
        <n v="6.53"/>
        <n v="0.94"/>
        <n v="104.2"/>
        <n v="-7.14"/>
        <n v="29.09"/>
        <n v="37.46"/>
        <n v="-4.99"/>
        <n v="619.46"/>
        <n v="89.58"/>
        <n v="203.98"/>
        <n v="-1.95"/>
        <n v="49.79"/>
        <n v="237.4"/>
        <n v="34.520000000000003"/>
        <n v="184.98"/>
        <n v="20.53"/>
        <n v="-7.92"/>
        <n v="58.34"/>
        <n v="2.65"/>
        <n v="2.09"/>
        <n v="1.5"/>
        <n v="-1.58"/>
        <n v="55.33"/>
        <n v="17.010000000000002"/>
        <n v="133.44"/>
        <n v="9.43"/>
        <n v="11.55"/>
        <n v="9.7799999999999994"/>
        <n v="72.84"/>
        <n v="-2.74"/>
        <n v="186.83"/>
        <n v="109.99"/>
        <n v="-7.04"/>
        <n v="-6.35"/>
        <n v="37.39"/>
        <n v="1.62"/>
        <n v="-1.52"/>
        <n v="53.71"/>
        <n v="-2.31"/>
        <n v="243.24"/>
        <n v="11.77"/>
        <n v="52.78"/>
        <n v="25.15"/>
        <n v="102"/>
        <n v="-4.05"/>
        <n v="28.55"/>
        <n v="3.14"/>
        <n v="36.9"/>
        <n v="25.63"/>
        <n v="136.04"/>
        <n v="7.14"/>
        <n v="2.08"/>
        <n v="42.69"/>
        <n v="124.42"/>
        <n v="52.57"/>
        <n v="9.92"/>
        <n v="187.95"/>
        <n v="26.83"/>
        <n v="-2.4900000000000002"/>
        <n v="152.58000000000001"/>
        <n v="143.04"/>
        <n v="261.2"/>
        <n v="49.88"/>
        <n v="79.08"/>
        <n v="96.46"/>
        <n v="190.55"/>
        <n v="-5.24"/>
        <n v="38.64"/>
        <n v="39.049999999999997"/>
        <n v="43.4"/>
        <n v="4.1100000000000003"/>
        <n v="78.28"/>
        <n v="46.68"/>
        <n v="165.2"/>
        <n v="7.02"/>
        <n v="47.2"/>
        <n v="273.61"/>
        <n v="29.91"/>
        <n v="26.65"/>
        <n v="85.17"/>
        <n v="45.22"/>
        <n v="27.86"/>
        <n v="83.28"/>
        <n v="25.22"/>
        <n v="20.45"/>
        <n v="44.29"/>
        <n v="269.07"/>
        <n v="485.71"/>
        <n v="212.18"/>
        <n v="7.6"/>
        <n v="3.75"/>
        <n v="74.650000000000006"/>
        <n v="272.54000000000002"/>
        <n v="3.66"/>
        <n v="145.74"/>
        <n v="-8.7100000000000009"/>
        <n v="22.54"/>
        <n v="107.88"/>
        <n v="-3.2"/>
        <n v="2.36"/>
        <n v="15.66"/>
        <n v="125.12"/>
        <n v="130.59"/>
        <n v="5.63"/>
        <n v="53.37"/>
        <n v="874.37"/>
        <n v="113.38"/>
        <n v="416.67"/>
        <n v="73.349999999999994"/>
        <n v="329.99"/>
        <n v="1.0900000000000001"/>
        <n v="29.37"/>
        <n v="31.06"/>
        <n v="4.17"/>
        <n v="46.34"/>
        <n v="-0.27"/>
        <n v="0.38"/>
        <n v="22.61"/>
        <n v="18.760000000000002"/>
        <n v="-6.45"/>
        <n v="24.61"/>
        <n v="33.17"/>
        <n v="39.53"/>
        <n v="3.33"/>
        <n v="139.12"/>
        <n v="4.6900000000000004"/>
        <n v="4.82"/>
        <n v="73.010000000000005"/>
        <n v="19.89"/>
        <n v="15.12"/>
        <n v="114.79"/>
        <n v="92.9"/>
        <n v="5.05"/>
        <n v="242.29"/>
        <n v="99.5"/>
        <n v="12.8"/>
        <n v="46.9"/>
        <n v="244.33"/>
        <n v="21"/>
        <n v="19.28"/>
        <n v="43.57"/>
        <n v="-2.61"/>
        <n v="117.21"/>
        <n v="139.1"/>
        <n v="-5.89"/>
        <n v="19.86"/>
        <n v="-5.31"/>
        <n v="143.03"/>
        <n v="1.89"/>
        <n v="42.62"/>
        <n v="348.62"/>
        <n v="17.79"/>
        <n v="25.35"/>
        <n v="247.15"/>
        <n v="-4.51"/>
        <n v="82.5"/>
        <n v="115.02"/>
        <n v="59.31"/>
        <n v="13.24"/>
        <n v="61.48"/>
        <n v="12.57"/>
        <n v="67.94"/>
        <n v="124.82"/>
        <n v="0.18"/>
        <n v="2.56"/>
        <n v="82.3"/>
        <n v="111.11"/>
        <n v="9.44"/>
        <n v="-5.48"/>
        <n v="6.51"/>
        <n v="246.56"/>
        <n v="11.45"/>
        <n v="1.77"/>
        <n v="36.51"/>
        <n v="19.7"/>
        <n v="-2.83"/>
        <n v="66.3"/>
        <n v="13.45"/>
        <n v="71.010000000000005"/>
        <n v="-1.98"/>
        <n v="-2.5499999999999998"/>
        <n v="98.58"/>
        <n v="38.049999999999997"/>
        <n v="12.63"/>
        <n v="-1.79"/>
        <n v="63.3"/>
        <n v="209.81"/>
        <n v="-3.38"/>
        <n v="-7.98"/>
        <n v="158.9"/>
        <n v="193.56"/>
        <n v="129.05000000000001"/>
        <n v="209.43"/>
        <n v="139.01"/>
        <n v="2.12"/>
        <n v="46.61"/>
        <n v="10.81"/>
        <n v="458.48"/>
        <n v="33.799999999999997"/>
        <n v="46.12"/>
        <n v="40.630000000000003"/>
        <n v="-2.59"/>
        <n v="22.41"/>
        <n v="52.25"/>
        <n v="63.34"/>
        <n v="243.46"/>
        <n v="9.3800000000000008"/>
        <n v="23.12"/>
        <n v="-1.36"/>
        <n v="42.1"/>
        <n v="12.36"/>
        <n v="15.38"/>
        <n v="129.69999999999999"/>
        <n v="-6.94"/>
        <n v="56.62"/>
        <n v="11.2"/>
        <n v="-3.05"/>
        <n v="0.92"/>
        <n v="128.25"/>
        <n v="33"/>
        <n v="-0.9"/>
        <n v="52.65"/>
        <n v="-6.87"/>
        <n v="54.52"/>
        <n v="31.11"/>
        <n v="172.96"/>
        <n v="11.78"/>
        <n v="30.56"/>
        <n v="147.97999999999999"/>
        <n v="38.46"/>
        <n v="1.61"/>
        <n v="190.76"/>
        <n v="210.11"/>
        <n v="26.36"/>
        <n v="11.16"/>
        <n v="70.069999999999993"/>
        <n v="-8.6"/>
        <n v="90.91"/>
        <n v="98.92"/>
        <n v="4.7"/>
        <n v="-3.98"/>
        <n v="37.65"/>
        <n v="38.020000000000003"/>
        <n v="263.32"/>
        <n v="103.67"/>
        <n v="34.01"/>
        <n v="60.05"/>
        <n v="118.24"/>
        <n v="8.57"/>
        <n v="124.07"/>
        <n v="29.07"/>
        <n v="12.91"/>
        <n v="2.35"/>
        <n v="91.7"/>
        <n v="9.2799999999999994"/>
        <n v="-0.49"/>
        <n v="-0.22"/>
        <n v="16.3"/>
        <n v="29.31"/>
        <n v="56"/>
        <n v="5.27"/>
        <n v="57.75"/>
        <n v="47.34"/>
        <n v="174.52"/>
        <n v="39.909999999999997"/>
        <n v="22.87"/>
        <n v="63.57"/>
        <n v="7.03"/>
        <n v="-0.99"/>
        <n v="34.14"/>
        <n v="14.67"/>
        <n v="104.61"/>
        <n v="350.46"/>
        <n v="19.98"/>
        <n v="220.95"/>
        <n v="-1.82"/>
        <n v="4.53"/>
        <n v="87.09"/>
        <n v="128.08000000000001"/>
        <n v="0.28999999999999998"/>
        <n v="-4.95"/>
        <n v="55.97"/>
        <n v="74.67"/>
        <n v="47.74"/>
        <n v="-0.08"/>
        <n v="46.58"/>
        <n v="50.29"/>
        <n v="0.78"/>
        <n v="13.16"/>
        <n v="-5.91"/>
        <n v="23.33"/>
        <n v="18.329999999999998"/>
        <n v="-5.39"/>
        <n v="8.81"/>
        <n v="45.66"/>
        <n v="20"/>
        <n v="25.31"/>
        <n v="54.39"/>
        <n v="65.58"/>
        <n v="53.25"/>
        <n v="41.92"/>
        <n v="4.2300000000000004"/>
        <n v="29.66"/>
        <n v="413.7"/>
        <n v="10.47"/>
        <n v="9.9499999999999993"/>
        <n v="48.91"/>
        <n v="-2.16"/>
        <n v="25.88"/>
        <n v="20.350000000000001"/>
        <n v="-3.08"/>
        <n v="226.57"/>
        <n v="-1.93"/>
        <n v="79.73"/>
        <n v="165"/>
        <n v="286.92"/>
        <n v="148.76"/>
        <n v="9.19"/>
        <n v="105.1"/>
        <n v="647.70000000000005"/>
        <n v="78.98"/>
        <n v="48.85"/>
        <n v="415.78"/>
        <n v="4.4400000000000004"/>
        <n v="13.2"/>
        <n v="-1.24"/>
        <n v="199.01"/>
        <n v="42.95"/>
        <n v="1.48"/>
        <n v="-5.15"/>
        <n v="46.14"/>
        <n v="1189.79"/>
        <n v="74.94"/>
        <n v="10.83"/>
        <n v="53.94"/>
        <n v="19.45"/>
        <n v="67.040000000000006"/>
        <n v="58.03"/>
        <n v="16.14"/>
        <n v="66.19"/>
        <n v="-5.0199999999999996"/>
        <n v="-1.54"/>
        <n v="7.85"/>
        <n v="186.82"/>
        <n v="0.6"/>
        <n v="-0.01"/>
        <n v="37.54"/>
        <n v="63.6"/>
        <n v="153.38"/>
        <n v="263.7"/>
        <n v="40.03"/>
        <n v="263.44"/>
        <n v="12.66"/>
        <n v="26.06"/>
        <n v="-1.65"/>
        <n v="42.38"/>
        <n v="42.03"/>
        <n v="-5.32"/>
        <n v="-6.49"/>
        <n v="-0.53"/>
        <n v="146.76"/>
        <n v="37.42"/>
        <n v="122.32"/>
        <n v="124.75"/>
        <n v="237.16"/>
        <n v="-1.6"/>
        <n v="67.28"/>
        <n v="212.74"/>
        <n v="12.56"/>
        <n v="6.16"/>
        <n v="44.63"/>
        <n v="-6.7"/>
        <n v="208.57"/>
        <n v="-0.76"/>
        <n v="6.18"/>
        <n v="165.16"/>
        <n v="230.55"/>
        <n v="166.41"/>
        <n v="-0.59"/>
        <n v="-6.07"/>
        <n v="353.12"/>
        <n v="6.95"/>
        <n v="56.64"/>
        <n v="216.3"/>
        <n v="72.02"/>
        <n v="6.62"/>
        <n v="252.08"/>
        <n v="0.35"/>
        <n v="2.86"/>
        <n v="21.47"/>
        <n v="30.27"/>
        <n v="44.05"/>
        <n v="2.4300000000000002"/>
        <n v="32.61"/>
        <n v="51.23"/>
        <n v="26.56"/>
        <n v="10.72"/>
        <n v="5.89"/>
        <n v="22.83"/>
        <n v="155.03"/>
        <n v="69.739999999999995"/>
        <n v="52.95"/>
        <n v="131.21"/>
        <n v="-0.48"/>
        <n v="315.93"/>
        <n v="14.93"/>
        <n v="-2.87"/>
        <n v="46.6"/>
        <n v="48.94"/>
        <n v="52.64"/>
        <n v="56.16"/>
        <n v="33.86"/>
        <n v="-0.71"/>
        <n v="-1.86"/>
        <n v="539.08000000000004"/>
        <n v="118.59"/>
        <n v="-8.26"/>
        <n v="-3.56"/>
        <n v="-2.11"/>
        <n v="14.28"/>
        <n v="56.23"/>
        <n v="5.25"/>
        <n v="35.299999999999997"/>
        <n v="116.73"/>
        <n v="5.24"/>
        <n v="3.87"/>
        <n v="-6.13"/>
        <n v="89.3"/>
        <n v="24.68"/>
        <n v="50.95"/>
        <n v="34.83"/>
        <n v="844.98"/>
        <n v="274.69"/>
        <n v="98.9"/>
        <n v="81.96"/>
        <n v="52.86"/>
        <n v="33.450000000000003"/>
        <n v="15.58"/>
        <n v="-4.3899999999999997"/>
        <n v="540.71"/>
        <n v="64.59"/>
        <n v="25.94"/>
        <n v="2.58"/>
        <n v="24.26"/>
        <n v="134.37"/>
        <n v="27.46"/>
        <n v="1.1399999999999999"/>
        <n v="5.14"/>
        <n v="268.14999999999998"/>
        <n v="77.42"/>
        <n v="105.59"/>
        <n v="-2.25"/>
        <n v="134.53"/>
        <n v="-4.43"/>
        <n v="167.35"/>
        <n v="38.659999999999997"/>
        <n v="11.65"/>
        <n v="-4.91"/>
        <n v="23.06"/>
        <n v="51.43"/>
        <n v="-7.15"/>
        <n v="475"/>
        <n v="24.09"/>
        <n v="1.41"/>
        <n v="25.12"/>
        <n v="53.84"/>
        <n v="133.30000000000001"/>
        <n v="1.65"/>
        <n v="10.25"/>
        <n v="90.67"/>
        <n v="58.65"/>
        <n v="6.5"/>
        <n v="28"/>
        <n v="5.81"/>
        <n v="11.85"/>
        <n v="130.93"/>
        <n v="14.19"/>
        <n v="94.78"/>
        <n v="348.29"/>
        <n v="-1.25"/>
        <n v="82.81"/>
        <n v="7.42"/>
        <n v="-4.3600000000000003"/>
        <n v="0.14000000000000001"/>
        <n v="69.760000000000005"/>
        <n v="91.6"/>
        <n v="1017.49"/>
        <n v="7.57"/>
        <n v="4.96"/>
        <n v="14.42"/>
        <n v="2.76"/>
        <n v="94.73"/>
        <n v="36.07"/>
        <n v="9.11"/>
        <n v="456.73"/>
        <n v="346.19"/>
        <n v="0.27"/>
        <n v="15.4"/>
        <n v="28.96"/>
        <n v="43.83"/>
        <n v="80.349999999999994"/>
        <n v="727.25"/>
        <n v="48.95"/>
        <n v="3.09"/>
        <n v="216.76"/>
        <n v="-4.26"/>
        <n v="14.51"/>
        <n v="52.9"/>
        <n v="14.78"/>
        <n v="26.91"/>
        <n v="-3.18"/>
        <n v="124.21"/>
        <n v="4.25"/>
        <n v="131.04"/>
        <n v="140.47999999999999"/>
        <n v="179.38"/>
        <n v="5.18"/>
        <n v="75.44"/>
        <n v="23.26"/>
        <n v="5.03"/>
        <n v="78.78"/>
        <n v="46.36"/>
        <n v="66.319999999999993"/>
        <n v="97.21"/>
        <n v="13.23"/>
        <n v="-5.45"/>
        <n v="367.64"/>
        <n v="29.18"/>
        <n v="128.02000000000001"/>
        <n v="129.34"/>
        <n v="64.069999999999993"/>
        <n v="27.41"/>
        <n v="74.5"/>
        <n v="198.67"/>
        <n v="59.82"/>
        <n v="8.19"/>
        <n v="16.79"/>
        <n v="48.7"/>
        <n v="154.88999999999999"/>
        <n v="-4.53"/>
        <n v="512.22"/>
        <n v="4.72"/>
        <n v="-4.17"/>
        <n v="11.46"/>
        <n v="14.59"/>
        <n v="137.65"/>
        <n v="15.32"/>
        <n v="43.06"/>
        <n v="15"/>
        <n v="10.55"/>
        <n v="1.74"/>
        <n v="23.22"/>
        <n v="429.59"/>
        <n v="13.78"/>
        <n v="1.05"/>
        <n v="-4.6500000000000004"/>
        <n v="-0.69"/>
        <n v="9.1"/>
        <n v="12.68"/>
        <n v="36.54"/>
        <n v="5.23"/>
        <n v="24.36"/>
        <n v="-2.4700000000000002"/>
        <n v="60.42"/>
        <n v="37.28"/>
        <n v="9.51"/>
        <n v="1054.26"/>
        <n v="59.63"/>
        <n v="77.86"/>
        <n v="34.82"/>
        <n v="125.37"/>
        <n v="-0.26"/>
        <n v="83.17"/>
        <n v="42.42"/>
        <n v="165.85"/>
        <n v="14.98"/>
        <n v="99.04"/>
        <n v="-5.67"/>
        <n v="61.06"/>
        <n v="33.67"/>
        <n v="583.04"/>
        <n v="3"/>
        <n v="212.46"/>
        <n v="20.3"/>
        <n v="35.979999999999997"/>
        <n v="12.81"/>
        <n v="307.48"/>
        <n v="37.979999999999997"/>
        <n v="138.83000000000001"/>
        <n v="18.25"/>
        <n v="4.67"/>
        <n v="3.42"/>
        <n v="1116.45"/>
        <n v="32.44"/>
        <n v="10.5"/>
        <n v="37.049999999999997"/>
        <n v="10.7"/>
        <n v="77.66"/>
        <n v="60.22"/>
        <n v="273.18"/>
        <n v="25.36"/>
        <n v="0.64"/>
        <n v="33.68"/>
        <n v="-4.47"/>
        <n v="5.39"/>
        <n v="83.79"/>
        <n v="61.1"/>
        <n v="2.6"/>
        <n v="41.86"/>
        <n v="22.47"/>
        <n v="61.42"/>
        <n v="46.41"/>
        <n v="164.06"/>
        <n v="11.52"/>
        <n v="193.99"/>
        <n v="89.37"/>
        <n v="-1.51"/>
        <n v="266.81"/>
        <n v="12.4"/>
        <n v="131.74"/>
        <n v="6.37"/>
        <n v="6.88"/>
        <n v="265.18"/>
        <n v="43.94"/>
        <n v="15.97"/>
        <n v="-7.73"/>
        <n v="185.46"/>
        <n v="16.28"/>
        <n v="74.52"/>
        <n v="95.8"/>
        <n v="7.06"/>
        <n v="43.51"/>
        <n v="-4.7"/>
        <n v="15.61"/>
        <n v="3.17"/>
        <n v="7.89"/>
        <n v="46.97"/>
        <n v="39.69"/>
        <n v="55.29"/>
        <n v="1.06"/>
        <n v="101.12"/>
        <n v="44.8"/>
        <n v="113.86"/>
        <n v="25.48"/>
        <n v="198.6"/>
        <n v="36.78"/>
        <n v="81.12"/>
        <n v="19.510000000000002"/>
        <n v="92.03"/>
        <n v="48.65"/>
        <n v="1.1000000000000001"/>
        <n v="18.28"/>
        <n v="70.010000000000005"/>
        <n v="8.99"/>
        <n v="83.12"/>
        <n v="68.760000000000005"/>
        <n v="38"/>
        <n v="3.89"/>
        <n v="43.33"/>
        <n v="47.9"/>
        <n v="123.39"/>
        <n v="200.83"/>
        <n v="249.05"/>
        <n v="-6.29"/>
        <n v="24.54"/>
        <n v="89.39"/>
        <n v="68.16"/>
        <n v="43.91"/>
        <n v="-3.73"/>
        <n v="29.97"/>
        <n v="80.63"/>
        <n v="2.64"/>
        <n v="100.68"/>
        <n v="14.86"/>
        <n v="22.29"/>
        <n v="129.47"/>
        <n v="27.4"/>
        <n v="3.51"/>
        <n v="18.690000000000001"/>
        <n v="22.56"/>
        <n v="85.03"/>
        <n v="7.37"/>
        <n v="-2.63"/>
        <n v="14.38"/>
        <n v="646.52"/>
        <n v="21.05"/>
        <n v="-0.38"/>
        <n v="-7.69"/>
        <n v="41.4"/>
        <n v="34.64"/>
        <n v="22.96"/>
        <n v="42.21"/>
        <n v="38.15"/>
        <n v="0.85"/>
        <n v="36.53"/>
        <n v="38.909999999999997"/>
        <n v="38.44"/>
        <n v="78.64"/>
        <n v="3.23"/>
        <n v="14.77"/>
        <n v="46.72"/>
        <n v="76.75"/>
        <n v="4.51"/>
        <n v="50.27"/>
        <n v="244.78"/>
        <n v="27.65"/>
        <n v="386.94"/>
        <n v="63.02"/>
        <n v="5.22"/>
        <n v="17.12"/>
        <n v="207.76"/>
        <n v="230.95"/>
        <n v="-6.36"/>
        <n v="7.97"/>
        <n v="48.23"/>
        <n v="26.98"/>
        <n v="196.06"/>
        <n v="36.81"/>
        <n v="20.95"/>
        <n v="150.31"/>
        <n v="18.8"/>
        <n v="91.69"/>
        <n v="150.47"/>
        <n v="105.76"/>
        <n v="657.86"/>
        <n v="28.82"/>
        <n v="72.75"/>
        <n v="57.82"/>
        <n v="2.98"/>
        <n v="181.94"/>
        <n v="15.87"/>
        <n v="371.23"/>
        <n v="81.819999999999993"/>
        <n v="46.78"/>
        <n v="2.91"/>
        <n v="13.87"/>
        <n v="1.33"/>
        <n v="-2.72"/>
        <n v="2.5099999999999998"/>
        <n v="-1.8"/>
        <n v="91.9"/>
        <n v="-10.48"/>
        <n v="-1.61"/>
        <n v="23.91"/>
        <n v="-6.08"/>
        <n v="67.47"/>
        <n v="0.03"/>
        <n v="5.95"/>
        <n v="150.37"/>
        <n v="3.61"/>
        <n v="4.16"/>
        <n v="49.19"/>
        <n v="33.01"/>
        <n v="27.34"/>
        <n v="118.38"/>
        <n v="24.32"/>
        <n v="67.88"/>
        <n v="10.24"/>
        <n v="12.33"/>
        <n v="86.39"/>
        <n v="28.16"/>
        <n v="10.19"/>
        <n v="25.4"/>
        <n v="43.49"/>
        <n v="21.8"/>
        <n v="209.66"/>
        <n v="46.31"/>
        <n v="230.46"/>
        <n v="-2.12"/>
        <n v="313.26"/>
        <n v="4.9400000000000004"/>
        <n v="133.61000000000001"/>
        <n v="75.58"/>
        <n v="24.03"/>
        <n v="7.24"/>
        <n v="71.92"/>
        <n v="27.84"/>
        <n v="165.83"/>
        <n v="460.6"/>
        <n v="79.67"/>
        <n v="22.97"/>
        <n v="-3.82"/>
        <n v="395.07"/>
        <n v="217.49"/>
        <n v="83.81"/>
        <n v="64.14"/>
        <n v="36.85"/>
        <n v="35.15"/>
        <n v="220.89"/>
        <n v="18.02"/>
        <n v="122.43"/>
        <n v="93.57"/>
        <n v="13.65"/>
        <n v="-0.55000000000000004"/>
        <n v="370.69"/>
        <n v="-1.69"/>
        <n v="-2.29"/>
        <n v="143.16"/>
        <n v="9.82"/>
        <n v="37.840000000000003"/>
        <n v="72.94"/>
        <n v="3.93"/>
        <n v="9.61"/>
        <n v="-0.32"/>
        <n v="401.23"/>
        <n v="-3.04"/>
        <n v="125.84"/>
        <n v="140.11000000000001"/>
        <n v="612.71"/>
        <n v="74.84"/>
        <n v="-0.56999999999999995"/>
        <n v="24.38"/>
        <n v="190.72"/>
        <n v="179.52"/>
        <n v="24.4"/>
        <n v="2.41"/>
        <n v="-2.66"/>
        <n v="17.62"/>
        <n v="30.69"/>
        <n v="7.76"/>
        <n v="210.96"/>
        <n v="269.87"/>
        <n v="236.87"/>
        <n v="145.71"/>
        <n v="132.07"/>
        <n v="62.49"/>
        <n v="101.05"/>
        <n v="17.46"/>
        <n v="1.3"/>
        <n v="217.09"/>
        <n v="-6.54"/>
        <n v="50.5"/>
        <n v="58.19"/>
        <n v="4.29"/>
        <n v="295.87"/>
        <n v="28.08"/>
        <n v="92.77"/>
        <n v="-3.42"/>
        <n v="572.66"/>
        <n v="-3.21"/>
        <n v="11.4"/>
        <n v="71.72"/>
        <n v="104.98"/>
        <n v="227.04"/>
        <n v="251.09"/>
        <n v="-4.18"/>
        <n v="9.9700000000000006"/>
        <n v="26.14"/>
        <n v="10.220000000000001"/>
        <n v="64.97"/>
        <n v="43.35"/>
        <n v="80.569999999999993"/>
        <n v="38.51"/>
        <n v="992.84"/>
        <n v="29.08"/>
        <n v="20.39"/>
        <n v="-4.33"/>
        <n v="58.23"/>
        <n v="283.25"/>
        <n v="44.46"/>
        <n v="4.7699999999999996"/>
        <n v="-0.39"/>
        <n v="25.19"/>
        <n v="153.66"/>
        <n v="653.71"/>
        <n v="34.22"/>
        <n v="-4.03"/>
        <n v="17.37"/>
        <n v="36.520000000000003"/>
        <n v="49.93"/>
        <n v="45.83"/>
        <n v="23.67"/>
        <n v="644.77"/>
        <n v="28.26"/>
        <n v="213.07"/>
        <n v="17.34"/>
        <n v="205.81"/>
        <n v="63.26"/>
        <n v="-7.94"/>
        <n v="22.73"/>
        <n v="74.23"/>
        <n v="-1.1599999999999999"/>
        <n v="5.62"/>
        <n v="64.489999999999995"/>
        <n v="41.82"/>
        <n v="231.02"/>
        <n v="19.79"/>
        <n v="405.16"/>
        <n v="152.66"/>
        <n v="135.25"/>
        <n v="138.19"/>
        <n v="-9.01"/>
        <n v="144.28"/>
        <n v="52.48"/>
        <n v="1.64"/>
        <n v="67.09"/>
        <n v="433.73"/>
        <n v="6.03"/>
        <n v="222.06"/>
        <n v="35.36"/>
        <n v="45.17"/>
        <n v="11.68"/>
        <n v="233.88"/>
        <n v="21.45"/>
        <n v="240.88"/>
        <n v="84.2"/>
        <n v="107.83"/>
        <n v="43.31"/>
        <n v="16.07"/>
        <n v="10.63"/>
        <n v="36.49"/>
        <n v="31.22"/>
        <n v="77.819999999999993"/>
        <n v="108.85"/>
        <n v="48.37"/>
        <n v="10.48"/>
        <n v="4.33"/>
        <n v="43.99"/>
        <n v="40.49"/>
        <n v="91.16"/>
        <n v="-2.0499999999999998"/>
        <n v="9.8800000000000008"/>
        <n v="84.45"/>
        <n v="11.49"/>
        <n v="40.479999999999997"/>
        <n v="8.08"/>
        <n v="84.74"/>
        <n v="138.44999999999999"/>
        <n v="19.14"/>
        <n v="48.33"/>
        <n v="-10.1"/>
        <n v="-2.44"/>
        <n v="-1.83"/>
        <n v="25.09"/>
        <n v="65.430000000000007"/>
        <n v="49.2"/>
        <n v="50.59"/>
        <n v="2.81"/>
        <n v="389.06"/>
        <n v="409"/>
        <n v="-1.29"/>
        <n v="135.52000000000001"/>
        <n v="100.66"/>
        <n v="184.96"/>
        <n v="21.08"/>
        <n v="50.67"/>
        <n v="245.6"/>
        <n v="58.41"/>
        <n v="38.99"/>
        <n v="-3.11"/>
        <n v="25.45"/>
        <n v="13.09"/>
        <n v="253.22"/>
        <n v="0.09"/>
        <n v="154.97"/>
        <n v="10.23"/>
        <n v="17.899999999999999"/>
        <n v="10.93"/>
        <n v="1.44"/>
        <n v="72.989999999999995"/>
        <n v="6.68"/>
        <n v="13.75"/>
        <n v="237.92"/>
        <n v="111.02"/>
        <n v="19.77"/>
        <n v="78.510000000000005"/>
        <n v="90.6"/>
        <n v="39.590000000000003"/>
        <n v="78.84"/>
        <n v="43.97"/>
        <n v="52.14"/>
        <n v="15.69"/>
        <n v="33.630000000000003"/>
        <n v="24.2"/>
        <n v="-0.04"/>
        <n v="66.47"/>
        <n v="30.06"/>
        <n v="43.39"/>
        <n v="142.93"/>
        <n v="51.41"/>
        <n v="73.900000000000006"/>
        <n v="14.08"/>
        <n v="25.7"/>
        <n v="32.090000000000003"/>
        <n v="701.93"/>
        <n v="51.15"/>
        <n v="48.57"/>
        <n v="19.18"/>
        <n v="16.02"/>
        <n v="22.03"/>
        <n v="1.04"/>
        <n v="20.04"/>
        <n v="61.44"/>
        <n v="51.89"/>
        <n v="252.39"/>
        <n v="91.14"/>
        <n v="6.24"/>
        <n v="24.24"/>
        <n v="265.01"/>
        <n v="7.94"/>
        <n v="44.7"/>
        <n v="27.51"/>
        <n v="195.65"/>
        <n v="79.95"/>
        <n v="45.96"/>
        <n v="131.63"/>
        <n v="61.93"/>
        <n v="-5.07"/>
        <n v="37.08"/>
        <n v="63.32"/>
        <n v="51.77"/>
        <n v="7.34"/>
        <n v="-8.07"/>
        <n v="28.98"/>
        <n v="21.65"/>
        <n v="120.15"/>
        <n v="39.75"/>
        <n v="178.79"/>
        <n v="-6.98"/>
        <n v="-0.17"/>
        <n v="0.49"/>
        <n v="-0.92"/>
        <n v="709.01"/>
        <n v="17.989999999999998"/>
        <n v="69.27"/>
        <n v="808.35"/>
        <n v="67.010000000000005"/>
        <n v="10.96"/>
        <n v="244.05"/>
        <n v="1.99"/>
        <n v="200.48"/>
        <n v="157.24"/>
        <n v="40.92"/>
        <n v="93.19"/>
        <n v="244.38"/>
        <n v="65.11"/>
        <n v="70.73"/>
        <n v="13.41"/>
        <n v="31.27"/>
        <n v="40.78"/>
        <n v="98.99"/>
        <n v="39.22"/>
        <n v="37.99"/>
        <n v="31.34"/>
        <n v="255.08"/>
        <n v="25.84"/>
        <n v="277.64999999999998"/>
        <n v="14.6"/>
        <n v="88.18"/>
        <n v="39.46"/>
        <n v="5.35"/>
        <n v="146.47"/>
        <n v="17.649999999999999"/>
        <n v="3.13"/>
        <n v="163.5"/>
        <n v="219.03"/>
        <n v="64.930000000000007"/>
        <n v="13.51"/>
        <n v="336.58"/>
        <n v="47.39"/>
        <n v="13.95"/>
        <n v="18.79"/>
        <n v="40.130000000000003"/>
        <n v="11.3"/>
        <n v="16.38"/>
        <n v="503.45"/>
        <n v="6.72"/>
        <n v="-9.17"/>
        <n v="-1.47"/>
        <n v="33.89"/>
        <n v="-3.86"/>
        <n v="21.13"/>
        <n v="49.18"/>
        <n v="34.700000000000003"/>
        <n v="4.12"/>
        <n v="11.72"/>
        <n v="760.05"/>
        <n v="35.020000000000003"/>
        <n v="-6.24"/>
        <n v="27.08"/>
        <n v="266.45999999999998"/>
        <n v="12.53"/>
        <n v="0.02"/>
        <n v="3.04"/>
        <n v="-5.38"/>
        <n v="13.26"/>
        <n v="0.75"/>
        <n v="4.09"/>
        <n v="409.15"/>
        <n v="-2.04"/>
        <n v="5.86"/>
        <n v="86.93"/>
        <n v="294.47000000000003"/>
        <n v="60.66"/>
        <n v="-3.88"/>
        <n v="5.45"/>
        <n v="280.23"/>
        <n v="106.85"/>
        <n v="-3.59"/>
        <n v="-0.83"/>
        <n v="213.69"/>
        <n v="149.04"/>
        <n v="25.97"/>
        <n v="74.319999999999993"/>
        <n v="19.739999999999998"/>
        <n v="373.97"/>
        <n v="1.94"/>
        <n v="119.33"/>
        <n v="-0.91"/>
        <n v="0.28000000000000003"/>
        <n v="502.04"/>
        <n v="17.25"/>
        <n v="186.8"/>
        <n v="80.06"/>
        <n v="89.06"/>
        <n v="783.69"/>
        <n v="93.22"/>
        <n v="2.34"/>
        <n v="12.47"/>
        <n v="-5.66"/>
        <n v="19.34"/>
        <n v="-3.02"/>
        <n v="35.54"/>
        <n v="-5.54"/>
        <n v="34.92"/>
        <n v="39.06"/>
        <n v="7.79"/>
        <n v="45.27"/>
        <n v="22.24"/>
        <n v="255.43"/>
        <n v="52.84"/>
        <n v="-3.6"/>
        <n v="9.4700000000000006"/>
        <n v="-3.69"/>
        <n v="8.15"/>
        <n v="58.7"/>
        <n v="280.17"/>
        <n v="263.67"/>
        <n v="-0.84"/>
        <n v="63.38"/>
        <n v="155.69"/>
        <n v="2.2999999999999998"/>
        <n v="-5.33"/>
        <n v="106.32"/>
        <n v="35.380000000000003"/>
        <n v="32.07"/>
        <n v="10.34"/>
        <n v="0.2"/>
        <n v="42.51"/>
        <n v="24.01"/>
        <n v="771.41"/>
        <n v="235.94"/>
        <n v="17.22"/>
        <n v="1.91"/>
        <n v="27.69"/>
        <n v="167.66"/>
        <n v="21.14"/>
        <n v="68.739999999999995"/>
        <n v="55.6"/>
        <n v="186.05"/>
        <n v="23.53"/>
        <n v="8.1999999999999993"/>
        <n v="-0.5"/>
        <n v="38.369999999999997"/>
        <n v="19.489999999999998"/>
        <n v="31.33"/>
        <n v="10.130000000000001"/>
        <n v="-3.65"/>
        <n v="142.03"/>
        <n v="4.57"/>
        <n v="15.55"/>
        <n v="32.89"/>
        <n v="23.54"/>
        <n v="61.8"/>
        <n v="33.229999999999997"/>
        <n v="78.89"/>
        <n v="746.09"/>
        <n v="54.93"/>
        <n v="32.200000000000003"/>
        <n v="50.51"/>
        <n v="32.22"/>
        <n v="17.71"/>
        <n v="55.09"/>
        <n v="132.69999999999999"/>
        <n v="366.2"/>
        <n v="180.66"/>
        <n v="280.47000000000003"/>
        <n v="431.15"/>
        <n v="147.72"/>
        <n v="6.82"/>
        <n v="72.7"/>
        <n v="3.05"/>
        <n v="7.46"/>
        <n v="328.53"/>
        <n v="77.34"/>
        <n v="185.39"/>
        <n v="59.57"/>
        <n v="76.849999999999994"/>
        <n v="-2.73"/>
        <n v="1.86"/>
        <n v="74.13"/>
        <n v="13.96"/>
        <n v="71.069999999999993"/>
        <n v="80.42"/>
        <n v="132.9"/>
        <n v="94.11"/>
        <n v="-5.85"/>
        <n v="2.77"/>
        <n v="47.98"/>
        <n v="40.020000000000003"/>
        <n v="28.01"/>
        <n v="99.26"/>
        <n v="132.82"/>
        <n v="79.98"/>
        <n v="6.76"/>
        <n v="-7.12"/>
        <n v="34.29"/>
        <n v="37.340000000000003"/>
        <n v="47.11"/>
        <n v="36.61"/>
        <n v="44.14"/>
        <n v="120.46"/>
        <n v="9.98"/>
        <n v="86.29"/>
        <n v="36.24"/>
        <n v="7.12"/>
        <n v="117.75"/>
        <n v="111.48"/>
        <n v="240.47"/>
        <n v="112.64"/>
        <n v="1.38"/>
        <n v="37.74"/>
        <n v="43.54"/>
        <n v="-0.88"/>
        <n v="56.94"/>
        <n v="314.14"/>
        <n v="374.8"/>
        <n v="497.04"/>
        <n v="138.06"/>
        <n v="-2.96"/>
        <n v="496.58"/>
        <n v="86.02"/>
        <n v="40.08"/>
        <n v="227.22"/>
        <n v="101.45"/>
        <n v="152.09"/>
        <n v="84.55"/>
        <n v="100.34"/>
        <n v="157.78"/>
        <n v="117.99"/>
        <n v="-2.86"/>
        <n v="12.89"/>
        <n v="47.21"/>
        <n v="2.02"/>
        <n v="87.13"/>
        <n v="42.49"/>
        <n v="155.44"/>
        <n v="163.09"/>
        <n v="54.94"/>
        <n v="27.01"/>
        <n v="15.25"/>
        <n v="225.31"/>
        <n v="31.68"/>
        <n v="5.54"/>
        <n v="-0.51"/>
        <n v="47.13"/>
        <n v="20.21"/>
        <n v="9.56"/>
        <n v="49.76"/>
        <n v="7.09"/>
        <n v="257.74"/>
        <n v="32.520000000000003"/>
        <n v="148.28"/>
        <n v="85.2"/>
        <n v="50.38"/>
        <n v="-3.64"/>
        <n v="56.52"/>
        <n v="39.64"/>
        <n v="40.18"/>
        <n v="860.28"/>
        <n v="8.73"/>
        <n v="39.19"/>
        <n v="72.8"/>
        <n v="27.54"/>
        <n v="166.15"/>
        <n v="7.1"/>
        <n v="26.44"/>
        <n v="14.83"/>
        <n v="10.11"/>
        <n v="10.8"/>
        <n v="114.39"/>
        <n v="107.8"/>
        <n v="-2.1"/>
        <n v="667.79"/>
        <n v="31.41"/>
        <n v="32.47"/>
        <n v="89.67"/>
        <n v="154.01"/>
        <n v="27.53"/>
        <n v="51.88"/>
        <n v="101.71"/>
        <n v="21.53"/>
        <n v="52.63"/>
        <n v="73.66"/>
        <n v="98.44"/>
        <n v="8.6199999999999992"/>
        <n v="44.89"/>
        <n v="35.090000000000003"/>
        <n v="140.69"/>
        <n v="203.12"/>
        <n v="456.85"/>
        <n v="357.4"/>
        <n v="232.24"/>
        <n v="-6.55"/>
        <n v="41.33"/>
        <n v="17.73"/>
        <n v="28.78"/>
        <n v="68.849999999999994"/>
        <n v="29.71"/>
        <n v="9"/>
        <n v="21.09"/>
        <n v="100.38"/>
        <n v="35.520000000000003"/>
        <n v="3.79"/>
        <n v="-3.57"/>
        <n v="-3.24"/>
        <n v="67.11"/>
        <n v="-2.71"/>
        <n v="97.22"/>
        <n v="110.71"/>
        <n v="13.01"/>
        <n v="12.01"/>
        <n v="55.55"/>
        <n v="25.85"/>
        <n v="3.08"/>
        <n v="47.71"/>
        <n v="104.42"/>
        <n v="103.04"/>
        <n v="-5.19"/>
        <n v="219.29"/>
        <n v="422.9"/>
        <n v="137.68"/>
        <n v="-3"/>
        <n v="250.6"/>
        <n v="28.94"/>
        <n v="49.1"/>
        <n v="43.58"/>
        <n v="447.81"/>
        <n v="76.86"/>
        <n v="111.24"/>
        <n v="32.94"/>
        <n v="5.56"/>
        <n v="2.66"/>
        <n v="359.57"/>
        <n v="114.96"/>
        <n v="143.77000000000001"/>
        <n v="133.53"/>
        <n v="130.79"/>
        <n v="614.64"/>
        <n v="260.27"/>
        <n v="29.43"/>
        <n v="18.739999999999998"/>
        <n v="231.47"/>
        <n v="140.37"/>
        <n v="211.02"/>
        <n v="5.65"/>
        <n v="27.85"/>
        <n v="24.52"/>
        <n v="21.86"/>
        <n v="-3.83"/>
        <n v="144.65"/>
        <n v="47.6"/>
        <n v="374.65"/>
        <n v="109.53"/>
        <n v="58.97"/>
        <n v="72.680000000000007"/>
        <n v="88.49"/>
        <n v="268.3"/>
        <n v="115.22"/>
        <n v="-4.4800000000000004"/>
        <n v="15.81"/>
        <n v="16.22"/>
        <n v="3.71"/>
        <n v="-1.39"/>
        <n v="76.599999999999994"/>
        <n v="19.149999999999999"/>
        <n v="106.33"/>
        <n v="0.61"/>
        <n v="87.62"/>
        <n v="49.48"/>
        <n v="49.64"/>
        <n v="139.03"/>
        <n v="137.34"/>
        <n v="11.8"/>
        <n v="9.75"/>
        <n v="-4.4000000000000004"/>
        <n v="19.63"/>
        <n v="-6.79"/>
        <n v="373.88"/>
        <n v="-3.93"/>
        <n v="60"/>
        <n v="56.14"/>
        <n v="16.100000000000001"/>
        <n v="11.62"/>
        <n v="57.16"/>
        <n v="-7.68"/>
        <n v="17.41"/>
        <n v="3.53"/>
        <n v="104.1"/>
        <n v="11.22"/>
        <n v="533.66"/>
        <n v="312.49"/>
        <n v="22.14"/>
        <n v="57.99"/>
        <n v="31.84"/>
        <n v="26.25"/>
        <n v="33.36"/>
        <n v="1.26"/>
        <n v="15.21"/>
        <n v="29.11"/>
        <n v="118.74"/>
        <n v="-6.15"/>
        <n v="-3.28"/>
        <n v="69.67"/>
        <n v="95.27"/>
        <n v="251.41"/>
        <n v="8.61"/>
        <n v="5.13"/>
        <n v="219.68"/>
        <n v="75.03"/>
        <n v="13.05"/>
        <n v="8.42"/>
        <n v="14.17"/>
        <n v="57.64"/>
        <n v="166.57"/>
        <n v="-1.1000000000000001"/>
        <n v="-2.84"/>
        <n v="3.77"/>
        <n v="261.25"/>
        <n v="134.01"/>
        <n v="95.32"/>
        <n v="55.63"/>
        <n v="21.37"/>
        <n v="47.69"/>
        <n v="67.62"/>
        <n v="25.91"/>
        <n v="25.41"/>
        <n v="80.55"/>
        <n v="14.04"/>
        <n v="43.67"/>
        <n v="17.23"/>
        <n v="160.9"/>
        <n v="4.66"/>
        <n v="148.24"/>
        <n v="18.66"/>
        <n v="338.84"/>
        <n v="-4.29"/>
        <n v="43.14"/>
        <n v="190.36"/>
        <n v="272.44"/>
        <n v="119.26"/>
      </sharedItems>
    </cacheField>
    <cacheField name="Payment_Method" numFmtId="0">
      <sharedItems count="4">
        <s v="Cash on Delivery"/>
        <s v="Credit Card"/>
        <s v="PayPal"/>
        <s v="Bank Transfer"/>
      </sharedItems>
    </cacheField>
    <cacheField name="Year" numFmtId="0">
      <sharedItems containsSemiMixedTypes="0" containsString="0" containsNumber="1" containsInteger="1" minValue="2023" maxValue="2025"/>
    </cacheField>
    <cacheField name="Month Name" numFmtId="0">
      <sharedItems count="12">
        <s v="January"/>
        <s v="February"/>
        <s v="March"/>
        <s v="April"/>
        <s v="May"/>
        <s v="June"/>
        <s v="July"/>
        <s v="August"/>
        <s v="September"/>
        <s v="October"/>
        <s v="November"/>
        <s v="December"/>
      </sharedItems>
    </cacheField>
    <cacheField name="net_sales" numFmtId="0">
      <sharedItems containsSemiMixedTypes="0" containsString="0" containsNumber="1" minValue="1.9350000000000001" maxValue="3623.2809999999999"/>
    </cacheField>
    <cacheField name="profit_margin" numFmtId="0">
      <sharedItems containsSemiMixedTypes="0" containsString="0" containsNumber="1" minValue="-5.2169421487603298" maxValue="0.48727471641619202"/>
    </cacheField>
    <cacheField name="price_tier" numFmtId="0">
      <sharedItems count="3">
        <s v="medium"/>
        <s v="low"/>
        <s v="high"/>
      </sharedItems>
    </cacheField>
    <cacheField name="profit_status" numFmtId="0">
      <sharedItems count="2">
        <s v="profit"/>
        <s v="loss"/>
      </sharedItems>
    </cacheField>
    <cacheField name="Months (Order_Date)" numFmtId="0" databaseField="0">
      <fieldGroup base="1">
        <rangePr groupBy="months" startDate="2023-01-02T00:00:00" endDate="2026-01-01T00:00:00"/>
        <groupItems count="14">
          <s v="&lt;02-01-2023"/>
          <s v="Jan"/>
          <s v="Feb"/>
          <s v="Mar"/>
          <s v="Apr"/>
          <s v="May"/>
          <s v="Jun"/>
          <s v="Jul"/>
          <s v="Aug"/>
          <s v="Sep"/>
          <s v="Oct"/>
          <s v="Nov"/>
          <s v="Dec"/>
          <s v="&gt;01-01-2026"/>
        </groupItems>
      </fieldGroup>
    </cacheField>
    <cacheField name="Quarters (Order_Date)" numFmtId="0" databaseField="0">
      <fieldGroup base="1">
        <rangePr groupBy="quarters" startDate="2023-01-02T00:00:00" endDate="2026-01-01T00:00:00"/>
        <groupItems count="6">
          <s v="&lt;02-01-2023"/>
          <s v="Qtr1"/>
          <s v="Qtr2"/>
          <s v="Qtr3"/>
          <s v="Qtr4"/>
          <s v="&gt;01-01-2026"/>
        </groupItems>
      </fieldGroup>
    </cacheField>
    <cacheField name="Years (Order_Date)" numFmtId="0" databaseField="0">
      <fieldGroup base="1">
        <rangePr groupBy="years" startDate="2023-01-02T00:00:00" endDate="2026-01-01T00:00:00"/>
        <groupItems count="6">
          <s v="&lt;02-01-2023"/>
          <s v="2023"/>
          <s v="2024"/>
          <s v="2025"/>
          <s v="2026"/>
          <s v="&gt;01-01-2026"/>
        </groupItems>
      </fieldGroup>
    </cacheField>
  </cacheFields>
  <extLst>
    <ext xmlns:x14="http://schemas.microsoft.com/office/spreadsheetml/2009/9/main" uri="{725AE2AE-9491-48be-B2B4-4EB974FC3084}">
      <x14:pivotCacheDefinition pivotCacheId="12168028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x v="0"/>
    <n v="298.29000000000002"/>
    <n v="9.31"/>
    <x v="0"/>
    <x v="0"/>
    <n v="2023"/>
    <x v="0"/>
    <n v="298.29000000000002"/>
    <n v="0.418787086392437"/>
    <x v="0"/>
    <x v="0"/>
  </r>
  <r>
    <x v="1"/>
    <x v="0"/>
    <x v="1"/>
    <x v="0"/>
    <x v="1"/>
    <x v="1"/>
    <x v="0"/>
    <x v="1"/>
    <x v="1"/>
    <x v="1"/>
    <x v="1"/>
    <n v="313.38"/>
    <n v="14.31"/>
    <x v="1"/>
    <x v="0"/>
    <n v="2023"/>
    <x v="0"/>
    <n v="250.70400000000001"/>
    <n v="0.33354074925011201"/>
    <x v="0"/>
    <x v="0"/>
  </r>
  <r>
    <x v="2"/>
    <x v="1"/>
    <x v="2"/>
    <x v="1"/>
    <x v="2"/>
    <x v="0"/>
    <x v="1"/>
    <x v="2"/>
    <x v="2"/>
    <x v="2"/>
    <x v="0"/>
    <n v="21.48"/>
    <n v="8.1199999999999992"/>
    <x v="2"/>
    <x v="1"/>
    <n v="2023"/>
    <x v="0"/>
    <n v="21.48"/>
    <n v="0.17178770949720701"/>
    <x v="1"/>
    <x v="0"/>
  </r>
  <r>
    <x v="3"/>
    <x v="1"/>
    <x v="3"/>
    <x v="0"/>
    <x v="3"/>
    <x v="1"/>
    <x v="0"/>
    <x v="3"/>
    <x v="2"/>
    <x v="3"/>
    <x v="2"/>
    <n v="105.16"/>
    <n v="10.79"/>
    <x v="3"/>
    <x v="2"/>
    <n v="2023"/>
    <x v="0"/>
    <n v="89.385999999999996"/>
    <n v="0.29445327008703798"/>
    <x v="0"/>
    <x v="0"/>
  </r>
  <r>
    <x v="4"/>
    <x v="2"/>
    <x v="4"/>
    <x v="1"/>
    <x v="3"/>
    <x v="1"/>
    <x v="2"/>
    <x v="4"/>
    <x v="1"/>
    <x v="4"/>
    <x v="1"/>
    <n v="1058.1400000000001"/>
    <n v="11.09"/>
    <x v="4"/>
    <x v="1"/>
    <n v="2023"/>
    <x v="0"/>
    <n v="846.51199999999994"/>
    <n v="0.299393274991967"/>
    <x v="2"/>
    <x v="0"/>
  </r>
  <r>
    <x v="5"/>
    <x v="2"/>
    <x v="5"/>
    <x v="1"/>
    <x v="2"/>
    <x v="0"/>
    <x v="2"/>
    <x v="5"/>
    <x v="3"/>
    <x v="5"/>
    <x v="3"/>
    <n v="55.74"/>
    <n v="5.88"/>
    <x v="5"/>
    <x v="2"/>
    <n v="2023"/>
    <x v="0"/>
    <n v="50.165999999999997"/>
    <n v="0.25315951042538798"/>
    <x v="1"/>
    <x v="0"/>
  </r>
  <r>
    <x v="6"/>
    <x v="3"/>
    <x v="6"/>
    <x v="2"/>
    <x v="0"/>
    <x v="0"/>
    <x v="1"/>
    <x v="6"/>
    <x v="2"/>
    <x v="6"/>
    <x v="4"/>
    <n v="28.56"/>
    <n v="6.59"/>
    <x v="6"/>
    <x v="2"/>
    <n v="2023"/>
    <x v="0"/>
    <n v="27.132000000000001"/>
    <n v="0.31107179713990901"/>
    <x v="1"/>
    <x v="0"/>
  </r>
  <r>
    <x v="7"/>
    <x v="3"/>
    <x v="7"/>
    <x v="2"/>
    <x v="4"/>
    <x v="2"/>
    <x v="0"/>
    <x v="7"/>
    <x v="2"/>
    <x v="7"/>
    <x v="3"/>
    <n v="61.04"/>
    <n v="14.38"/>
    <x v="7"/>
    <x v="3"/>
    <n v="2023"/>
    <x v="0"/>
    <n v="54.936"/>
    <n v="0.170380078636959"/>
    <x v="1"/>
    <x v="0"/>
  </r>
  <r>
    <x v="8"/>
    <x v="3"/>
    <x v="8"/>
    <x v="1"/>
    <x v="5"/>
    <x v="3"/>
    <x v="2"/>
    <x v="4"/>
    <x v="2"/>
    <x v="8"/>
    <x v="4"/>
    <n v="634.80999999999995"/>
    <n v="11.92"/>
    <x v="8"/>
    <x v="3"/>
    <n v="2023"/>
    <x v="0"/>
    <n v="603.06949999999995"/>
    <n v="0.36805044858013902"/>
    <x v="2"/>
    <x v="0"/>
  </r>
  <r>
    <x v="9"/>
    <x v="4"/>
    <x v="9"/>
    <x v="1"/>
    <x v="6"/>
    <x v="2"/>
    <x v="2"/>
    <x v="8"/>
    <x v="3"/>
    <x v="9"/>
    <x v="4"/>
    <n v="55.83"/>
    <n v="12.03"/>
    <x v="9"/>
    <x v="1"/>
    <n v="2023"/>
    <x v="0"/>
    <n v="53.038499999999999"/>
    <n v="0.16101511166416799"/>
    <x v="1"/>
    <x v="0"/>
  </r>
  <r>
    <x v="10"/>
    <x v="5"/>
    <x v="10"/>
    <x v="0"/>
    <x v="7"/>
    <x v="4"/>
    <x v="3"/>
    <x v="9"/>
    <x v="2"/>
    <x v="10"/>
    <x v="2"/>
    <n v="66.150000000000006"/>
    <n v="14.25"/>
    <x v="10"/>
    <x v="1"/>
    <n v="2023"/>
    <x v="0"/>
    <n v="56.227499999999999"/>
    <n v="0.23102574363078601"/>
    <x v="1"/>
    <x v="0"/>
  </r>
  <r>
    <x v="11"/>
    <x v="5"/>
    <x v="11"/>
    <x v="0"/>
    <x v="1"/>
    <x v="1"/>
    <x v="1"/>
    <x v="10"/>
    <x v="0"/>
    <x v="11"/>
    <x v="3"/>
    <n v="21.06"/>
    <n v="12.61"/>
    <x v="11"/>
    <x v="0"/>
    <n v="2023"/>
    <x v="0"/>
    <n v="18.954000000000001"/>
    <n v="-0.109739368998628"/>
    <x v="1"/>
    <x v="1"/>
  </r>
  <r>
    <x v="12"/>
    <x v="6"/>
    <x v="12"/>
    <x v="0"/>
    <x v="8"/>
    <x v="1"/>
    <x v="0"/>
    <x v="3"/>
    <x v="3"/>
    <x v="12"/>
    <x v="3"/>
    <n v="43.86"/>
    <n v="8.11"/>
    <x v="12"/>
    <x v="1"/>
    <n v="2023"/>
    <x v="0"/>
    <n v="39.473999999999997"/>
    <n v="0.22673151948117701"/>
    <x v="1"/>
    <x v="0"/>
  </r>
  <r>
    <x v="13"/>
    <x v="7"/>
    <x v="13"/>
    <x v="1"/>
    <x v="7"/>
    <x v="4"/>
    <x v="3"/>
    <x v="11"/>
    <x v="3"/>
    <x v="13"/>
    <x v="0"/>
    <n v="59.48"/>
    <n v="11.42"/>
    <x v="13"/>
    <x v="1"/>
    <n v="2023"/>
    <x v="0"/>
    <n v="59.48"/>
    <n v="0.308002689979825"/>
    <x v="1"/>
    <x v="0"/>
  </r>
  <r>
    <x v="14"/>
    <x v="8"/>
    <x v="14"/>
    <x v="0"/>
    <x v="3"/>
    <x v="1"/>
    <x v="1"/>
    <x v="12"/>
    <x v="3"/>
    <x v="14"/>
    <x v="0"/>
    <n v="15.82"/>
    <n v="9.16"/>
    <x v="14"/>
    <x v="2"/>
    <n v="2023"/>
    <x v="0"/>
    <n v="15.82"/>
    <n v="-2.9077117572692799E-2"/>
    <x v="1"/>
    <x v="1"/>
  </r>
  <r>
    <x v="15"/>
    <x v="8"/>
    <x v="15"/>
    <x v="0"/>
    <x v="9"/>
    <x v="3"/>
    <x v="3"/>
    <x v="13"/>
    <x v="0"/>
    <x v="15"/>
    <x v="5"/>
    <n v="109.03"/>
    <n v="13.39"/>
    <x v="15"/>
    <x v="2"/>
    <n v="2023"/>
    <x v="0"/>
    <n v="76.320999999999998"/>
    <n v="0.232701353493796"/>
    <x v="0"/>
    <x v="0"/>
  </r>
  <r>
    <x v="16"/>
    <x v="8"/>
    <x v="16"/>
    <x v="1"/>
    <x v="4"/>
    <x v="2"/>
    <x v="2"/>
    <x v="14"/>
    <x v="0"/>
    <x v="16"/>
    <x v="2"/>
    <n v="914.43"/>
    <n v="14.74"/>
    <x v="16"/>
    <x v="0"/>
    <n v="2023"/>
    <x v="0"/>
    <n v="777.26549999999997"/>
    <n v="0.32705684222443898"/>
    <x v="2"/>
    <x v="0"/>
  </r>
  <r>
    <x v="17"/>
    <x v="9"/>
    <x v="17"/>
    <x v="2"/>
    <x v="10"/>
    <x v="3"/>
    <x v="2"/>
    <x v="15"/>
    <x v="2"/>
    <x v="17"/>
    <x v="4"/>
    <n v="848.92"/>
    <n v="13.59"/>
    <x v="17"/>
    <x v="0"/>
    <n v="2023"/>
    <x v="0"/>
    <n v="806.47400000000005"/>
    <n v="0.37096050213646098"/>
    <x v="2"/>
    <x v="0"/>
  </r>
  <r>
    <x v="18"/>
    <x v="9"/>
    <x v="18"/>
    <x v="1"/>
    <x v="2"/>
    <x v="0"/>
    <x v="2"/>
    <x v="8"/>
    <x v="4"/>
    <x v="18"/>
    <x v="0"/>
    <n v="579.48"/>
    <n v="10.220000000000001"/>
    <x v="18"/>
    <x v="1"/>
    <n v="2023"/>
    <x v="0"/>
    <n v="579.48"/>
    <n v="0.38236004693863501"/>
    <x v="2"/>
    <x v="0"/>
  </r>
  <r>
    <x v="19"/>
    <x v="9"/>
    <x v="19"/>
    <x v="2"/>
    <x v="3"/>
    <x v="1"/>
    <x v="3"/>
    <x v="16"/>
    <x v="3"/>
    <x v="19"/>
    <x v="4"/>
    <n v="26.5"/>
    <n v="8.93"/>
    <x v="19"/>
    <x v="2"/>
    <n v="2023"/>
    <x v="0"/>
    <n v="25.175000000000001"/>
    <n v="0.14379344587884799"/>
    <x v="1"/>
    <x v="0"/>
  </r>
  <r>
    <x v="20"/>
    <x v="10"/>
    <x v="20"/>
    <x v="0"/>
    <x v="7"/>
    <x v="4"/>
    <x v="1"/>
    <x v="17"/>
    <x v="5"/>
    <x v="20"/>
    <x v="6"/>
    <n v="37.159999999999997"/>
    <n v="20.73"/>
    <x v="20"/>
    <x v="0"/>
    <n v="2023"/>
    <x v="0"/>
    <n v="27.87"/>
    <n v="-0.21062073914603499"/>
    <x v="1"/>
    <x v="1"/>
  </r>
  <r>
    <x v="21"/>
    <x v="10"/>
    <x v="21"/>
    <x v="1"/>
    <x v="7"/>
    <x v="4"/>
    <x v="3"/>
    <x v="16"/>
    <x v="2"/>
    <x v="21"/>
    <x v="3"/>
    <n v="84.6"/>
    <n v="14.83"/>
    <x v="21"/>
    <x v="1"/>
    <n v="2023"/>
    <x v="0"/>
    <n v="76.14"/>
    <n v="0.299054373522459"/>
    <x v="1"/>
    <x v="0"/>
  </r>
  <r>
    <x v="22"/>
    <x v="11"/>
    <x v="22"/>
    <x v="2"/>
    <x v="0"/>
    <x v="0"/>
    <x v="0"/>
    <x v="18"/>
    <x v="2"/>
    <x v="22"/>
    <x v="0"/>
    <n v="65.819999999999993"/>
    <n v="7.55"/>
    <x v="22"/>
    <x v="2"/>
    <n v="2023"/>
    <x v="0"/>
    <n v="65.819999999999993"/>
    <n v="0.33530841689456098"/>
    <x v="1"/>
    <x v="0"/>
  </r>
  <r>
    <x v="23"/>
    <x v="11"/>
    <x v="23"/>
    <x v="0"/>
    <x v="11"/>
    <x v="2"/>
    <x v="1"/>
    <x v="19"/>
    <x v="2"/>
    <x v="23"/>
    <x v="4"/>
    <n v="21.68"/>
    <n v="15.26"/>
    <x v="23"/>
    <x v="3"/>
    <n v="2023"/>
    <x v="0"/>
    <n v="20.596"/>
    <n v="-0.18692950087395599"/>
    <x v="1"/>
    <x v="1"/>
  </r>
  <r>
    <x v="24"/>
    <x v="12"/>
    <x v="24"/>
    <x v="1"/>
    <x v="2"/>
    <x v="0"/>
    <x v="2"/>
    <x v="4"/>
    <x v="5"/>
    <x v="24"/>
    <x v="3"/>
    <n v="1501.15"/>
    <n v="9.02"/>
    <x v="24"/>
    <x v="1"/>
    <n v="2023"/>
    <x v="0"/>
    <n v="1351.0350000000001"/>
    <n v="0.36369154018955802"/>
    <x v="2"/>
    <x v="0"/>
  </r>
  <r>
    <x v="25"/>
    <x v="13"/>
    <x v="25"/>
    <x v="1"/>
    <x v="11"/>
    <x v="2"/>
    <x v="1"/>
    <x v="20"/>
    <x v="6"/>
    <x v="25"/>
    <x v="1"/>
    <n v="59.36"/>
    <n v="18.260000000000002"/>
    <x v="25"/>
    <x v="3"/>
    <n v="2023"/>
    <x v="0"/>
    <n v="47.488"/>
    <n v="0.162356805929919"/>
    <x v="1"/>
    <x v="0"/>
  </r>
  <r>
    <x v="26"/>
    <x v="13"/>
    <x v="26"/>
    <x v="2"/>
    <x v="10"/>
    <x v="3"/>
    <x v="2"/>
    <x v="21"/>
    <x v="2"/>
    <x v="26"/>
    <x v="4"/>
    <n v="128.02000000000001"/>
    <n v="11"/>
    <x v="26"/>
    <x v="0"/>
    <n v="2023"/>
    <x v="0"/>
    <n v="121.619"/>
    <n v="0.29732196449567899"/>
    <x v="0"/>
    <x v="0"/>
  </r>
  <r>
    <x v="27"/>
    <x v="13"/>
    <x v="27"/>
    <x v="1"/>
    <x v="12"/>
    <x v="4"/>
    <x v="0"/>
    <x v="22"/>
    <x v="1"/>
    <x v="27"/>
    <x v="0"/>
    <n v="485"/>
    <n v="18.53"/>
    <x v="27"/>
    <x v="2"/>
    <n v="2023"/>
    <x v="0"/>
    <n v="485"/>
    <n v="0.41179381443299001"/>
    <x v="0"/>
    <x v="0"/>
  </r>
  <r>
    <x v="28"/>
    <x v="13"/>
    <x v="28"/>
    <x v="2"/>
    <x v="9"/>
    <x v="3"/>
    <x v="1"/>
    <x v="17"/>
    <x v="1"/>
    <x v="28"/>
    <x v="0"/>
    <n v="79.680000000000007"/>
    <n v="16.010000000000002"/>
    <x v="28"/>
    <x v="0"/>
    <n v="2023"/>
    <x v="0"/>
    <n v="79.680000000000007"/>
    <n v="0.34902108433734902"/>
    <x v="1"/>
    <x v="0"/>
  </r>
  <r>
    <x v="29"/>
    <x v="14"/>
    <x v="29"/>
    <x v="1"/>
    <x v="5"/>
    <x v="3"/>
    <x v="0"/>
    <x v="18"/>
    <x v="0"/>
    <x v="29"/>
    <x v="4"/>
    <n v="99.69"/>
    <n v="14.67"/>
    <x v="29"/>
    <x v="1"/>
    <n v="2023"/>
    <x v="0"/>
    <n v="94.705500000000001"/>
    <n v="0.28826203335603501"/>
    <x v="1"/>
    <x v="0"/>
  </r>
  <r>
    <x v="30"/>
    <x v="15"/>
    <x v="30"/>
    <x v="1"/>
    <x v="13"/>
    <x v="0"/>
    <x v="2"/>
    <x v="21"/>
    <x v="1"/>
    <x v="30"/>
    <x v="4"/>
    <n v="141.28"/>
    <n v="12.28"/>
    <x v="30"/>
    <x v="1"/>
    <n v="2023"/>
    <x v="0"/>
    <n v="134.21600000000001"/>
    <n v="0.29631340525719702"/>
    <x v="0"/>
    <x v="0"/>
  </r>
  <r>
    <x v="31"/>
    <x v="15"/>
    <x v="31"/>
    <x v="1"/>
    <x v="8"/>
    <x v="1"/>
    <x v="1"/>
    <x v="23"/>
    <x v="3"/>
    <x v="31"/>
    <x v="2"/>
    <n v="7.26"/>
    <n v="7.97"/>
    <x v="31"/>
    <x v="1"/>
    <n v="2023"/>
    <x v="0"/>
    <n v="6.1710000000000003"/>
    <n v="-0.73731972127694001"/>
    <x v="1"/>
    <x v="1"/>
  </r>
  <r>
    <x v="32"/>
    <x v="16"/>
    <x v="32"/>
    <x v="1"/>
    <x v="14"/>
    <x v="1"/>
    <x v="1"/>
    <x v="10"/>
    <x v="2"/>
    <x v="32"/>
    <x v="4"/>
    <n v="16.21"/>
    <n v="9.3000000000000007"/>
    <x v="32"/>
    <x v="1"/>
    <n v="2023"/>
    <x v="0"/>
    <n v="15.3995"/>
    <n v="-5.00016234293321E-2"/>
    <x v="1"/>
    <x v="1"/>
  </r>
  <r>
    <x v="33"/>
    <x v="16"/>
    <x v="33"/>
    <x v="2"/>
    <x v="15"/>
    <x v="2"/>
    <x v="3"/>
    <x v="24"/>
    <x v="1"/>
    <x v="33"/>
    <x v="1"/>
    <n v="185.18"/>
    <n v="13.88"/>
    <x v="33"/>
    <x v="2"/>
    <n v="2023"/>
    <x v="0"/>
    <n v="148.14400000000001"/>
    <n v="0.37504050113403198"/>
    <x v="0"/>
    <x v="0"/>
  </r>
  <r>
    <x v="34"/>
    <x v="17"/>
    <x v="34"/>
    <x v="0"/>
    <x v="3"/>
    <x v="1"/>
    <x v="1"/>
    <x v="17"/>
    <x v="7"/>
    <x v="34"/>
    <x v="3"/>
    <n v="110.95"/>
    <n v="21.9"/>
    <x v="34"/>
    <x v="2"/>
    <n v="2023"/>
    <x v="0"/>
    <n v="99.855000000000004"/>
    <n v="0.33618747183415998"/>
    <x v="0"/>
    <x v="0"/>
  </r>
  <r>
    <x v="35"/>
    <x v="18"/>
    <x v="35"/>
    <x v="1"/>
    <x v="0"/>
    <x v="0"/>
    <x v="0"/>
    <x v="1"/>
    <x v="3"/>
    <x v="35"/>
    <x v="4"/>
    <n v="159.19"/>
    <n v="6.21"/>
    <x v="35"/>
    <x v="2"/>
    <n v="2023"/>
    <x v="0"/>
    <n v="151.23050000000001"/>
    <n v="0.402167552180281"/>
    <x v="0"/>
    <x v="0"/>
  </r>
  <r>
    <x v="36"/>
    <x v="19"/>
    <x v="36"/>
    <x v="1"/>
    <x v="6"/>
    <x v="2"/>
    <x v="2"/>
    <x v="15"/>
    <x v="2"/>
    <x v="36"/>
    <x v="0"/>
    <n v="424.26"/>
    <n v="14.72"/>
    <x v="36"/>
    <x v="0"/>
    <n v="2023"/>
    <x v="0"/>
    <n v="424.26"/>
    <n v="0.36529486635553698"/>
    <x v="0"/>
    <x v="0"/>
  </r>
  <r>
    <x v="37"/>
    <x v="20"/>
    <x v="37"/>
    <x v="0"/>
    <x v="16"/>
    <x v="3"/>
    <x v="1"/>
    <x v="25"/>
    <x v="5"/>
    <x v="37"/>
    <x v="2"/>
    <n v="38.33"/>
    <n v="17.7"/>
    <x v="37"/>
    <x v="1"/>
    <n v="2023"/>
    <x v="0"/>
    <n v="32.580500000000001"/>
    <n v="1.04356900600052E-2"/>
    <x v="1"/>
    <x v="0"/>
  </r>
  <r>
    <x v="38"/>
    <x v="20"/>
    <x v="38"/>
    <x v="1"/>
    <x v="2"/>
    <x v="0"/>
    <x v="0"/>
    <x v="3"/>
    <x v="0"/>
    <x v="38"/>
    <x v="0"/>
    <n v="167.34"/>
    <n v="9.3800000000000008"/>
    <x v="38"/>
    <x v="1"/>
    <n v="2023"/>
    <x v="0"/>
    <n v="167.34"/>
    <n v="0.39392852874387502"/>
    <x v="0"/>
    <x v="0"/>
  </r>
  <r>
    <x v="39"/>
    <x v="20"/>
    <x v="39"/>
    <x v="1"/>
    <x v="8"/>
    <x v="1"/>
    <x v="1"/>
    <x v="6"/>
    <x v="5"/>
    <x v="39"/>
    <x v="0"/>
    <n v="51.25"/>
    <n v="18.89"/>
    <x v="39"/>
    <x v="2"/>
    <n v="2023"/>
    <x v="0"/>
    <n v="51.25"/>
    <n v="0.181463414634146"/>
    <x v="1"/>
    <x v="0"/>
  </r>
  <r>
    <x v="40"/>
    <x v="21"/>
    <x v="40"/>
    <x v="2"/>
    <x v="12"/>
    <x v="4"/>
    <x v="3"/>
    <x v="24"/>
    <x v="3"/>
    <x v="40"/>
    <x v="0"/>
    <n v="54.25"/>
    <n v="11.58"/>
    <x v="40"/>
    <x v="1"/>
    <n v="2023"/>
    <x v="0"/>
    <n v="54.25"/>
    <n v="0.28645161290322602"/>
    <x v="1"/>
    <x v="0"/>
  </r>
  <r>
    <x v="41"/>
    <x v="22"/>
    <x v="41"/>
    <x v="1"/>
    <x v="13"/>
    <x v="0"/>
    <x v="1"/>
    <x v="23"/>
    <x v="1"/>
    <x v="41"/>
    <x v="4"/>
    <n v="63.12"/>
    <n v="8.4"/>
    <x v="41"/>
    <x v="3"/>
    <n v="2023"/>
    <x v="0"/>
    <n v="59.963999999999999"/>
    <n v="0.41391501567607197"/>
    <x v="1"/>
    <x v="0"/>
  </r>
  <r>
    <x v="42"/>
    <x v="23"/>
    <x v="42"/>
    <x v="2"/>
    <x v="9"/>
    <x v="3"/>
    <x v="3"/>
    <x v="26"/>
    <x v="0"/>
    <x v="42"/>
    <x v="0"/>
    <n v="54.96"/>
    <n v="12.91"/>
    <x v="42"/>
    <x v="1"/>
    <n v="2023"/>
    <x v="0"/>
    <n v="54.96"/>
    <n v="0.26510189228529801"/>
    <x v="1"/>
    <x v="0"/>
  </r>
  <r>
    <x v="43"/>
    <x v="23"/>
    <x v="43"/>
    <x v="1"/>
    <x v="0"/>
    <x v="0"/>
    <x v="3"/>
    <x v="27"/>
    <x v="1"/>
    <x v="43"/>
    <x v="0"/>
    <n v="214.4"/>
    <n v="8.52"/>
    <x v="43"/>
    <x v="2"/>
    <n v="2023"/>
    <x v="0"/>
    <n v="214.4"/>
    <n v="0.460261194029851"/>
    <x v="0"/>
    <x v="0"/>
  </r>
  <r>
    <x v="44"/>
    <x v="23"/>
    <x v="44"/>
    <x v="2"/>
    <x v="17"/>
    <x v="3"/>
    <x v="2"/>
    <x v="14"/>
    <x v="1"/>
    <x v="44"/>
    <x v="4"/>
    <n v="1631.07"/>
    <n v="12.2"/>
    <x v="44"/>
    <x v="1"/>
    <n v="2023"/>
    <x v="0"/>
    <n v="1549.5165"/>
    <n v="0.37993787094232301"/>
    <x v="2"/>
    <x v="0"/>
  </r>
  <r>
    <x v="45"/>
    <x v="23"/>
    <x v="45"/>
    <x v="0"/>
    <x v="18"/>
    <x v="4"/>
    <x v="0"/>
    <x v="28"/>
    <x v="2"/>
    <x v="45"/>
    <x v="3"/>
    <n v="52.18"/>
    <n v="12.7"/>
    <x v="45"/>
    <x v="1"/>
    <n v="2023"/>
    <x v="0"/>
    <n v="46.962000000000003"/>
    <n v="0.161620033218347"/>
    <x v="1"/>
    <x v="0"/>
  </r>
  <r>
    <x v="46"/>
    <x v="23"/>
    <x v="46"/>
    <x v="0"/>
    <x v="4"/>
    <x v="2"/>
    <x v="1"/>
    <x v="2"/>
    <x v="0"/>
    <x v="46"/>
    <x v="4"/>
    <n v="24.65"/>
    <n v="17.04"/>
    <x v="46"/>
    <x v="1"/>
    <n v="2023"/>
    <x v="0"/>
    <n v="23.4175"/>
    <n v="-0.17380164406960599"/>
    <x v="1"/>
    <x v="1"/>
  </r>
  <r>
    <x v="47"/>
    <x v="24"/>
    <x v="47"/>
    <x v="1"/>
    <x v="13"/>
    <x v="0"/>
    <x v="0"/>
    <x v="29"/>
    <x v="0"/>
    <x v="47"/>
    <x v="0"/>
    <n v="59.82"/>
    <n v="8.61"/>
    <x v="47"/>
    <x v="3"/>
    <n v="2023"/>
    <x v="1"/>
    <n v="59.82"/>
    <n v="0.30608492143096"/>
    <x v="1"/>
    <x v="0"/>
  </r>
  <r>
    <x v="48"/>
    <x v="25"/>
    <x v="48"/>
    <x v="0"/>
    <x v="3"/>
    <x v="1"/>
    <x v="0"/>
    <x v="3"/>
    <x v="4"/>
    <x v="48"/>
    <x v="4"/>
    <n v="186.5"/>
    <n v="10.11"/>
    <x v="48"/>
    <x v="2"/>
    <n v="2023"/>
    <x v="1"/>
    <n v="177.17500000000001"/>
    <n v="0.386115422604769"/>
    <x v="0"/>
    <x v="0"/>
  </r>
  <r>
    <x v="49"/>
    <x v="26"/>
    <x v="49"/>
    <x v="0"/>
    <x v="7"/>
    <x v="4"/>
    <x v="3"/>
    <x v="24"/>
    <x v="8"/>
    <x v="49"/>
    <x v="4"/>
    <n v="289.89999999999998"/>
    <n v="23.56"/>
    <x v="49"/>
    <x v="3"/>
    <n v="2023"/>
    <x v="1"/>
    <n v="275.40499999999997"/>
    <n v="0.41306439607124101"/>
    <x v="0"/>
    <x v="0"/>
  </r>
  <r>
    <x v="50"/>
    <x v="26"/>
    <x v="50"/>
    <x v="0"/>
    <x v="13"/>
    <x v="0"/>
    <x v="2"/>
    <x v="4"/>
    <x v="1"/>
    <x v="50"/>
    <x v="3"/>
    <n v="989.39"/>
    <n v="10.28"/>
    <x v="50"/>
    <x v="1"/>
    <n v="2023"/>
    <x v="1"/>
    <n v="890.45100000000002"/>
    <n v="0.358829402179345"/>
    <x v="2"/>
    <x v="0"/>
  </r>
  <r>
    <x v="51"/>
    <x v="26"/>
    <x v="51"/>
    <x v="0"/>
    <x v="16"/>
    <x v="3"/>
    <x v="2"/>
    <x v="21"/>
    <x v="3"/>
    <x v="51"/>
    <x v="2"/>
    <n v="51.14"/>
    <n v="10.85"/>
    <x v="51"/>
    <x v="3"/>
    <n v="2023"/>
    <x v="1"/>
    <n v="43.469000000000001"/>
    <n v="9.6390531183142003E-2"/>
    <x v="1"/>
    <x v="0"/>
  </r>
  <r>
    <x v="52"/>
    <x v="27"/>
    <x v="52"/>
    <x v="2"/>
    <x v="9"/>
    <x v="3"/>
    <x v="1"/>
    <x v="20"/>
    <x v="9"/>
    <x v="52"/>
    <x v="2"/>
    <n v="71.14"/>
    <n v="24.19"/>
    <x v="52"/>
    <x v="0"/>
    <n v="2023"/>
    <x v="1"/>
    <n v="60.469000000000001"/>
    <n v="0.153632439762523"/>
    <x v="1"/>
    <x v="0"/>
  </r>
  <r>
    <x v="53"/>
    <x v="27"/>
    <x v="53"/>
    <x v="2"/>
    <x v="7"/>
    <x v="4"/>
    <x v="1"/>
    <x v="10"/>
    <x v="3"/>
    <x v="53"/>
    <x v="3"/>
    <n v="4.3"/>
    <n v="11.84"/>
    <x v="53"/>
    <x v="3"/>
    <n v="2023"/>
    <x v="1"/>
    <n v="3.87"/>
    <n v="-2.5038759689922498"/>
    <x v="1"/>
    <x v="1"/>
  </r>
  <r>
    <x v="54"/>
    <x v="27"/>
    <x v="54"/>
    <x v="0"/>
    <x v="12"/>
    <x v="4"/>
    <x v="0"/>
    <x v="3"/>
    <x v="6"/>
    <x v="54"/>
    <x v="2"/>
    <n v="471.42"/>
    <n v="19.84"/>
    <x v="54"/>
    <x v="0"/>
    <n v="2023"/>
    <x v="1"/>
    <n v="400.70699999999999"/>
    <n v="0.36570361885367603"/>
    <x v="0"/>
    <x v="0"/>
  </r>
  <r>
    <x v="55"/>
    <x v="28"/>
    <x v="55"/>
    <x v="1"/>
    <x v="14"/>
    <x v="1"/>
    <x v="2"/>
    <x v="5"/>
    <x v="3"/>
    <x v="55"/>
    <x v="4"/>
    <n v="179.48"/>
    <n v="9.1999999999999993"/>
    <x v="55"/>
    <x v="0"/>
    <n v="2023"/>
    <x v="1"/>
    <n v="170.506"/>
    <n v="0.33382989454916501"/>
    <x v="0"/>
    <x v="0"/>
  </r>
  <r>
    <x v="56"/>
    <x v="28"/>
    <x v="56"/>
    <x v="1"/>
    <x v="18"/>
    <x v="4"/>
    <x v="3"/>
    <x v="13"/>
    <x v="9"/>
    <x v="56"/>
    <x v="2"/>
    <n v="1178.95"/>
    <n v="17.36"/>
    <x v="56"/>
    <x v="1"/>
    <n v="2023"/>
    <x v="1"/>
    <n v="1002.1075"/>
    <n v="0.467105575000686"/>
    <x v="2"/>
    <x v="0"/>
  </r>
  <r>
    <x v="57"/>
    <x v="29"/>
    <x v="57"/>
    <x v="1"/>
    <x v="5"/>
    <x v="3"/>
    <x v="3"/>
    <x v="30"/>
    <x v="3"/>
    <x v="57"/>
    <x v="0"/>
    <n v="8.9600000000000009"/>
    <n v="11.08"/>
    <x v="57"/>
    <x v="2"/>
    <n v="2023"/>
    <x v="1"/>
    <n v="8.9600000000000009"/>
    <n v="-0.73660714285714302"/>
    <x v="1"/>
    <x v="1"/>
  </r>
  <r>
    <x v="58"/>
    <x v="29"/>
    <x v="58"/>
    <x v="1"/>
    <x v="9"/>
    <x v="3"/>
    <x v="0"/>
    <x v="31"/>
    <x v="2"/>
    <x v="58"/>
    <x v="0"/>
    <n v="346.74"/>
    <n v="10.89"/>
    <x v="58"/>
    <x v="2"/>
    <n v="2023"/>
    <x v="1"/>
    <n v="346.74"/>
    <n v="0.41858453019553599"/>
    <x v="0"/>
    <x v="0"/>
  </r>
  <r>
    <x v="59"/>
    <x v="29"/>
    <x v="59"/>
    <x v="2"/>
    <x v="13"/>
    <x v="0"/>
    <x v="0"/>
    <x v="31"/>
    <x v="3"/>
    <x v="59"/>
    <x v="3"/>
    <n v="57.55"/>
    <n v="6.86"/>
    <x v="59"/>
    <x v="2"/>
    <n v="2023"/>
    <x v="1"/>
    <n v="51.795000000000002"/>
    <n v="0.29964282266628001"/>
    <x v="1"/>
    <x v="0"/>
  </r>
  <r>
    <x v="60"/>
    <x v="30"/>
    <x v="60"/>
    <x v="1"/>
    <x v="10"/>
    <x v="3"/>
    <x v="0"/>
    <x v="3"/>
    <x v="0"/>
    <x v="60"/>
    <x v="3"/>
    <n v="174.28"/>
    <n v="13.01"/>
    <x v="60"/>
    <x v="1"/>
    <n v="2023"/>
    <x v="1"/>
    <n v="156.852"/>
    <n v="0.34911891464565298"/>
    <x v="0"/>
    <x v="0"/>
  </r>
  <r>
    <x v="61"/>
    <x v="30"/>
    <x v="61"/>
    <x v="0"/>
    <x v="9"/>
    <x v="3"/>
    <x v="1"/>
    <x v="23"/>
    <x v="5"/>
    <x v="61"/>
    <x v="4"/>
    <n v="69.02"/>
    <n v="11.87"/>
    <x v="61"/>
    <x v="1"/>
    <n v="2023"/>
    <x v="1"/>
    <n v="65.569000000000003"/>
    <n v="0.373042138815599"/>
    <x v="1"/>
    <x v="0"/>
  </r>
  <r>
    <x v="62"/>
    <x v="30"/>
    <x v="62"/>
    <x v="2"/>
    <x v="16"/>
    <x v="3"/>
    <x v="1"/>
    <x v="10"/>
    <x v="3"/>
    <x v="62"/>
    <x v="3"/>
    <n v="8.67"/>
    <n v="10.44"/>
    <x v="62"/>
    <x v="2"/>
    <n v="2023"/>
    <x v="1"/>
    <n v="7.8029999999999999"/>
    <n v="-0.78175060874022795"/>
    <x v="1"/>
    <x v="1"/>
  </r>
  <r>
    <x v="63"/>
    <x v="31"/>
    <x v="63"/>
    <x v="1"/>
    <x v="13"/>
    <x v="0"/>
    <x v="2"/>
    <x v="5"/>
    <x v="1"/>
    <x v="63"/>
    <x v="0"/>
    <n v="472.08"/>
    <n v="7.9"/>
    <x v="63"/>
    <x v="3"/>
    <n v="2023"/>
    <x v="1"/>
    <n v="472.08"/>
    <n v="0.38326131164209498"/>
    <x v="0"/>
    <x v="0"/>
  </r>
  <r>
    <x v="64"/>
    <x v="31"/>
    <x v="64"/>
    <x v="1"/>
    <x v="8"/>
    <x v="1"/>
    <x v="2"/>
    <x v="8"/>
    <x v="10"/>
    <x v="64"/>
    <x v="0"/>
    <n v="1142.3699999999999"/>
    <n v="23.14"/>
    <x v="64"/>
    <x v="2"/>
    <n v="2023"/>
    <x v="1"/>
    <n v="1142.3699999999999"/>
    <n v="0.37974561656906303"/>
    <x v="2"/>
    <x v="0"/>
  </r>
  <r>
    <x v="65"/>
    <x v="32"/>
    <x v="65"/>
    <x v="1"/>
    <x v="12"/>
    <x v="4"/>
    <x v="2"/>
    <x v="4"/>
    <x v="7"/>
    <x v="65"/>
    <x v="3"/>
    <n v="2085.91"/>
    <n v="16.440000000000001"/>
    <x v="65"/>
    <x v="3"/>
    <n v="2023"/>
    <x v="1"/>
    <n v="1877.319"/>
    <n v="0.36161142565541599"/>
    <x v="2"/>
    <x v="0"/>
  </r>
  <r>
    <x v="66"/>
    <x v="32"/>
    <x v="66"/>
    <x v="0"/>
    <x v="9"/>
    <x v="3"/>
    <x v="3"/>
    <x v="11"/>
    <x v="2"/>
    <x v="66"/>
    <x v="2"/>
    <n v="138.69"/>
    <n v="11.8"/>
    <x v="66"/>
    <x v="3"/>
    <n v="2023"/>
    <x v="1"/>
    <n v="117.8865"/>
    <n v="0.38435274607355402"/>
    <x v="0"/>
    <x v="0"/>
  </r>
  <r>
    <x v="67"/>
    <x v="32"/>
    <x v="67"/>
    <x v="1"/>
    <x v="14"/>
    <x v="1"/>
    <x v="0"/>
    <x v="22"/>
    <x v="10"/>
    <x v="67"/>
    <x v="4"/>
    <n v="957.43"/>
    <n v="24.38"/>
    <x v="67"/>
    <x v="1"/>
    <n v="2023"/>
    <x v="1"/>
    <n v="909.55849999999998"/>
    <n v="0.416410819095198"/>
    <x v="2"/>
    <x v="0"/>
  </r>
  <r>
    <x v="68"/>
    <x v="32"/>
    <x v="68"/>
    <x v="1"/>
    <x v="3"/>
    <x v="1"/>
    <x v="3"/>
    <x v="9"/>
    <x v="0"/>
    <x v="68"/>
    <x v="0"/>
    <n v="137.97"/>
    <n v="12.68"/>
    <x v="68"/>
    <x v="1"/>
    <n v="2023"/>
    <x v="1"/>
    <n v="137.97"/>
    <n v="0.40805972312821598"/>
    <x v="0"/>
    <x v="0"/>
  </r>
  <r>
    <x v="69"/>
    <x v="33"/>
    <x v="69"/>
    <x v="1"/>
    <x v="13"/>
    <x v="0"/>
    <x v="1"/>
    <x v="10"/>
    <x v="0"/>
    <x v="69"/>
    <x v="3"/>
    <n v="13.39"/>
    <n v="7.09"/>
    <x v="69"/>
    <x v="0"/>
    <n v="2023"/>
    <x v="1"/>
    <n v="12.051"/>
    <n v="-3.31922662019749E-2"/>
    <x v="1"/>
    <x v="1"/>
  </r>
  <r>
    <x v="70"/>
    <x v="34"/>
    <x v="70"/>
    <x v="1"/>
    <x v="6"/>
    <x v="2"/>
    <x v="3"/>
    <x v="11"/>
    <x v="7"/>
    <x v="70"/>
    <x v="6"/>
    <n v="480.78"/>
    <n v="18.170000000000002"/>
    <x v="70"/>
    <x v="3"/>
    <n v="2023"/>
    <x v="1"/>
    <n v="360.58499999999998"/>
    <n v="0.39405410652134698"/>
    <x v="0"/>
    <x v="0"/>
  </r>
  <r>
    <x v="71"/>
    <x v="34"/>
    <x v="71"/>
    <x v="1"/>
    <x v="10"/>
    <x v="3"/>
    <x v="3"/>
    <x v="16"/>
    <x v="3"/>
    <x v="71"/>
    <x v="4"/>
    <n v="41.39"/>
    <n v="10.06"/>
    <x v="71"/>
    <x v="2"/>
    <n v="2023"/>
    <x v="1"/>
    <n v="39.320500000000003"/>
    <n v="0.24262153329688099"/>
    <x v="1"/>
    <x v="0"/>
  </r>
  <r>
    <x v="72"/>
    <x v="35"/>
    <x v="72"/>
    <x v="0"/>
    <x v="0"/>
    <x v="0"/>
    <x v="0"/>
    <x v="31"/>
    <x v="2"/>
    <x v="72"/>
    <x v="4"/>
    <n v="271.99"/>
    <n v="8.58"/>
    <x v="72"/>
    <x v="1"/>
    <n v="2023"/>
    <x v="1"/>
    <n v="258.39049999999997"/>
    <n v="0.40999959363831101"/>
    <x v="0"/>
    <x v="0"/>
  </r>
  <r>
    <x v="73"/>
    <x v="35"/>
    <x v="73"/>
    <x v="2"/>
    <x v="13"/>
    <x v="0"/>
    <x v="2"/>
    <x v="8"/>
    <x v="7"/>
    <x v="73"/>
    <x v="3"/>
    <n v="913.03"/>
    <n v="22.05"/>
    <x v="73"/>
    <x v="0"/>
    <n v="2023"/>
    <x v="1"/>
    <n v="821.72699999999998"/>
    <n v="0.34353258442280699"/>
    <x v="2"/>
    <x v="0"/>
  </r>
  <r>
    <x v="74"/>
    <x v="36"/>
    <x v="74"/>
    <x v="2"/>
    <x v="4"/>
    <x v="2"/>
    <x v="0"/>
    <x v="3"/>
    <x v="3"/>
    <x v="74"/>
    <x v="0"/>
    <n v="48.95"/>
    <n v="12.32"/>
    <x v="74"/>
    <x v="2"/>
    <n v="2023"/>
    <x v="1"/>
    <n v="48.95"/>
    <n v="0.19836567926455601"/>
    <x v="1"/>
    <x v="0"/>
  </r>
  <r>
    <x v="75"/>
    <x v="37"/>
    <x v="75"/>
    <x v="0"/>
    <x v="0"/>
    <x v="0"/>
    <x v="2"/>
    <x v="32"/>
    <x v="2"/>
    <x v="75"/>
    <x v="4"/>
    <n v="90.48"/>
    <n v="8.3000000000000007"/>
    <x v="75"/>
    <x v="3"/>
    <n v="2023"/>
    <x v="1"/>
    <n v="85.956000000000003"/>
    <n v="0.29131183396156202"/>
    <x v="1"/>
    <x v="0"/>
  </r>
  <r>
    <x v="76"/>
    <x v="37"/>
    <x v="76"/>
    <x v="2"/>
    <x v="10"/>
    <x v="3"/>
    <x v="0"/>
    <x v="0"/>
    <x v="3"/>
    <x v="76"/>
    <x v="2"/>
    <n v="202.61"/>
    <n v="11.03"/>
    <x v="76"/>
    <x v="1"/>
    <n v="2023"/>
    <x v="1"/>
    <n v="172.21850000000001"/>
    <n v="0.35118178360629099"/>
    <x v="0"/>
    <x v="0"/>
  </r>
  <r>
    <x v="77"/>
    <x v="37"/>
    <x v="77"/>
    <x v="1"/>
    <x v="8"/>
    <x v="1"/>
    <x v="3"/>
    <x v="27"/>
    <x v="5"/>
    <x v="77"/>
    <x v="3"/>
    <n v="176.49"/>
    <n v="17.7"/>
    <x v="77"/>
    <x v="1"/>
    <n v="2023"/>
    <x v="1"/>
    <n v="158.84100000000001"/>
    <n v="0.38239497358994201"/>
    <x v="0"/>
    <x v="0"/>
  </r>
  <r>
    <x v="78"/>
    <x v="38"/>
    <x v="78"/>
    <x v="0"/>
    <x v="16"/>
    <x v="3"/>
    <x v="3"/>
    <x v="13"/>
    <x v="2"/>
    <x v="78"/>
    <x v="1"/>
    <n v="115.57"/>
    <n v="13.08"/>
    <x v="78"/>
    <x v="1"/>
    <n v="2023"/>
    <x v="1"/>
    <n v="92.456000000000003"/>
    <n v="0.32729081941680399"/>
    <x v="0"/>
    <x v="0"/>
  </r>
  <r>
    <x v="79"/>
    <x v="39"/>
    <x v="79"/>
    <x v="1"/>
    <x v="4"/>
    <x v="2"/>
    <x v="3"/>
    <x v="33"/>
    <x v="0"/>
    <x v="79"/>
    <x v="4"/>
    <n v="101.46"/>
    <n v="15.03"/>
    <x v="79"/>
    <x v="1"/>
    <n v="2023"/>
    <x v="1"/>
    <n v="96.387"/>
    <n v="0.34268106694886202"/>
    <x v="0"/>
    <x v="0"/>
  </r>
  <r>
    <x v="80"/>
    <x v="39"/>
    <x v="80"/>
    <x v="1"/>
    <x v="13"/>
    <x v="0"/>
    <x v="1"/>
    <x v="19"/>
    <x v="5"/>
    <x v="80"/>
    <x v="2"/>
    <n v="18.57"/>
    <n v="11.28"/>
    <x v="80"/>
    <x v="2"/>
    <n v="2023"/>
    <x v="1"/>
    <n v="15.7845"/>
    <n v="-0.160917355633691"/>
    <x v="1"/>
    <x v="1"/>
  </r>
  <r>
    <x v="81"/>
    <x v="39"/>
    <x v="81"/>
    <x v="1"/>
    <x v="19"/>
    <x v="1"/>
    <x v="3"/>
    <x v="26"/>
    <x v="2"/>
    <x v="81"/>
    <x v="0"/>
    <n v="41.84"/>
    <n v="10.6"/>
    <x v="81"/>
    <x v="0"/>
    <n v="2023"/>
    <x v="1"/>
    <n v="41.84"/>
    <n v="0.24665391969407299"/>
    <x v="1"/>
    <x v="0"/>
  </r>
  <r>
    <x v="82"/>
    <x v="40"/>
    <x v="82"/>
    <x v="1"/>
    <x v="2"/>
    <x v="0"/>
    <x v="3"/>
    <x v="33"/>
    <x v="1"/>
    <x v="82"/>
    <x v="4"/>
    <n v="206.72"/>
    <n v="7.53"/>
    <x v="82"/>
    <x v="0"/>
    <n v="2023"/>
    <x v="1"/>
    <n v="196.38399999999999"/>
    <n v="0.46027171256314198"/>
    <x v="0"/>
    <x v="0"/>
  </r>
  <r>
    <x v="83"/>
    <x v="41"/>
    <x v="83"/>
    <x v="1"/>
    <x v="0"/>
    <x v="0"/>
    <x v="0"/>
    <x v="18"/>
    <x v="7"/>
    <x v="83"/>
    <x v="0"/>
    <n v="583.12"/>
    <n v="14.27"/>
    <x v="83"/>
    <x v="1"/>
    <n v="2023"/>
    <x v="1"/>
    <n v="583.12"/>
    <n v="0.42552133351625698"/>
    <x v="2"/>
    <x v="0"/>
  </r>
  <r>
    <x v="84"/>
    <x v="41"/>
    <x v="84"/>
    <x v="1"/>
    <x v="5"/>
    <x v="3"/>
    <x v="2"/>
    <x v="34"/>
    <x v="4"/>
    <x v="84"/>
    <x v="0"/>
    <n v="326.33999999999997"/>
    <n v="17.34"/>
    <x v="84"/>
    <x v="2"/>
    <n v="2023"/>
    <x v="1"/>
    <n v="326.33999999999997"/>
    <n v="0.346877489734633"/>
    <x v="0"/>
    <x v="0"/>
  </r>
  <r>
    <x v="85"/>
    <x v="41"/>
    <x v="85"/>
    <x v="1"/>
    <x v="13"/>
    <x v="0"/>
    <x v="2"/>
    <x v="15"/>
    <x v="4"/>
    <x v="85"/>
    <x v="0"/>
    <n v="2835.36"/>
    <n v="19.09"/>
    <x v="85"/>
    <x v="2"/>
    <n v="2023"/>
    <x v="1"/>
    <n v="2835.36"/>
    <n v="0.39326575814005998"/>
    <x v="2"/>
    <x v="0"/>
  </r>
  <r>
    <x v="86"/>
    <x v="41"/>
    <x v="86"/>
    <x v="1"/>
    <x v="10"/>
    <x v="3"/>
    <x v="0"/>
    <x v="31"/>
    <x v="3"/>
    <x v="86"/>
    <x v="0"/>
    <n v="133.63"/>
    <n v="9.94"/>
    <x v="86"/>
    <x v="2"/>
    <n v="2023"/>
    <x v="1"/>
    <n v="133.63"/>
    <n v="0.37558931377684601"/>
    <x v="0"/>
    <x v="0"/>
  </r>
  <r>
    <x v="87"/>
    <x v="42"/>
    <x v="87"/>
    <x v="0"/>
    <x v="13"/>
    <x v="0"/>
    <x v="0"/>
    <x v="29"/>
    <x v="2"/>
    <x v="87"/>
    <x v="0"/>
    <n v="64.12"/>
    <n v="7.82"/>
    <x v="87"/>
    <x v="0"/>
    <n v="2023"/>
    <x v="1"/>
    <n v="64.12"/>
    <n v="0.32797878976918299"/>
    <x v="1"/>
    <x v="0"/>
  </r>
  <r>
    <x v="88"/>
    <x v="42"/>
    <x v="88"/>
    <x v="2"/>
    <x v="8"/>
    <x v="1"/>
    <x v="0"/>
    <x v="35"/>
    <x v="1"/>
    <x v="88"/>
    <x v="2"/>
    <n v="122.43"/>
    <n v="10.44"/>
    <x v="88"/>
    <x v="1"/>
    <n v="2023"/>
    <x v="1"/>
    <n v="104.0655"/>
    <n v="0.31489782877130301"/>
    <x v="0"/>
    <x v="0"/>
  </r>
  <r>
    <x v="89"/>
    <x v="43"/>
    <x v="89"/>
    <x v="0"/>
    <x v="0"/>
    <x v="0"/>
    <x v="1"/>
    <x v="10"/>
    <x v="1"/>
    <x v="89"/>
    <x v="3"/>
    <n v="26.06"/>
    <n v="8.85"/>
    <x v="89"/>
    <x v="1"/>
    <n v="2023"/>
    <x v="1"/>
    <n v="23.454000000000001"/>
    <n v="0.17822119894261099"/>
    <x v="1"/>
    <x v="0"/>
  </r>
  <r>
    <x v="90"/>
    <x v="43"/>
    <x v="5"/>
    <x v="2"/>
    <x v="18"/>
    <x v="4"/>
    <x v="0"/>
    <x v="35"/>
    <x v="0"/>
    <x v="90"/>
    <x v="0"/>
    <n v="182.97"/>
    <n v="12.03"/>
    <x v="90"/>
    <x v="1"/>
    <n v="2023"/>
    <x v="1"/>
    <n v="182.97"/>
    <n v="0.38427064546100498"/>
    <x v="0"/>
    <x v="0"/>
  </r>
  <r>
    <x v="91"/>
    <x v="44"/>
    <x v="90"/>
    <x v="1"/>
    <x v="19"/>
    <x v="1"/>
    <x v="1"/>
    <x v="2"/>
    <x v="4"/>
    <x v="91"/>
    <x v="0"/>
    <n v="42.84"/>
    <n v="12.59"/>
    <x v="91"/>
    <x v="2"/>
    <n v="2023"/>
    <x v="1"/>
    <n v="42.84"/>
    <n v="0.25606909430438801"/>
    <x v="1"/>
    <x v="0"/>
  </r>
  <r>
    <x v="92"/>
    <x v="45"/>
    <x v="91"/>
    <x v="1"/>
    <x v="1"/>
    <x v="1"/>
    <x v="1"/>
    <x v="19"/>
    <x v="2"/>
    <x v="92"/>
    <x v="2"/>
    <n v="13.7"/>
    <n v="10.44"/>
    <x v="92"/>
    <x v="3"/>
    <n v="2023"/>
    <x v="1"/>
    <n v="11.645"/>
    <n v="-0.342636324602834"/>
    <x v="1"/>
    <x v="1"/>
  </r>
  <r>
    <x v="93"/>
    <x v="45"/>
    <x v="92"/>
    <x v="0"/>
    <x v="5"/>
    <x v="3"/>
    <x v="3"/>
    <x v="11"/>
    <x v="2"/>
    <x v="93"/>
    <x v="4"/>
    <n v="60.25"/>
    <n v="10.63"/>
    <x v="93"/>
    <x v="3"/>
    <n v="2023"/>
    <x v="1"/>
    <n v="57.237499999999997"/>
    <n v="0.312906748198297"/>
    <x v="1"/>
    <x v="0"/>
  </r>
  <r>
    <x v="94"/>
    <x v="46"/>
    <x v="93"/>
    <x v="1"/>
    <x v="3"/>
    <x v="1"/>
    <x v="2"/>
    <x v="8"/>
    <x v="4"/>
    <x v="94"/>
    <x v="0"/>
    <n v="493.8"/>
    <n v="12.43"/>
    <x v="94"/>
    <x v="2"/>
    <n v="2023"/>
    <x v="1"/>
    <n v="493.8"/>
    <n v="0.374827865532604"/>
    <x v="0"/>
    <x v="0"/>
  </r>
  <r>
    <x v="95"/>
    <x v="47"/>
    <x v="94"/>
    <x v="1"/>
    <x v="0"/>
    <x v="0"/>
    <x v="0"/>
    <x v="3"/>
    <x v="3"/>
    <x v="95"/>
    <x v="0"/>
    <n v="77.48"/>
    <n v="7.16"/>
    <x v="95"/>
    <x v="2"/>
    <n v="2023"/>
    <x v="1"/>
    <n v="77.48"/>
    <n v="0.357640681466185"/>
    <x v="1"/>
    <x v="0"/>
  </r>
  <r>
    <x v="96"/>
    <x v="47"/>
    <x v="95"/>
    <x v="1"/>
    <x v="12"/>
    <x v="4"/>
    <x v="1"/>
    <x v="10"/>
    <x v="10"/>
    <x v="89"/>
    <x v="0"/>
    <n v="65.16"/>
    <n v="18.95"/>
    <x v="96"/>
    <x v="2"/>
    <n v="2023"/>
    <x v="1"/>
    <n v="65.16"/>
    <n v="0.25920810313075499"/>
    <x v="1"/>
    <x v="0"/>
  </r>
  <r>
    <x v="97"/>
    <x v="47"/>
    <x v="96"/>
    <x v="0"/>
    <x v="17"/>
    <x v="3"/>
    <x v="1"/>
    <x v="25"/>
    <x v="8"/>
    <x v="96"/>
    <x v="4"/>
    <n v="64.180000000000007"/>
    <n v="31.26"/>
    <x v="97"/>
    <x v="1"/>
    <n v="2023"/>
    <x v="1"/>
    <n v="60.970999999999997"/>
    <n v="4.1331124633022298E-2"/>
    <x v="1"/>
    <x v="0"/>
  </r>
  <r>
    <x v="98"/>
    <x v="47"/>
    <x v="97"/>
    <x v="1"/>
    <x v="13"/>
    <x v="0"/>
    <x v="3"/>
    <x v="26"/>
    <x v="2"/>
    <x v="97"/>
    <x v="3"/>
    <n v="47.25"/>
    <n v="6.27"/>
    <x v="98"/>
    <x v="1"/>
    <n v="2023"/>
    <x v="1"/>
    <n v="42.524999999999999"/>
    <n v="0.346384479717813"/>
    <x v="1"/>
    <x v="0"/>
  </r>
  <r>
    <x v="99"/>
    <x v="48"/>
    <x v="98"/>
    <x v="1"/>
    <x v="16"/>
    <x v="3"/>
    <x v="0"/>
    <x v="31"/>
    <x v="2"/>
    <x v="98"/>
    <x v="0"/>
    <n v="270.58"/>
    <n v="10.07"/>
    <x v="99"/>
    <x v="0"/>
    <n v="2023"/>
    <x v="2"/>
    <n v="270.58"/>
    <n v="0.412779954172518"/>
    <x v="0"/>
    <x v="0"/>
  </r>
  <r>
    <x v="100"/>
    <x v="49"/>
    <x v="99"/>
    <x v="1"/>
    <x v="10"/>
    <x v="3"/>
    <x v="2"/>
    <x v="34"/>
    <x v="3"/>
    <x v="99"/>
    <x v="0"/>
    <n v="24.66"/>
    <n v="11.27"/>
    <x v="100"/>
    <x v="1"/>
    <n v="2023"/>
    <x v="2"/>
    <n v="24.66"/>
    <n v="-5.7177615571776197E-2"/>
    <x v="1"/>
    <x v="1"/>
  </r>
  <r>
    <x v="101"/>
    <x v="49"/>
    <x v="100"/>
    <x v="0"/>
    <x v="9"/>
    <x v="3"/>
    <x v="0"/>
    <x v="1"/>
    <x v="1"/>
    <x v="100"/>
    <x v="4"/>
    <n v="627.38"/>
    <n v="15.44"/>
    <x v="101"/>
    <x v="1"/>
    <n v="2023"/>
    <x v="2"/>
    <n v="596.01099999999997"/>
    <n v="0.41730773425322698"/>
    <x v="2"/>
    <x v="0"/>
  </r>
  <r>
    <x v="102"/>
    <x v="49"/>
    <x v="101"/>
    <x v="1"/>
    <x v="3"/>
    <x v="1"/>
    <x v="1"/>
    <x v="23"/>
    <x v="2"/>
    <x v="101"/>
    <x v="6"/>
    <n v="17.36"/>
    <n v="8.09"/>
    <x v="102"/>
    <x v="0"/>
    <n v="2023"/>
    <x v="2"/>
    <n v="13.02"/>
    <n v="-8.7557603686635899E-2"/>
    <x v="1"/>
    <x v="1"/>
  </r>
  <r>
    <x v="103"/>
    <x v="49"/>
    <x v="102"/>
    <x v="2"/>
    <x v="0"/>
    <x v="0"/>
    <x v="2"/>
    <x v="36"/>
    <x v="3"/>
    <x v="102"/>
    <x v="3"/>
    <n v="102.17"/>
    <n v="7.35"/>
    <x v="103"/>
    <x v="1"/>
    <n v="2023"/>
    <x v="2"/>
    <n v="91.953000000000003"/>
    <n v="0.290474481528607"/>
    <x v="0"/>
    <x v="0"/>
  </r>
  <r>
    <x v="104"/>
    <x v="49"/>
    <x v="103"/>
    <x v="0"/>
    <x v="10"/>
    <x v="3"/>
    <x v="1"/>
    <x v="17"/>
    <x v="1"/>
    <x v="103"/>
    <x v="1"/>
    <n v="29.38"/>
    <n v="12.6"/>
    <x v="104"/>
    <x v="2"/>
    <n v="2023"/>
    <x v="2"/>
    <n v="23.504000000000001"/>
    <n v="1.10619469026549E-2"/>
    <x v="1"/>
    <x v="0"/>
  </r>
  <r>
    <x v="105"/>
    <x v="49"/>
    <x v="104"/>
    <x v="2"/>
    <x v="10"/>
    <x v="3"/>
    <x v="0"/>
    <x v="0"/>
    <x v="2"/>
    <x v="104"/>
    <x v="0"/>
    <n v="402.64"/>
    <n v="13.72"/>
    <x v="105"/>
    <x v="2"/>
    <n v="2023"/>
    <x v="2"/>
    <n v="402.64"/>
    <n v="0.41592986290482797"/>
    <x v="0"/>
    <x v="0"/>
  </r>
  <r>
    <x v="106"/>
    <x v="50"/>
    <x v="105"/>
    <x v="1"/>
    <x v="13"/>
    <x v="0"/>
    <x v="0"/>
    <x v="1"/>
    <x v="10"/>
    <x v="105"/>
    <x v="3"/>
    <n v="730.94"/>
    <n v="18.86"/>
    <x v="106"/>
    <x v="1"/>
    <n v="2023"/>
    <x v="2"/>
    <n v="657.846"/>
    <n v="0.40342268555254601"/>
    <x v="2"/>
    <x v="0"/>
  </r>
  <r>
    <x v="107"/>
    <x v="51"/>
    <x v="106"/>
    <x v="0"/>
    <x v="10"/>
    <x v="3"/>
    <x v="1"/>
    <x v="23"/>
    <x v="3"/>
    <x v="106"/>
    <x v="0"/>
    <n v="18.57"/>
    <n v="9.91"/>
    <x v="107"/>
    <x v="1"/>
    <n v="2023"/>
    <x v="2"/>
    <n v="18.57"/>
    <n v="1.6155088852988699E-2"/>
    <x v="1"/>
    <x v="0"/>
  </r>
  <r>
    <x v="108"/>
    <x v="52"/>
    <x v="107"/>
    <x v="1"/>
    <x v="8"/>
    <x v="1"/>
    <x v="3"/>
    <x v="37"/>
    <x v="0"/>
    <x v="107"/>
    <x v="3"/>
    <n v="79.84"/>
    <n v="10.88"/>
    <x v="108"/>
    <x v="3"/>
    <n v="2023"/>
    <x v="2"/>
    <n v="71.855999999999995"/>
    <n v="0.342351369405478"/>
    <x v="1"/>
    <x v="0"/>
  </r>
  <r>
    <x v="109"/>
    <x v="53"/>
    <x v="108"/>
    <x v="1"/>
    <x v="5"/>
    <x v="3"/>
    <x v="1"/>
    <x v="6"/>
    <x v="3"/>
    <x v="108"/>
    <x v="1"/>
    <n v="8.94"/>
    <n v="10.07"/>
    <x v="109"/>
    <x v="1"/>
    <n v="2023"/>
    <x v="2"/>
    <n v="7.1520000000000001"/>
    <n v="-0.86129753914988805"/>
    <x v="1"/>
    <x v="1"/>
  </r>
  <r>
    <x v="110"/>
    <x v="53"/>
    <x v="109"/>
    <x v="1"/>
    <x v="0"/>
    <x v="0"/>
    <x v="1"/>
    <x v="12"/>
    <x v="7"/>
    <x v="81"/>
    <x v="0"/>
    <n v="167.36"/>
    <n v="18.97"/>
    <x v="110"/>
    <x v="3"/>
    <n v="2023"/>
    <x v="2"/>
    <n v="167.36"/>
    <n v="0.43666347992351801"/>
    <x v="0"/>
    <x v="0"/>
  </r>
  <r>
    <x v="111"/>
    <x v="54"/>
    <x v="110"/>
    <x v="0"/>
    <x v="3"/>
    <x v="1"/>
    <x v="1"/>
    <x v="17"/>
    <x v="5"/>
    <x v="109"/>
    <x v="3"/>
    <n v="53.77"/>
    <n v="14.79"/>
    <x v="111"/>
    <x v="1"/>
    <n v="2023"/>
    <x v="2"/>
    <n v="48.393000000000001"/>
    <n v="0.24982952079846299"/>
    <x v="1"/>
    <x v="0"/>
  </r>
  <r>
    <x v="112"/>
    <x v="54"/>
    <x v="111"/>
    <x v="2"/>
    <x v="1"/>
    <x v="1"/>
    <x v="2"/>
    <x v="8"/>
    <x v="0"/>
    <x v="110"/>
    <x v="1"/>
    <n v="143.71"/>
    <n v="9.34"/>
    <x v="112"/>
    <x v="3"/>
    <n v="2023"/>
    <x v="2"/>
    <n v="114.968"/>
    <n v="0.23128174796465101"/>
    <x v="0"/>
    <x v="0"/>
  </r>
  <r>
    <x v="113"/>
    <x v="54"/>
    <x v="112"/>
    <x v="1"/>
    <x v="18"/>
    <x v="4"/>
    <x v="2"/>
    <x v="21"/>
    <x v="4"/>
    <x v="111"/>
    <x v="0"/>
    <n v="598.14"/>
    <n v="18.010000000000002"/>
    <x v="113"/>
    <x v="1"/>
    <n v="2023"/>
    <x v="2"/>
    <n v="598.14"/>
    <n v="0.369896679707092"/>
    <x v="2"/>
    <x v="0"/>
  </r>
  <r>
    <x v="114"/>
    <x v="54"/>
    <x v="113"/>
    <x v="0"/>
    <x v="18"/>
    <x v="4"/>
    <x v="2"/>
    <x v="15"/>
    <x v="3"/>
    <x v="112"/>
    <x v="4"/>
    <n v="336.94"/>
    <n v="12.41"/>
    <x v="114"/>
    <x v="1"/>
    <n v="2023"/>
    <x v="2"/>
    <n v="320.09300000000002"/>
    <n v="0.34905480594702198"/>
    <x v="0"/>
    <x v="0"/>
  </r>
  <r>
    <x v="115"/>
    <x v="55"/>
    <x v="114"/>
    <x v="1"/>
    <x v="11"/>
    <x v="2"/>
    <x v="1"/>
    <x v="6"/>
    <x v="1"/>
    <x v="113"/>
    <x v="0"/>
    <n v="90.68"/>
    <n v="14.32"/>
    <x v="115"/>
    <x v="3"/>
    <n v="2023"/>
    <x v="2"/>
    <n v="90.68"/>
    <n v="0.392037935597706"/>
    <x v="1"/>
    <x v="0"/>
  </r>
  <r>
    <x v="116"/>
    <x v="56"/>
    <x v="115"/>
    <x v="0"/>
    <x v="13"/>
    <x v="0"/>
    <x v="1"/>
    <x v="2"/>
    <x v="1"/>
    <x v="114"/>
    <x v="4"/>
    <n v="20.82"/>
    <n v="12"/>
    <x v="116"/>
    <x v="0"/>
    <n v="2023"/>
    <x v="2"/>
    <n v="19.779"/>
    <n v="-5.2581020274028001E-2"/>
    <x v="1"/>
    <x v="1"/>
  </r>
  <r>
    <x v="117"/>
    <x v="56"/>
    <x v="116"/>
    <x v="2"/>
    <x v="3"/>
    <x v="1"/>
    <x v="0"/>
    <x v="1"/>
    <x v="7"/>
    <x v="115"/>
    <x v="3"/>
    <n v="775.8"/>
    <n v="14.93"/>
    <x v="117"/>
    <x v="1"/>
    <n v="2023"/>
    <x v="2"/>
    <n v="698.22"/>
    <n v="0.410715820228581"/>
    <x v="2"/>
    <x v="0"/>
  </r>
  <r>
    <x v="118"/>
    <x v="57"/>
    <x v="117"/>
    <x v="1"/>
    <x v="3"/>
    <x v="1"/>
    <x v="1"/>
    <x v="2"/>
    <x v="3"/>
    <x v="116"/>
    <x v="0"/>
    <n v="11.11"/>
    <n v="8.11"/>
    <x v="118"/>
    <x v="0"/>
    <n v="2023"/>
    <x v="2"/>
    <n v="11.11"/>
    <n v="-0.18001800180017999"/>
    <x v="1"/>
    <x v="1"/>
  </r>
  <r>
    <x v="119"/>
    <x v="58"/>
    <x v="118"/>
    <x v="0"/>
    <x v="3"/>
    <x v="1"/>
    <x v="0"/>
    <x v="18"/>
    <x v="2"/>
    <x v="117"/>
    <x v="3"/>
    <n v="49.18"/>
    <n v="10.1"/>
    <x v="119"/>
    <x v="1"/>
    <n v="2023"/>
    <x v="2"/>
    <n v="44.262"/>
    <n v="0.204012471194252"/>
    <x v="1"/>
    <x v="0"/>
  </r>
  <r>
    <x v="120"/>
    <x v="59"/>
    <x v="119"/>
    <x v="1"/>
    <x v="16"/>
    <x v="3"/>
    <x v="1"/>
    <x v="6"/>
    <x v="5"/>
    <x v="118"/>
    <x v="0"/>
    <n v="98.7"/>
    <n v="17.03"/>
    <x v="120"/>
    <x v="1"/>
    <n v="2023"/>
    <x v="2"/>
    <n v="98.7"/>
    <n v="0.37750759878419399"/>
    <x v="1"/>
    <x v="0"/>
  </r>
  <r>
    <x v="121"/>
    <x v="59"/>
    <x v="120"/>
    <x v="1"/>
    <x v="15"/>
    <x v="2"/>
    <x v="3"/>
    <x v="11"/>
    <x v="0"/>
    <x v="119"/>
    <x v="0"/>
    <n v="210.93"/>
    <n v="15.46"/>
    <x v="121"/>
    <x v="2"/>
    <n v="2023"/>
    <x v="2"/>
    <n v="210.93"/>
    <n v="0.42668183757644701"/>
    <x v="0"/>
    <x v="0"/>
  </r>
  <r>
    <x v="122"/>
    <x v="60"/>
    <x v="121"/>
    <x v="0"/>
    <x v="4"/>
    <x v="2"/>
    <x v="0"/>
    <x v="22"/>
    <x v="5"/>
    <x v="120"/>
    <x v="3"/>
    <n v="673.97"/>
    <n v="14.48"/>
    <x v="122"/>
    <x v="2"/>
    <n v="2023"/>
    <x v="2"/>
    <n v="606.57299999999998"/>
    <n v="0.40822786375259001"/>
    <x v="2"/>
    <x v="0"/>
  </r>
  <r>
    <x v="123"/>
    <x v="60"/>
    <x v="122"/>
    <x v="2"/>
    <x v="2"/>
    <x v="0"/>
    <x v="0"/>
    <x v="1"/>
    <x v="2"/>
    <x v="121"/>
    <x v="0"/>
    <n v="109.88"/>
    <n v="8.77"/>
    <x v="123"/>
    <x v="1"/>
    <n v="2023"/>
    <x v="2"/>
    <n v="109.88"/>
    <n v="0.37022206042956002"/>
    <x v="0"/>
    <x v="0"/>
  </r>
  <r>
    <x v="124"/>
    <x v="61"/>
    <x v="123"/>
    <x v="1"/>
    <x v="18"/>
    <x v="4"/>
    <x v="3"/>
    <x v="37"/>
    <x v="5"/>
    <x v="122"/>
    <x v="3"/>
    <n v="275.31"/>
    <n v="14.66"/>
    <x v="124"/>
    <x v="1"/>
    <n v="2023"/>
    <x v="2"/>
    <n v="247.779"/>
    <n v="0.43466153305970201"/>
    <x v="0"/>
    <x v="0"/>
  </r>
  <r>
    <x v="125"/>
    <x v="61"/>
    <x v="124"/>
    <x v="1"/>
    <x v="5"/>
    <x v="3"/>
    <x v="1"/>
    <x v="2"/>
    <x v="2"/>
    <x v="123"/>
    <x v="0"/>
    <n v="29.18"/>
    <n v="12.25"/>
    <x v="125"/>
    <x v="2"/>
    <n v="2023"/>
    <x v="2"/>
    <n v="29.18"/>
    <n v="0.130226182316655"/>
    <x v="1"/>
    <x v="0"/>
  </r>
  <r>
    <x v="126"/>
    <x v="62"/>
    <x v="125"/>
    <x v="1"/>
    <x v="6"/>
    <x v="2"/>
    <x v="0"/>
    <x v="1"/>
    <x v="0"/>
    <x v="124"/>
    <x v="0"/>
    <n v="523.38"/>
    <n v="14.65"/>
    <x v="126"/>
    <x v="1"/>
    <n v="2023"/>
    <x v="2"/>
    <n v="523.38"/>
    <n v="0.42200695479383998"/>
    <x v="2"/>
    <x v="0"/>
  </r>
  <r>
    <x v="127"/>
    <x v="63"/>
    <x v="126"/>
    <x v="1"/>
    <x v="9"/>
    <x v="3"/>
    <x v="3"/>
    <x v="37"/>
    <x v="3"/>
    <x v="125"/>
    <x v="2"/>
    <n v="24.52"/>
    <n v="10.81"/>
    <x v="127"/>
    <x v="0"/>
    <n v="2023"/>
    <x v="2"/>
    <n v="20.841999999999999"/>
    <n v="-3.4545629018328403E-2"/>
    <x v="1"/>
    <x v="1"/>
  </r>
  <r>
    <x v="128"/>
    <x v="63"/>
    <x v="127"/>
    <x v="2"/>
    <x v="8"/>
    <x v="1"/>
    <x v="2"/>
    <x v="14"/>
    <x v="0"/>
    <x v="126"/>
    <x v="2"/>
    <n v="825.97"/>
    <n v="9.35"/>
    <x v="128"/>
    <x v="2"/>
    <n v="2023"/>
    <x v="2"/>
    <n v="702.07449999999994"/>
    <n v="0.332699734857198"/>
    <x v="2"/>
    <x v="0"/>
  </r>
  <r>
    <x v="129"/>
    <x v="64"/>
    <x v="128"/>
    <x v="1"/>
    <x v="0"/>
    <x v="0"/>
    <x v="1"/>
    <x v="38"/>
    <x v="2"/>
    <x v="127"/>
    <x v="0"/>
    <n v="22.78"/>
    <n v="8.57"/>
    <x v="129"/>
    <x v="3"/>
    <n v="2023"/>
    <x v="2"/>
    <n v="22.78"/>
    <n v="0.173836698858648"/>
    <x v="1"/>
    <x v="0"/>
  </r>
  <r>
    <x v="130"/>
    <x v="65"/>
    <x v="129"/>
    <x v="1"/>
    <x v="11"/>
    <x v="2"/>
    <x v="2"/>
    <x v="21"/>
    <x v="5"/>
    <x v="128"/>
    <x v="4"/>
    <n v="304.47000000000003"/>
    <n v="17.489999999999998"/>
    <x v="130"/>
    <x v="1"/>
    <n v="2023"/>
    <x v="2"/>
    <n v="289.24650000000003"/>
    <n v="0.32733326073089902"/>
    <x v="0"/>
    <x v="0"/>
  </r>
  <r>
    <x v="131"/>
    <x v="66"/>
    <x v="130"/>
    <x v="1"/>
    <x v="0"/>
    <x v="0"/>
    <x v="1"/>
    <x v="20"/>
    <x v="2"/>
    <x v="129"/>
    <x v="0"/>
    <n v="12.58"/>
    <n v="7.22"/>
    <x v="131"/>
    <x v="3"/>
    <n v="2023"/>
    <x v="2"/>
    <n v="12.58"/>
    <n v="-2.3847376788553299E-2"/>
    <x v="1"/>
    <x v="1"/>
  </r>
  <r>
    <x v="132"/>
    <x v="67"/>
    <x v="131"/>
    <x v="1"/>
    <x v="6"/>
    <x v="2"/>
    <x v="2"/>
    <x v="8"/>
    <x v="2"/>
    <x v="130"/>
    <x v="0"/>
    <n v="181.74"/>
    <n v="14.68"/>
    <x v="132"/>
    <x v="1"/>
    <n v="2023"/>
    <x v="2"/>
    <n v="181.74"/>
    <n v="0.31924727632882099"/>
    <x v="0"/>
    <x v="0"/>
  </r>
  <r>
    <x v="133"/>
    <x v="67"/>
    <x v="132"/>
    <x v="0"/>
    <x v="5"/>
    <x v="3"/>
    <x v="2"/>
    <x v="14"/>
    <x v="8"/>
    <x v="131"/>
    <x v="4"/>
    <n v="3813.98"/>
    <n v="35.07"/>
    <x v="133"/>
    <x v="2"/>
    <n v="2023"/>
    <x v="2"/>
    <n v="3623.2809999999999"/>
    <n v="0.37813241644796503"/>
    <x v="2"/>
    <x v="0"/>
  </r>
  <r>
    <x v="134"/>
    <x v="67"/>
    <x v="133"/>
    <x v="1"/>
    <x v="7"/>
    <x v="4"/>
    <x v="2"/>
    <x v="21"/>
    <x v="1"/>
    <x v="132"/>
    <x v="0"/>
    <n v="275.32"/>
    <n v="19.78"/>
    <x v="134"/>
    <x v="3"/>
    <n v="2023"/>
    <x v="2"/>
    <n v="275.32"/>
    <n v="0.32816359145721302"/>
    <x v="0"/>
    <x v="0"/>
  </r>
  <r>
    <x v="135"/>
    <x v="68"/>
    <x v="134"/>
    <x v="1"/>
    <x v="17"/>
    <x v="3"/>
    <x v="3"/>
    <x v="30"/>
    <x v="2"/>
    <x v="133"/>
    <x v="0"/>
    <n v="20.74"/>
    <n v="12.31"/>
    <x v="135"/>
    <x v="2"/>
    <n v="2023"/>
    <x v="2"/>
    <n v="20.74"/>
    <n v="-9.35390549662488E-2"/>
    <x v="1"/>
    <x v="1"/>
  </r>
  <r>
    <x v="136"/>
    <x v="69"/>
    <x v="135"/>
    <x v="0"/>
    <x v="13"/>
    <x v="0"/>
    <x v="3"/>
    <x v="27"/>
    <x v="2"/>
    <x v="134"/>
    <x v="0"/>
    <n v="105.78"/>
    <n v="6.27"/>
    <x v="136"/>
    <x v="0"/>
    <n v="2023"/>
    <x v="2"/>
    <n v="105.78"/>
    <n v="0.440726035167328"/>
    <x v="0"/>
    <x v="0"/>
  </r>
  <r>
    <x v="137"/>
    <x v="69"/>
    <x v="136"/>
    <x v="2"/>
    <x v="0"/>
    <x v="0"/>
    <x v="2"/>
    <x v="34"/>
    <x v="11"/>
    <x v="135"/>
    <x v="0"/>
    <n v="335.28"/>
    <n v="29.96"/>
    <x v="137"/>
    <x v="1"/>
    <n v="2023"/>
    <x v="2"/>
    <n v="335.28"/>
    <n v="0.31063588642328799"/>
    <x v="0"/>
    <x v="0"/>
  </r>
  <r>
    <x v="138"/>
    <x v="70"/>
    <x v="137"/>
    <x v="0"/>
    <x v="1"/>
    <x v="1"/>
    <x v="3"/>
    <x v="26"/>
    <x v="0"/>
    <x v="136"/>
    <x v="4"/>
    <n v="69.03"/>
    <n v="8.8699999999999992"/>
    <x v="138"/>
    <x v="1"/>
    <n v="2023"/>
    <x v="2"/>
    <n v="65.578500000000005"/>
    <n v="0.363381291124378"/>
    <x v="1"/>
    <x v="0"/>
  </r>
  <r>
    <x v="139"/>
    <x v="70"/>
    <x v="138"/>
    <x v="0"/>
    <x v="12"/>
    <x v="4"/>
    <x v="0"/>
    <x v="0"/>
    <x v="5"/>
    <x v="137"/>
    <x v="4"/>
    <n v="1137.3900000000001"/>
    <n v="14.61"/>
    <x v="139"/>
    <x v="2"/>
    <n v="2023"/>
    <x v="2"/>
    <n v="1080.5205000000001"/>
    <n v="0.42969106092850601"/>
    <x v="2"/>
    <x v="0"/>
  </r>
  <r>
    <x v="140"/>
    <x v="70"/>
    <x v="139"/>
    <x v="1"/>
    <x v="10"/>
    <x v="3"/>
    <x v="2"/>
    <x v="39"/>
    <x v="1"/>
    <x v="138"/>
    <x v="0"/>
    <n v="842.6"/>
    <n v="11.11"/>
    <x v="140"/>
    <x v="1"/>
    <n v="2023"/>
    <x v="2"/>
    <n v="842.6"/>
    <n v="0.38681462140992201"/>
    <x v="2"/>
    <x v="0"/>
  </r>
  <r>
    <x v="141"/>
    <x v="71"/>
    <x v="140"/>
    <x v="1"/>
    <x v="13"/>
    <x v="0"/>
    <x v="3"/>
    <x v="16"/>
    <x v="10"/>
    <x v="139"/>
    <x v="3"/>
    <n v="265.19"/>
    <n v="19.149999999999999"/>
    <x v="141"/>
    <x v="2"/>
    <n v="2023"/>
    <x v="2"/>
    <n v="238.67099999999999"/>
    <n v="0.413581876306715"/>
    <x v="0"/>
    <x v="0"/>
  </r>
  <r>
    <x v="142"/>
    <x v="71"/>
    <x v="141"/>
    <x v="1"/>
    <x v="1"/>
    <x v="1"/>
    <x v="3"/>
    <x v="13"/>
    <x v="0"/>
    <x v="98"/>
    <x v="3"/>
    <n v="365.28"/>
    <n v="9.08"/>
    <x v="142"/>
    <x v="1"/>
    <n v="2023"/>
    <x v="2"/>
    <n v="328.75200000000001"/>
    <n v="0.46618727794811898"/>
    <x v="0"/>
    <x v="0"/>
  </r>
  <r>
    <x v="143"/>
    <x v="72"/>
    <x v="142"/>
    <x v="2"/>
    <x v="6"/>
    <x v="2"/>
    <x v="3"/>
    <x v="37"/>
    <x v="4"/>
    <x v="140"/>
    <x v="0"/>
    <n v="183.12"/>
    <n v="21.14"/>
    <x v="143"/>
    <x v="1"/>
    <n v="2023"/>
    <x v="2"/>
    <n v="183.12"/>
    <n v="0.384556574923547"/>
    <x v="0"/>
    <x v="0"/>
  </r>
  <r>
    <x v="144"/>
    <x v="72"/>
    <x v="143"/>
    <x v="1"/>
    <x v="2"/>
    <x v="0"/>
    <x v="0"/>
    <x v="31"/>
    <x v="1"/>
    <x v="141"/>
    <x v="2"/>
    <n v="385.36"/>
    <n v="8.19"/>
    <x v="144"/>
    <x v="2"/>
    <n v="2023"/>
    <x v="2"/>
    <n v="327.55599999999998"/>
    <n v="0.39022335112164003"/>
    <x v="0"/>
    <x v="0"/>
  </r>
  <r>
    <x v="145"/>
    <x v="72"/>
    <x v="144"/>
    <x v="1"/>
    <x v="13"/>
    <x v="0"/>
    <x v="1"/>
    <x v="6"/>
    <x v="5"/>
    <x v="142"/>
    <x v="4"/>
    <n v="53.53"/>
    <n v="12"/>
    <x v="145"/>
    <x v="3"/>
    <n v="2023"/>
    <x v="2"/>
    <n v="50.853499999999997"/>
    <n v="0.31797221430186701"/>
    <x v="1"/>
    <x v="0"/>
  </r>
  <r>
    <x v="146"/>
    <x v="72"/>
    <x v="145"/>
    <x v="0"/>
    <x v="0"/>
    <x v="0"/>
    <x v="1"/>
    <x v="10"/>
    <x v="3"/>
    <x v="143"/>
    <x v="2"/>
    <n v="4.82"/>
    <n v="5.95"/>
    <x v="146"/>
    <x v="1"/>
    <n v="2023"/>
    <x v="2"/>
    <n v="4.0970000000000004"/>
    <n v="-0.89821820844520395"/>
    <x v="1"/>
    <x v="1"/>
  </r>
  <r>
    <x v="147"/>
    <x v="72"/>
    <x v="146"/>
    <x v="2"/>
    <x v="5"/>
    <x v="3"/>
    <x v="0"/>
    <x v="22"/>
    <x v="3"/>
    <x v="144"/>
    <x v="3"/>
    <n v="104.51"/>
    <n v="10.18"/>
    <x v="147"/>
    <x v="1"/>
    <n v="2023"/>
    <x v="2"/>
    <n v="94.058999999999997"/>
    <n v="0.32383929235905101"/>
    <x v="0"/>
    <x v="0"/>
  </r>
  <r>
    <x v="148"/>
    <x v="73"/>
    <x v="147"/>
    <x v="1"/>
    <x v="1"/>
    <x v="1"/>
    <x v="0"/>
    <x v="22"/>
    <x v="3"/>
    <x v="145"/>
    <x v="4"/>
    <n v="81.349999999999994"/>
    <n v="8.86"/>
    <x v="148"/>
    <x v="3"/>
    <n v="2023"/>
    <x v="2"/>
    <n v="77.282499999999999"/>
    <n v="0.32853492058357298"/>
    <x v="1"/>
    <x v="0"/>
  </r>
  <r>
    <x v="149"/>
    <x v="74"/>
    <x v="148"/>
    <x v="0"/>
    <x v="9"/>
    <x v="3"/>
    <x v="2"/>
    <x v="39"/>
    <x v="3"/>
    <x v="146"/>
    <x v="1"/>
    <n v="159.79"/>
    <n v="9.67"/>
    <x v="149"/>
    <x v="0"/>
    <n v="2023"/>
    <x v="2"/>
    <n v="127.83199999999999"/>
    <n v="0.236873396332687"/>
    <x v="0"/>
    <x v="0"/>
  </r>
  <r>
    <x v="150"/>
    <x v="75"/>
    <x v="149"/>
    <x v="1"/>
    <x v="3"/>
    <x v="1"/>
    <x v="0"/>
    <x v="18"/>
    <x v="2"/>
    <x v="147"/>
    <x v="0"/>
    <n v="68.44"/>
    <n v="9.2200000000000006"/>
    <x v="150"/>
    <x v="2"/>
    <n v="2023"/>
    <x v="3"/>
    <n v="68.44"/>
    <n v="0.31531268264173001"/>
    <x v="1"/>
    <x v="0"/>
  </r>
  <r>
    <x v="151"/>
    <x v="75"/>
    <x v="150"/>
    <x v="0"/>
    <x v="0"/>
    <x v="0"/>
    <x v="3"/>
    <x v="27"/>
    <x v="0"/>
    <x v="148"/>
    <x v="5"/>
    <n v="79.150000000000006"/>
    <n v="7.34"/>
    <x v="151"/>
    <x v="2"/>
    <n v="2023"/>
    <x v="3"/>
    <n v="55.405000000000001"/>
    <n v="0.27578738381012502"/>
    <x v="1"/>
    <x v="0"/>
  </r>
  <r>
    <x v="152"/>
    <x v="76"/>
    <x v="151"/>
    <x v="0"/>
    <x v="15"/>
    <x v="2"/>
    <x v="3"/>
    <x v="27"/>
    <x v="3"/>
    <x v="149"/>
    <x v="4"/>
    <n v="40.72"/>
    <n v="12.14"/>
    <x v="152"/>
    <x v="3"/>
    <n v="2023"/>
    <x v="3"/>
    <n v="38.683999999999997"/>
    <n v="0.18483093785544399"/>
    <x v="1"/>
    <x v="0"/>
  </r>
  <r>
    <x v="153"/>
    <x v="76"/>
    <x v="152"/>
    <x v="1"/>
    <x v="12"/>
    <x v="4"/>
    <x v="0"/>
    <x v="29"/>
    <x v="1"/>
    <x v="150"/>
    <x v="2"/>
    <n v="84.49"/>
    <n v="15.38"/>
    <x v="153"/>
    <x v="2"/>
    <n v="2023"/>
    <x v="3"/>
    <n v="71.816500000000005"/>
    <n v="0.20106799969366401"/>
    <x v="1"/>
    <x v="0"/>
  </r>
  <r>
    <x v="154"/>
    <x v="76"/>
    <x v="153"/>
    <x v="1"/>
    <x v="6"/>
    <x v="2"/>
    <x v="2"/>
    <x v="4"/>
    <x v="4"/>
    <x v="151"/>
    <x v="0"/>
    <n v="1447.56"/>
    <n v="14.56"/>
    <x v="154"/>
    <x v="1"/>
    <n v="2023"/>
    <x v="3"/>
    <n v="1447.56"/>
    <n v="0.38993893171958299"/>
    <x v="2"/>
    <x v="0"/>
  </r>
  <r>
    <x v="155"/>
    <x v="76"/>
    <x v="154"/>
    <x v="1"/>
    <x v="15"/>
    <x v="2"/>
    <x v="2"/>
    <x v="21"/>
    <x v="3"/>
    <x v="152"/>
    <x v="0"/>
    <n v="67.62"/>
    <n v="11.63"/>
    <x v="155"/>
    <x v="0"/>
    <n v="2023"/>
    <x v="3"/>
    <n v="67.62"/>
    <n v="0.22803904170363801"/>
    <x v="1"/>
    <x v="0"/>
  </r>
  <r>
    <x v="156"/>
    <x v="77"/>
    <x v="155"/>
    <x v="0"/>
    <x v="1"/>
    <x v="1"/>
    <x v="2"/>
    <x v="15"/>
    <x v="3"/>
    <x v="153"/>
    <x v="0"/>
    <n v="268.98"/>
    <n v="8.56"/>
    <x v="156"/>
    <x v="1"/>
    <n v="2023"/>
    <x v="3"/>
    <n v="268.98"/>
    <n v="0.36816863707338798"/>
    <x v="0"/>
    <x v="0"/>
  </r>
  <r>
    <x v="157"/>
    <x v="78"/>
    <x v="156"/>
    <x v="0"/>
    <x v="2"/>
    <x v="0"/>
    <x v="1"/>
    <x v="25"/>
    <x v="0"/>
    <x v="154"/>
    <x v="4"/>
    <n v="27.5"/>
    <n v="10.62"/>
    <x v="157"/>
    <x v="2"/>
    <n v="2023"/>
    <x v="3"/>
    <n v="26.125"/>
    <n v="0.14736842105263201"/>
    <x v="1"/>
    <x v="0"/>
  </r>
  <r>
    <x v="158"/>
    <x v="78"/>
    <x v="157"/>
    <x v="2"/>
    <x v="7"/>
    <x v="4"/>
    <x v="0"/>
    <x v="31"/>
    <x v="2"/>
    <x v="155"/>
    <x v="4"/>
    <n v="264.38"/>
    <n v="12.48"/>
    <x v="158"/>
    <x v="0"/>
    <n v="2023"/>
    <x v="3"/>
    <n v="251.161"/>
    <n v="0.39349262027145898"/>
    <x v="0"/>
    <x v="0"/>
  </r>
  <r>
    <x v="159"/>
    <x v="78"/>
    <x v="158"/>
    <x v="0"/>
    <x v="2"/>
    <x v="0"/>
    <x v="1"/>
    <x v="20"/>
    <x v="2"/>
    <x v="156"/>
    <x v="3"/>
    <n v="27.88"/>
    <n v="6.07"/>
    <x v="159"/>
    <x v="2"/>
    <n v="2023"/>
    <x v="3"/>
    <n v="25.091999999999999"/>
    <n v="0.313645783516659"/>
    <x v="1"/>
    <x v="0"/>
  </r>
  <r>
    <x v="160"/>
    <x v="78"/>
    <x v="159"/>
    <x v="0"/>
    <x v="19"/>
    <x v="1"/>
    <x v="0"/>
    <x v="29"/>
    <x v="4"/>
    <x v="157"/>
    <x v="2"/>
    <n v="130.71"/>
    <n v="17.72"/>
    <x v="160"/>
    <x v="1"/>
    <n v="2023"/>
    <x v="3"/>
    <n v="111.1035"/>
    <n v="0.25570751596484398"/>
    <x v="0"/>
    <x v="0"/>
  </r>
  <r>
    <x v="161"/>
    <x v="78"/>
    <x v="160"/>
    <x v="1"/>
    <x v="2"/>
    <x v="0"/>
    <x v="1"/>
    <x v="23"/>
    <x v="3"/>
    <x v="158"/>
    <x v="4"/>
    <n v="12.35"/>
    <n v="5.81"/>
    <x v="161"/>
    <x v="3"/>
    <n v="2023"/>
    <x v="3"/>
    <n v="11.7325"/>
    <n v="5.8810995099083697E-2"/>
    <x v="1"/>
    <x v="0"/>
  </r>
  <r>
    <x v="162"/>
    <x v="79"/>
    <x v="161"/>
    <x v="1"/>
    <x v="0"/>
    <x v="0"/>
    <x v="2"/>
    <x v="15"/>
    <x v="2"/>
    <x v="159"/>
    <x v="0"/>
    <n v="505.36"/>
    <n v="8.1199999999999992"/>
    <x v="162"/>
    <x v="2"/>
    <n v="2023"/>
    <x v="3"/>
    <n v="505.36"/>
    <n v="0.38392433116985902"/>
    <x v="2"/>
    <x v="0"/>
  </r>
  <r>
    <x v="163"/>
    <x v="79"/>
    <x v="162"/>
    <x v="1"/>
    <x v="9"/>
    <x v="3"/>
    <x v="0"/>
    <x v="35"/>
    <x v="7"/>
    <x v="160"/>
    <x v="0"/>
    <n v="166.48"/>
    <n v="20.3"/>
    <x v="163"/>
    <x v="0"/>
    <n v="2023"/>
    <x v="3"/>
    <n v="166.48"/>
    <n v="0.328087457952907"/>
    <x v="0"/>
    <x v="0"/>
  </r>
  <r>
    <x v="164"/>
    <x v="79"/>
    <x v="163"/>
    <x v="1"/>
    <x v="17"/>
    <x v="3"/>
    <x v="1"/>
    <x v="2"/>
    <x v="2"/>
    <x v="161"/>
    <x v="2"/>
    <n v="21.5"/>
    <n v="12.32"/>
    <x v="164"/>
    <x v="2"/>
    <n v="2023"/>
    <x v="3"/>
    <n v="18.274999999999999"/>
    <n v="-0.12093023255814001"/>
    <x v="1"/>
    <x v="1"/>
  </r>
  <r>
    <x v="165"/>
    <x v="80"/>
    <x v="164"/>
    <x v="0"/>
    <x v="17"/>
    <x v="3"/>
    <x v="3"/>
    <x v="24"/>
    <x v="0"/>
    <x v="162"/>
    <x v="0"/>
    <n v="250.38"/>
    <n v="16.07"/>
    <x v="165"/>
    <x v="1"/>
    <n v="2023"/>
    <x v="3"/>
    <n v="250.38"/>
    <n v="0.43581755731288402"/>
    <x v="0"/>
    <x v="0"/>
  </r>
  <r>
    <x v="166"/>
    <x v="81"/>
    <x v="165"/>
    <x v="2"/>
    <x v="14"/>
    <x v="1"/>
    <x v="0"/>
    <x v="7"/>
    <x v="0"/>
    <x v="163"/>
    <x v="4"/>
    <n v="164.99"/>
    <n v="9.48"/>
    <x v="166"/>
    <x v="2"/>
    <n v="2023"/>
    <x v="3"/>
    <n v="156.7405"/>
    <n v="0.38273451979545797"/>
    <x v="0"/>
    <x v="0"/>
  </r>
  <r>
    <x v="167"/>
    <x v="81"/>
    <x v="166"/>
    <x v="0"/>
    <x v="7"/>
    <x v="4"/>
    <x v="0"/>
    <x v="1"/>
    <x v="3"/>
    <x v="164"/>
    <x v="0"/>
    <n v="133.59"/>
    <n v="12.48"/>
    <x v="167"/>
    <x v="1"/>
    <n v="2023"/>
    <x v="3"/>
    <n v="133.59"/>
    <n v="0.35661351897597099"/>
    <x v="0"/>
    <x v="0"/>
  </r>
  <r>
    <x v="168"/>
    <x v="82"/>
    <x v="167"/>
    <x v="2"/>
    <x v="9"/>
    <x v="3"/>
    <x v="1"/>
    <x v="2"/>
    <x v="3"/>
    <x v="165"/>
    <x v="4"/>
    <n v="9.4"/>
    <n v="10.9"/>
    <x v="168"/>
    <x v="1"/>
    <n v="2023"/>
    <x v="3"/>
    <n v="8.93"/>
    <n v="-0.66629339305711099"/>
    <x v="1"/>
    <x v="1"/>
  </r>
  <r>
    <x v="169"/>
    <x v="82"/>
    <x v="168"/>
    <x v="1"/>
    <x v="13"/>
    <x v="0"/>
    <x v="1"/>
    <x v="12"/>
    <x v="4"/>
    <x v="166"/>
    <x v="4"/>
    <n v="101.8"/>
    <n v="11.87"/>
    <x v="169"/>
    <x v="1"/>
    <n v="2023"/>
    <x v="3"/>
    <n v="96.71"/>
    <n v="0.43128942198324899"/>
    <x v="0"/>
    <x v="0"/>
  </r>
  <r>
    <x v="170"/>
    <x v="82"/>
    <x v="169"/>
    <x v="0"/>
    <x v="16"/>
    <x v="3"/>
    <x v="2"/>
    <x v="34"/>
    <x v="1"/>
    <x v="167"/>
    <x v="3"/>
    <n v="211.75"/>
    <n v="13.12"/>
    <x v="170"/>
    <x v="2"/>
    <n v="2023"/>
    <x v="3"/>
    <n v="190.57499999999999"/>
    <n v="0.30150859241768302"/>
    <x v="0"/>
    <x v="0"/>
  </r>
  <r>
    <x v="171"/>
    <x v="83"/>
    <x v="170"/>
    <x v="1"/>
    <x v="16"/>
    <x v="3"/>
    <x v="0"/>
    <x v="7"/>
    <x v="0"/>
    <x v="168"/>
    <x v="1"/>
    <n v="152.16"/>
    <n v="12.26"/>
    <x v="171"/>
    <x v="1"/>
    <n v="2023"/>
    <x v="3"/>
    <n v="121.72799999999999"/>
    <n v="0.28990864879074701"/>
    <x v="0"/>
    <x v="0"/>
  </r>
  <r>
    <x v="172"/>
    <x v="83"/>
    <x v="171"/>
    <x v="1"/>
    <x v="2"/>
    <x v="0"/>
    <x v="0"/>
    <x v="1"/>
    <x v="3"/>
    <x v="164"/>
    <x v="3"/>
    <n v="120.23"/>
    <n v="6.48"/>
    <x v="172"/>
    <x v="2"/>
    <n v="2023"/>
    <x v="3"/>
    <n v="108.20699999999999"/>
    <n v="0.37224948478379399"/>
    <x v="0"/>
    <x v="0"/>
  </r>
  <r>
    <x v="173"/>
    <x v="84"/>
    <x v="172"/>
    <x v="0"/>
    <x v="13"/>
    <x v="0"/>
    <x v="2"/>
    <x v="36"/>
    <x v="2"/>
    <x v="169"/>
    <x v="3"/>
    <n v="440.6"/>
    <n v="9.82"/>
    <x v="173"/>
    <x v="2"/>
    <n v="2023"/>
    <x v="3"/>
    <n v="396.54"/>
    <n v="0.34558934785897999"/>
    <x v="0"/>
    <x v="0"/>
  </r>
  <r>
    <x v="174"/>
    <x v="84"/>
    <x v="173"/>
    <x v="1"/>
    <x v="10"/>
    <x v="3"/>
    <x v="1"/>
    <x v="17"/>
    <x v="1"/>
    <x v="170"/>
    <x v="0"/>
    <n v="55.56"/>
    <n v="18.260000000000002"/>
    <x v="174"/>
    <x v="1"/>
    <n v="2023"/>
    <x v="3"/>
    <n v="55.56"/>
    <n v="0.22138228941684701"/>
    <x v="1"/>
    <x v="0"/>
  </r>
  <r>
    <x v="175"/>
    <x v="85"/>
    <x v="174"/>
    <x v="1"/>
    <x v="6"/>
    <x v="2"/>
    <x v="1"/>
    <x v="19"/>
    <x v="2"/>
    <x v="171"/>
    <x v="0"/>
    <n v="9.08"/>
    <n v="13.77"/>
    <x v="175"/>
    <x v="2"/>
    <n v="2023"/>
    <x v="3"/>
    <n v="9.08"/>
    <n v="-0.96696035242290801"/>
    <x v="1"/>
    <x v="1"/>
  </r>
  <r>
    <x v="176"/>
    <x v="86"/>
    <x v="175"/>
    <x v="1"/>
    <x v="4"/>
    <x v="2"/>
    <x v="2"/>
    <x v="4"/>
    <x v="1"/>
    <x v="172"/>
    <x v="6"/>
    <n v="772.8"/>
    <n v="19.79"/>
    <x v="176"/>
    <x v="3"/>
    <n v="2023"/>
    <x v="3"/>
    <n v="579.6"/>
    <n v="0.23252242926156"/>
    <x v="2"/>
    <x v="0"/>
  </r>
  <r>
    <x v="177"/>
    <x v="87"/>
    <x v="176"/>
    <x v="1"/>
    <x v="10"/>
    <x v="3"/>
    <x v="3"/>
    <x v="11"/>
    <x v="3"/>
    <x v="173"/>
    <x v="4"/>
    <n v="52.25"/>
    <n v="9.81"/>
    <x v="177"/>
    <x v="2"/>
    <n v="2023"/>
    <x v="3"/>
    <n v="49.637500000000003"/>
    <n v="0.300982120372702"/>
    <x v="1"/>
    <x v="0"/>
  </r>
  <r>
    <x v="178"/>
    <x v="87"/>
    <x v="177"/>
    <x v="0"/>
    <x v="16"/>
    <x v="3"/>
    <x v="1"/>
    <x v="10"/>
    <x v="1"/>
    <x v="174"/>
    <x v="4"/>
    <n v="32.909999999999997"/>
    <n v="11.66"/>
    <x v="178"/>
    <x v="2"/>
    <n v="2023"/>
    <x v="3"/>
    <n v="31.264500000000002"/>
    <n v="0.18103599929632599"/>
    <x v="1"/>
    <x v="0"/>
  </r>
  <r>
    <x v="179"/>
    <x v="87"/>
    <x v="178"/>
    <x v="1"/>
    <x v="2"/>
    <x v="0"/>
    <x v="0"/>
    <x v="22"/>
    <x v="2"/>
    <x v="175"/>
    <x v="3"/>
    <n v="169.97"/>
    <n v="6.86"/>
    <x v="179"/>
    <x v="2"/>
    <n v="2023"/>
    <x v="3"/>
    <n v="152.97300000000001"/>
    <n v="0.38725788210991502"/>
    <x v="0"/>
    <x v="0"/>
  </r>
  <r>
    <x v="180"/>
    <x v="88"/>
    <x v="179"/>
    <x v="1"/>
    <x v="19"/>
    <x v="1"/>
    <x v="0"/>
    <x v="0"/>
    <x v="4"/>
    <x v="176"/>
    <x v="4"/>
    <n v="1196.43"/>
    <n v="17.2"/>
    <x v="180"/>
    <x v="1"/>
    <n v="2023"/>
    <x v="3"/>
    <n v="1136.6085"/>
    <n v="0.42808055720153398"/>
    <x v="2"/>
    <x v="0"/>
  </r>
  <r>
    <x v="181"/>
    <x v="89"/>
    <x v="180"/>
    <x v="0"/>
    <x v="11"/>
    <x v="2"/>
    <x v="0"/>
    <x v="0"/>
    <x v="10"/>
    <x v="177"/>
    <x v="0"/>
    <n v="609.39"/>
    <n v="21.43"/>
    <x v="181"/>
    <x v="2"/>
    <n v="2023"/>
    <x v="3"/>
    <n v="609.39"/>
    <n v="0.41484107057877601"/>
    <x v="2"/>
    <x v="0"/>
  </r>
  <r>
    <x v="182"/>
    <x v="90"/>
    <x v="181"/>
    <x v="1"/>
    <x v="13"/>
    <x v="0"/>
    <x v="0"/>
    <x v="31"/>
    <x v="2"/>
    <x v="178"/>
    <x v="2"/>
    <n v="291.24"/>
    <n v="9.4600000000000009"/>
    <x v="182"/>
    <x v="1"/>
    <n v="2023"/>
    <x v="3"/>
    <n v="247.554"/>
    <n v="0.37700865265760197"/>
    <x v="0"/>
    <x v="0"/>
  </r>
  <r>
    <x v="183"/>
    <x v="90"/>
    <x v="182"/>
    <x v="0"/>
    <x v="0"/>
    <x v="0"/>
    <x v="0"/>
    <x v="0"/>
    <x v="0"/>
    <x v="179"/>
    <x v="1"/>
    <n v="199.03"/>
    <n v="12.36"/>
    <x v="183"/>
    <x v="2"/>
    <n v="2023"/>
    <x v="3"/>
    <n v="159.22399999999999"/>
    <n v="0.31301813796915001"/>
    <x v="0"/>
    <x v="0"/>
  </r>
  <r>
    <x v="184"/>
    <x v="91"/>
    <x v="183"/>
    <x v="0"/>
    <x v="9"/>
    <x v="3"/>
    <x v="0"/>
    <x v="3"/>
    <x v="1"/>
    <x v="180"/>
    <x v="2"/>
    <n v="194.11"/>
    <n v="11.38"/>
    <x v="184"/>
    <x v="1"/>
    <n v="2023"/>
    <x v="3"/>
    <n v="164.99350000000001"/>
    <n v="0.34625606463284903"/>
    <x v="0"/>
    <x v="0"/>
  </r>
  <r>
    <x v="185"/>
    <x v="92"/>
    <x v="184"/>
    <x v="1"/>
    <x v="16"/>
    <x v="3"/>
    <x v="3"/>
    <x v="24"/>
    <x v="3"/>
    <x v="181"/>
    <x v="0"/>
    <n v="54.74"/>
    <n v="10.89"/>
    <x v="185"/>
    <x v="1"/>
    <n v="2023"/>
    <x v="3"/>
    <n v="54.74"/>
    <n v="0.30105955425648501"/>
    <x v="1"/>
    <x v="0"/>
  </r>
  <r>
    <x v="186"/>
    <x v="92"/>
    <x v="185"/>
    <x v="1"/>
    <x v="14"/>
    <x v="1"/>
    <x v="2"/>
    <x v="39"/>
    <x v="9"/>
    <x v="182"/>
    <x v="2"/>
    <n v="1159.9100000000001"/>
    <n v="17.75"/>
    <x v="186"/>
    <x v="0"/>
    <n v="2023"/>
    <x v="3"/>
    <n v="985.92349999999999"/>
    <n v="0.32801733603063499"/>
    <x v="2"/>
    <x v="0"/>
  </r>
  <r>
    <x v="187"/>
    <x v="92"/>
    <x v="186"/>
    <x v="1"/>
    <x v="13"/>
    <x v="0"/>
    <x v="2"/>
    <x v="14"/>
    <x v="2"/>
    <x v="183"/>
    <x v="0"/>
    <n v="617.58000000000004"/>
    <n v="7.21"/>
    <x v="187"/>
    <x v="1"/>
    <n v="2023"/>
    <x v="3"/>
    <n v="617.58000000000004"/>
    <n v="0.38832216069173198"/>
    <x v="2"/>
    <x v="0"/>
  </r>
  <r>
    <x v="188"/>
    <x v="93"/>
    <x v="187"/>
    <x v="0"/>
    <x v="15"/>
    <x v="2"/>
    <x v="2"/>
    <x v="5"/>
    <x v="0"/>
    <x v="184"/>
    <x v="1"/>
    <n v="433.94"/>
    <n v="18.2"/>
    <x v="188"/>
    <x v="2"/>
    <n v="2023"/>
    <x v="3"/>
    <n v="347.15199999999999"/>
    <n v="0.26005899433101398"/>
    <x v="0"/>
    <x v="0"/>
  </r>
  <r>
    <x v="189"/>
    <x v="94"/>
    <x v="188"/>
    <x v="0"/>
    <x v="17"/>
    <x v="3"/>
    <x v="2"/>
    <x v="34"/>
    <x v="3"/>
    <x v="185"/>
    <x v="3"/>
    <n v="49.46"/>
    <n v="10.74"/>
    <x v="189"/>
    <x v="1"/>
    <n v="2023"/>
    <x v="3"/>
    <n v="44.514000000000003"/>
    <n v="0.128948196073146"/>
    <x v="1"/>
    <x v="0"/>
  </r>
  <r>
    <x v="190"/>
    <x v="95"/>
    <x v="189"/>
    <x v="2"/>
    <x v="14"/>
    <x v="1"/>
    <x v="2"/>
    <x v="39"/>
    <x v="3"/>
    <x v="186"/>
    <x v="3"/>
    <n v="123.53"/>
    <n v="8.4700000000000006"/>
    <x v="190"/>
    <x v="2"/>
    <n v="2023"/>
    <x v="3"/>
    <n v="111.17700000000001"/>
    <n v="0.29412558352896701"/>
    <x v="0"/>
    <x v="0"/>
  </r>
  <r>
    <x v="191"/>
    <x v="96"/>
    <x v="190"/>
    <x v="0"/>
    <x v="9"/>
    <x v="3"/>
    <x v="3"/>
    <x v="16"/>
    <x v="4"/>
    <x v="187"/>
    <x v="3"/>
    <n v="165.56"/>
    <n v="22.41"/>
    <x v="191"/>
    <x v="0"/>
    <n v="2023"/>
    <x v="3"/>
    <n v="149.00399999999999"/>
    <n v="0.34341359963490897"/>
    <x v="0"/>
    <x v="0"/>
  </r>
  <r>
    <x v="192"/>
    <x v="96"/>
    <x v="191"/>
    <x v="1"/>
    <x v="5"/>
    <x v="3"/>
    <x v="3"/>
    <x v="33"/>
    <x v="3"/>
    <x v="188"/>
    <x v="4"/>
    <n v="43.85"/>
    <n v="11.08"/>
    <x v="192"/>
    <x v="1"/>
    <n v="2023"/>
    <x v="3"/>
    <n v="41.657499999999999"/>
    <n v="0.232611174458381"/>
    <x v="1"/>
    <x v="0"/>
  </r>
  <r>
    <x v="193"/>
    <x v="96"/>
    <x v="192"/>
    <x v="1"/>
    <x v="14"/>
    <x v="1"/>
    <x v="3"/>
    <x v="24"/>
    <x v="1"/>
    <x v="189"/>
    <x v="4"/>
    <n v="173.2"/>
    <n v="12.2"/>
    <x v="193"/>
    <x v="3"/>
    <n v="2023"/>
    <x v="3"/>
    <n v="164.54"/>
    <n v="0.42445605931688302"/>
    <x v="0"/>
    <x v="0"/>
  </r>
  <r>
    <x v="194"/>
    <x v="97"/>
    <x v="193"/>
    <x v="1"/>
    <x v="17"/>
    <x v="3"/>
    <x v="2"/>
    <x v="4"/>
    <x v="2"/>
    <x v="190"/>
    <x v="0"/>
    <n v="355.2"/>
    <n v="13.33"/>
    <x v="194"/>
    <x v="1"/>
    <n v="2023"/>
    <x v="3"/>
    <n v="355.2"/>
    <n v="0.36247184684684702"/>
    <x v="0"/>
    <x v="0"/>
  </r>
  <r>
    <x v="195"/>
    <x v="97"/>
    <x v="194"/>
    <x v="1"/>
    <x v="2"/>
    <x v="0"/>
    <x v="2"/>
    <x v="5"/>
    <x v="0"/>
    <x v="191"/>
    <x v="0"/>
    <n v="577.65"/>
    <n v="10.26"/>
    <x v="195"/>
    <x v="1"/>
    <n v="2023"/>
    <x v="3"/>
    <n v="577.65"/>
    <n v="0.38223837964165203"/>
    <x v="2"/>
    <x v="0"/>
  </r>
  <r>
    <x v="196"/>
    <x v="98"/>
    <x v="195"/>
    <x v="1"/>
    <x v="5"/>
    <x v="3"/>
    <x v="0"/>
    <x v="29"/>
    <x v="3"/>
    <x v="192"/>
    <x v="4"/>
    <n v="16.95"/>
    <n v="11.04"/>
    <x v="196"/>
    <x v="1"/>
    <n v="2023"/>
    <x v="3"/>
    <n v="16.102499999999999"/>
    <n v="-0.24219841639497"/>
    <x v="1"/>
    <x v="1"/>
  </r>
  <r>
    <x v="197"/>
    <x v="99"/>
    <x v="196"/>
    <x v="0"/>
    <x v="10"/>
    <x v="3"/>
    <x v="1"/>
    <x v="25"/>
    <x v="1"/>
    <x v="193"/>
    <x v="4"/>
    <n v="32.64"/>
    <n v="11.51"/>
    <x v="197"/>
    <x v="1"/>
    <n v="2023"/>
    <x v="3"/>
    <n v="31.007999999999999"/>
    <n v="0.18285603715170301"/>
    <x v="1"/>
    <x v="0"/>
  </r>
  <r>
    <x v="198"/>
    <x v="100"/>
    <x v="197"/>
    <x v="1"/>
    <x v="13"/>
    <x v="0"/>
    <x v="0"/>
    <x v="29"/>
    <x v="3"/>
    <x v="194"/>
    <x v="0"/>
    <n v="29.87"/>
    <n v="6.43"/>
    <x v="198"/>
    <x v="3"/>
    <n v="2023"/>
    <x v="4"/>
    <n v="29.87"/>
    <n v="0.23468362905925699"/>
    <x v="1"/>
    <x v="0"/>
  </r>
  <r>
    <x v="199"/>
    <x v="101"/>
    <x v="198"/>
    <x v="0"/>
    <x v="5"/>
    <x v="3"/>
    <x v="1"/>
    <x v="12"/>
    <x v="0"/>
    <x v="195"/>
    <x v="4"/>
    <n v="36.42"/>
    <n v="14.72"/>
    <x v="199"/>
    <x v="1"/>
    <n v="2023"/>
    <x v="4"/>
    <n v="34.598999999999997"/>
    <n v="0.12861643400098299"/>
    <x v="1"/>
    <x v="0"/>
  </r>
  <r>
    <x v="200"/>
    <x v="102"/>
    <x v="199"/>
    <x v="1"/>
    <x v="2"/>
    <x v="0"/>
    <x v="0"/>
    <x v="7"/>
    <x v="0"/>
    <x v="196"/>
    <x v="0"/>
    <n v="215.52"/>
    <n v="8.56"/>
    <x v="200"/>
    <x v="0"/>
    <n v="2023"/>
    <x v="4"/>
    <n v="215.52"/>
    <n v="0.41026354862657799"/>
    <x v="0"/>
    <x v="0"/>
  </r>
  <r>
    <x v="201"/>
    <x v="103"/>
    <x v="18"/>
    <x v="2"/>
    <x v="16"/>
    <x v="3"/>
    <x v="1"/>
    <x v="17"/>
    <x v="2"/>
    <x v="197"/>
    <x v="1"/>
    <n v="9.98"/>
    <n v="13.23"/>
    <x v="201"/>
    <x v="1"/>
    <n v="2023"/>
    <x v="4"/>
    <n v="7.984"/>
    <n v="-1.1109719438877801"/>
    <x v="1"/>
    <x v="1"/>
  </r>
  <r>
    <x v="202"/>
    <x v="104"/>
    <x v="200"/>
    <x v="2"/>
    <x v="2"/>
    <x v="0"/>
    <x v="1"/>
    <x v="19"/>
    <x v="2"/>
    <x v="198"/>
    <x v="3"/>
    <n v="21.87"/>
    <n v="9.48"/>
    <x v="202"/>
    <x v="0"/>
    <n v="2023"/>
    <x v="4"/>
    <n v="19.683"/>
    <n v="7.4175684600924593E-2"/>
    <x v="1"/>
    <x v="0"/>
  </r>
  <r>
    <x v="203"/>
    <x v="104"/>
    <x v="201"/>
    <x v="1"/>
    <x v="5"/>
    <x v="3"/>
    <x v="3"/>
    <x v="24"/>
    <x v="3"/>
    <x v="199"/>
    <x v="2"/>
    <n v="75.13"/>
    <n v="11.2"/>
    <x v="203"/>
    <x v="2"/>
    <n v="2023"/>
    <x v="4"/>
    <n v="63.860500000000002"/>
    <n v="0.30895467464238502"/>
    <x v="1"/>
    <x v="0"/>
  </r>
  <r>
    <x v="204"/>
    <x v="105"/>
    <x v="202"/>
    <x v="1"/>
    <x v="9"/>
    <x v="3"/>
    <x v="0"/>
    <x v="0"/>
    <x v="5"/>
    <x v="200"/>
    <x v="0"/>
    <n v="906.95"/>
    <n v="13.61"/>
    <x v="204"/>
    <x v="3"/>
    <n v="2023"/>
    <x v="4"/>
    <n v="906.95"/>
    <n v="0.43499641656100102"/>
    <x v="2"/>
    <x v="0"/>
  </r>
  <r>
    <x v="205"/>
    <x v="105"/>
    <x v="203"/>
    <x v="1"/>
    <x v="2"/>
    <x v="0"/>
    <x v="1"/>
    <x v="23"/>
    <x v="3"/>
    <x v="201"/>
    <x v="2"/>
    <n v="13.71"/>
    <n v="6.12"/>
    <x v="205"/>
    <x v="0"/>
    <n v="2023"/>
    <x v="4"/>
    <n v="11.653499999999999"/>
    <n v="2.8317672802162401E-2"/>
    <x v="1"/>
    <x v="0"/>
  </r>
  <r>
    <x v="206"/>
    <x v="105"/>
    <x v="204"/>
    <x v="1"/>
    <x v="13"/>
    <x v="0"/>
    <x v="0"/>
    <x v="7"/>
    <x v="2"/>
    <x v="202"/>
    <x v="4"/>
    <n v="83.92"/>
    <n v="6.3"/>
    <x v="206"/>
    <x v="1"/>
    <n v="2023"/>
    <x v="4"/>
    <n v="79.724000000000004"/>
    <n v="0.36413125282223702"/>
    <x v="1"/>
    <x v="0"/>
  </r>
  <r>
    <x v="207"/>
    <x v="106"/>
    <x v="205"/>
    <x v="0"/>
    <x v="10"/>
    <x v="3"/>
    <x v="1"/>
    <x v="12"/>
    <x v="2"/>
    <x v="203"/>
    <x v="2"/>
    <n v="19.579999999999998"/>
    <n v="12.1"/>
    <x v="207"/>
    <x v="1"/>
    <n v="2023"/>
    <x v="4"/>
    <n v="16.643000000000001"/>
    <n v="-0.17364657814095999"/>
    <x v="1"/>
    <x v="1"/>
  </r>
  <r>
    <x v="208"/>
    <x v="107"/>
    <x v="206"/>
    <x v="0"/>
    <x v="19"/>
    <x v="1"/>
    <x v="1"/>
    <x v="12"/>
    <x v="0"/>
    <x v="204"/>
    <x v="5"/>
    <n v="24.32"/>
    <n v="13.53"/>
    <x v="208"/>
    <x v="1"/>
    <n v="2023"/>
    <x v="4"/>
    <n v="17.024000000000001"/>
    <n v="-0.284304511278195"/>
    <x v="1"/>
    <x v="1"/>
  </r>
  <r>
    <x v="209"/>
    <x v="108"/>
    <x v="207"/>
    <x v="0"/>
    <x v="14"/>
    <x v="1"/>
    <x v="3"/>
    <x v="27"/>
    <x v="0"/>
    <x v="205"/>
    <x v="2"/>
    <n v="65.56"/>
    <n v="8.8800000000000008"/>
    <x v="209"/>
    <x v="1"/>
    <n v="2023"/>
    <x v="4"/>
    <n v="55.725999999999999"/>
    <n v="0.32516240175142702"/>
    <x v="1"/>
    <x v="0"/>
  </r>
  <r>
    <x v="210"/>
    <x v="108"/>
    <x v="208"/>
    <x v="1"/>
    <x v="13"/>
    <x v="0"/>
    <x v="0"/>
    <x v="28"/>
    <x v="0"/>
    <x v="206"/>
    <x v="2"/>
    <n v="121.2"/>
    <n v="7.18"/>
    <x v="210"/>
    <x v="3"/>
    <n v="2023"/>
    <x v="4"/>
    <n v="103.02"/>
    <n v="0.34556396816152202"/>
    <x v="0"/>
    <x v="0"/>
  </r>
  <r>
    <x v="211"/>
    <x v="109"/>
    <x v="209"/>
    <x v="1"/>
    <x v="12"/>
    <x v="4"/>
    <x v="3"/>
    <x v="11"/>
    <x v="0"/>
    <x v="207"/>
    <x v="1"/>
    <n v="227.06"/>
    <n v="16.78"/>
    <x v="211"/>
    <x v="2"/>
    <n v="2023"/>
    <x v="4"/>
    <n v="181.648"/>
    <n v="0.37638729851140701"/>
    <x v="0"/>
    <x v="0"/>
  </r>
  <r>
    <x v="212"/>
    <x v="109"/>
    <x v="210"/>
    <x v="0"/>
    <x v="19"/>
    <x v="1"/>
    <x v="2"/>
    <x v="39"/>
    <x v="2"/>
    <x v="208"/>
    <x v="1"/>
    <n v="398.24"/>
    <n v="8.23"/>
    <x v="212"/>
    <x v="1"/>
    <n v="2023"/>
    <x v="4"/>
    <n v="318.59199999999998"/>
    <n v="0.286667587384492"/>
    <x v="0"/>
    <x v="0"/>
  </r>
  <r>
    <x v="213"/>
    <x v="110"/>
    <x v="211"/>
    <x v="0"/>
    <x v="16"/>
    <x v="3"/>
    <x v="0"/>
    <x v="18"/>
    <x v="1"/>
    <x v="209"/>
    <x v="3"/>
    <n v="225.25"/>
    <n v="14.99"/>
    <x v="213"/>
    <x v="2"/>
    <n v="2023"/>
    <x v="4"/>
    <n v="202.72499999999999"/>
    <n v="0.35816993464052299"/>
    <x v="0"/>
    <x v="0"/>
  </r>
  <r>
    <x v="214"/>
    <x v="110"/>
    <x v="212"/>
    <x v="1"/>
    <x v="16"/>
    <x v="3"/>
    <x v="2"/>
    <x v="8"/>
    <x v="12"/>
    <x v="210"/>
    <x v="4"/>
    <n v="1438.39"/>
    <n v="29.26"/>
    <x v="214"/>
    <x v="1"/>
    <n v="2023"/>
    <x v="4"/>
    <n v="1366.4704999999999"/>
    <n v="0.36639649374062599"/>
    <x v="2"/>
    <x v="0"/>
  </r>
  <r>
    <x v="215"/>
    <x v="111"/>
    <x v="213"/>
    <x v="2"/>
    <x v="12"/>
    <x v="4"/>
    <x v="0"/>
    <x v="28"/>
    <x v="3"/>
    <x v="211"/>
    <x v="4"/>
    <n v="52.98"/>
    <n v="11.25"/>
    <x v="215"/>
    <x v="2"/>
    <n v="2023"/>
    <x v="4"/>
    <n v="50.331000000000003"/>
    <n v="0.21974528620532099"/>
    <x v="1"/>
    <x v="0"/>
  </r>
  <r>
    <x v="216"/>
    <x v="112"/>
    <x v="214"/>
    <x v="0"/>
    <x v="17"/>
    <x v="3"/>
    <x v="2"/>
    <x v="21"/>
    <x v="2"/>
    <x v="212"/>
    <x v="2"/>
    <n v="131.72999999999999"/>
    <n v="12.63"/>
    <x v="216"/>
    <x v="0"/>
    <n v="2023"/>
    <x v="4"/>
    <n v="111.9705"/>
    <n v="0.23318641963731501"/>
    <x v="0"/>
    <x v="0"/>
  </r>
  <r>
    <x v="217"/>
    <x v="112"/>
    <x v="215"/>
    <x v="1"/>
    <x v="2"/>
    <x v="0"/>
    <x v="2"/>
    <x v="5"/>
    <x v="1"/>
    <x v="213"/>
    <x v="4"/>
    <n v="250.5"/>
    <n v="13.46"/>
    <x v="217"/>
    <x v="1"/>
    <n v="2023"/>
    <x v="4"/>
    <n v="237.97499999999999"/>
    <n v="0.33125328290786799"/>
    <x v="0"/>
    <x v="0"/>
  </r>
  <r>
    <x v="218"/>
    <x v="112"/>
    <x v="216"/>
    <x v="0"/>
    <x v="2"/>
    <x v="0"/>
    <x v="2"/>
    <x v="36"/>
    <x v="3"/>
    <x v="214"/>
    <x v="6"/>
    <n v="91.16"/>
    <n v="6.6"/>
    <x v="218"/>
    <x v="2"/>
    <n v="2023"/>
    <x v="4"/>
    <n v="68.37"/>
    <n v="0.170103846716396"/>
    <x v="1"/>
    <x v="0"/>
  </r>
  <r>
    <x v="219"/>
    <x v="113"/>
    <x v="217"/>
    <x v="0"/>
    <x v="19"/>
    <x v="1"/>
    <x v="3"/>
    <x v="24"/>
    <x v="2"/>
    <x v="215"/>
    <x v="3"/>
    <n v="143.37"/>
    <n v="10.14"/>
    <x v="219"/>
    <x v="1"/>
    <n v="2023"/>
    <x v="4"/>
    <n v="129.03299999999999"/>
    <n v="0.415242612354979"/>
    <x v="0"/>
    <x v="0"/>
  </r>
  <r>
    <x v="220"/>
    <x v="113"/>
    <x v="218"/>
    <x v="1"/>
    <x v="2"/>
    <x v="0"/>
    <x v="2"/>
    <x v="4"/>
    <x v="0"/>
    <x v="216"/>
    <x v="3"/>
    <n v="486.27"/>
    <n v="8.31"/>
    <x v="220"/>
    <x v="2"/>
    <n v="2023"/>
    <x v="4"/>
    <n v="437.64299999999997"/>
    <n v="0.351382291045441"/>
    <x v="0"/>
    <x v="0"/>
  </r>
  <r>
    <x v="221"/>
    <x v="113"/>
    <x v="219"/>
    <x v="2"/>
    <x v="18"/>
    <x v="4"/>
    <x v="2"/>
    <x v="5"/>
    <x v="0"/>
    <x v="217"/>
    <x v="2"/>
    <n v="371.89"/>
    <n v="14.54"/>
    <x v="221"/>
    <x v="1"/>
    <n v="2023"/>
    <x v="4"/>
    <n v="316.10649999999998"/>
    <n v="0.30002546610082398"/>
    <x v="0"/>
    <x v="0"/>
  </r>
  <r>
    <x v="222"/>
    <x v="114"/>
    <x v="220"/>
    <x v="2"/>
    <x v="16"/>
    <x v="3"/>
    <x v="1"/>
    <x v="10"/>
    <x v="10"/>
    <x v="218"/>
    <x v="3"/>
    <n v="25.6"/>
    <n v="18.23"/>
    <x v="222"/>
    <x v="0"/>
    <n v="2023"/>
    <x v="4"/>
    <n v="23.04"/>
    <n v="-0.23567708333333301"/>
    <x v="1"/>
    <x v="1"/>
  </r>
  <r>
    <x v="223"/>
    <x v="115"/>
    <x v="221"/>
    <x v="0"/>
    <x v="13"/>
    <x v="0"/>
    <x v="1"/>
    <x v="23"/>
    <x v="0"/>
    <x v="219"/>
    <x v="0"/>
    <n v="24.6"/>
    <n v="7.45"/>
    <x v="223"/>
    <x v="2"/>
    <n v="2023"/>
    <x v="4"/>
    <n v="24.6"/>
    <n v="0.24715447154471501"/>
    <x v="1"/>
    <x v="0"/>
  </r>
  <r>
    <x v="224"/>
    <x v="115"/>
    <x v="222"/>
    <x v="0"/>
    <x v="15"/>
    <x v="2"/>
    <x v="2"/>
    <x v="39"/>
    <x v="2"/>
    <x v="220"/>
    <x v="0"/>
    <n v="429.04"/>
    <n v="15.39"/>
    <x v="224"/>
    <x v="1"/>
    <n v="2023"/>
    <x v="4"/>
    <n v="429.04"/>
    <n v="0.364138541860899"/>
    <x v="0"/>
    <x v="0"/>
  </r>
  <r>
    <x v="225"/>
    <x v="115"/>
    <x v="223"/>
    <x v="1"/>
    <x v="10"/>
    <x v="3"/>
    <x v="3"/>
    <x v="26"/>
    <x v="7"/>
    <x v="221"/>
    <x v="2"/>
    <n v="297.23"/>
    <n v="21.92"/>
    <x v="225"/>
    <x v="2"/>
    <n v="2023"/>
    <x v="4"/>
    <n v="252.6455"/>
    <n v="0.39767183662483602"/>
    <x v="0"/>
    <x v="0"/>
  </r>
  <r>
    <x v="226"/>
    <x v="115"/>
    <x v="224"/>
    <x v="1"/>
    <x v="16"/>
    <x v="3"/>
    <x v="2"/>
    <x v="4"/>
    <x v="2"/>
    <x v="222"/>
    <x v="6"/>
    <n v="179.66"/>
    <n v="10.37"/>
    <x v="226"/>
    <x v="0"/>
    <n v="2023"/>
    <x v="4"/>
    <n v="134.745"/>
    <n v="0.18976585402055701"/>
    <x v="0"/>
    <x v="0"/>
  </r>
  <r>
    <x v="227"/>
    <x v="115"/>
    <x v="202"/>
    <x v="0"/>
    <x v="6"/>
    <x v="2"/>
    <x v="2"/>
    <x v="36"/>
    <x v="3"/>
    <x v="223"/>
    <x v="6"/>
    <n v="163.37"/>
    <n v="12.46"/>
    <x v="227"/>
    <x v="1"/>
    <n v="2023"/>
    <x v="4"/>
    <n v="122.5275"/>
    <n v="0.16502417824570001"/>
    <x v="0"/>
    <x v="0"/>
  </r>
  <r>
    <x v="228"/>
    <x v="115"/>
    <x v="225"/>
    <x v="1"/>
    <x v="0"/>
    <x v="0"/>
    <x v="2"/>
    <x v="36"/>
    <x v="2"/>
    <x v="224"/>
    <x v="0"/>
    <n v="590.48"/>
    <n v="9.07"/>
    <x v="228"/>
    <x v="2"/>
    <n v="2023"/>
    <x v="4"/>
    <n v="590.48"/>
    <n v="0.38463622815336701"/>
    <x v="2"/>
    <x v="0"/>
  </r>
  <r>
    <x v="229"/>
    <x v="116"/>
    <x v="226"/>
    <x v="2"/>
    <x v="19"/>
    <x v="1"/>
    <x v="2"/>
    <x v="39"/>
    <x v="3"/>
    <x v="225"/>
    <x v="4"/>
    <n v="185.33"/>
    <n v="9.41"/>
    <x v="229"/>
    <x v="2"/>
    <n v="2023"/>
    <x v="4"/>
    <n v="176.0635"/>
    <n v="0.33436799790984501"/>
    <x v="0"/>
    <x v="0"/>
  </r>
  <r>
    <x v="230"/>
    <x v="117"/>
    <x v="227"/>
    <x v="1"/>
    <x v="0"/>
    <x v="0"/>
    <x v="3"/>
    <x v="9"/>
    <x v="5"/>
    <x v="226"/>
    <x v="0"/>
    <n v="134.19999999999999"/>
    <n v="17.2"/>
    <x v="230"/>
    <x v="2"/>
    <n v="2023"/>
    <x v="4"/>
    <n v="134.19999999999999"/>
    <n v="0.37183308494783901"/>
    <x v="0"/>
    <x v="0"/>
  </r>
  <r>
    <x v="231"/>
    <x v="118"/>
    <x v="86"/>
    <x v="2"/>
    <x v="17"/>
    <x v="3"/>
    <x v="0"/>
    <x v="29"/>
    <x v="5"/>
    <x v="227"/>
    <x v="3"/>
    <n v="69.66"/>
    <n v="19.739999999999998"/>
    <x v="231"/>
    <x v="2"/>
    <n v="2023"/>
    <x v="4"/>
    <n v="62.694000000000003"/>
    <n v="0.117236099148244"/>
    <x v="1"/>
    <x v="0"/>
  </r>
  <r>
    <x v="232"/>
    <x v="119"/>
    <x v="71"/>
    <x v="1"/>
    <x v="2"/>
    <x v="0"/>
    <x v="0"/>
    <x v="3"/>
    <x v="5"/>
    <x v="228"/>
    <x v="4"/>
    <n v="256.97000000000003"/>
    <n v="11.43"/>
    <x v="232"/>
    <x v="1"/>
    <n v="2023"/>
    <x v="4"/>
    <n v="244.1215"/>
    <n v="0.39640097246657902"/>
    <x v="0"/>
    <x v="0"/>
  </r>
  <r>
    <x v="233"/>
    <x v="119"/>
    <x v="228"/>
    <x v="2"/>
    <x v="5"/>
    <x v="3"/>
    <x v="0"/>
    <x v="18"/>
    <x v="7"/>
    <x v="229"/>
    <x v="1"/>
    <n v="238.46"/>
    <n v="14.6"/>
    <x v="233"/>
    <x v="2"/>
    <n v="2023"/>
    <x v="4"/>
    <n v="190.768"/>
    <n v="0.31409880063742301"/>
    <x v="0"/>
    <x v="0"/>
  </r>
  <r>
    <x v="234"/>
    <x v="120"/>
    <x v="229"/>
    <x v="1"/>
    <x v="2"/>
    <x v="0"/>
    <x v="1"/>
    <x v="12"/>
    <x v="1"/>
    <x v="230"/>
    <x v="2"/>
    <n v="35.840000000000003"/>
    <n v="10.87"/>
    <x v="234"/>
    <x v="3"/>
    <n v="2023"/>
    <x v="4"/>
    <n v="30.463999999999999"/>
    <n v="0.19695378151260501"/>
    <x v="1"/>
    <x v="0"/>
  </r>
  <r>
    <x v="235"/>
    <x v="121"/>
    <x v="230"/>
    <x v="0"/>
    <x v="2"/>
    <x v="0"/>
    <x v="1"/>
    <x v="12"/>
    <x v="0"/>
    <x v="231"/>
    <x v="4"/>
    <n v="45.14"/>
    <n v="7.96"/>
    <x v="235"/>
    <x v="1"/>
    <n v="2023"/>
    <x v="4"/>
    <n v="42.883000000000003"/>
    <n v="0.36844437189562301"/>
    <x v="1"/>
    <x v="0"/>
  </r>
  <r>
    <x v="236"/>
    <x v="122"/>
    <x v="231"/>
    <x v="1"/>
    <x v="8"/>
    <x v="1"/>
    <x v="3"/>
    <x v="11"/>
    <x v="2"/>
    <x v="232"/>
    <x v="0"/>
    <n v="66.319999999999993"/>
    <n v="11.38"/>
    <x v="236"/>
    <x v="1"/>
    <n v="2023"/>
    <x v="4"/>
    <n v="66.319999999999993"/>
    <n v="0.328407720144753"/>
    <x v="1"/>
    <x v="0"/>
  </r>
  <r>
    <x v="237"/>
    <x v="123"/>
    <x v="232"/>
    <x v="2"/>
    <x v="5"/>
    <x v="3"/>
    <x v="1"/>
    <x v="2"/>
    <x v="0"/>
    <x v="233"/>
    <x v="2"/>
    <n v="35.700000000000003"/>
    <n v="16.47"/>
    <x v="205"/>
    <x v="1"/>
    <n v="2023"/>
    <x v="4"/>
    <n v="30.344999999999999"/>
    <n v="1.0874938210578401E-2"/>
    <x v="1"/>
    <x v="0"/>
  </r>
  <r>
    <x v="238"/>
    <x v="124"/>
    <x v="233"/>
    <x v="0"/>
    <x v="13"/>
    <x v="0"/>
    <x v="2"/>
    <x v="21"/>
    <x v="6"/>
    <x v="234"/>
    <x v="2"/>
    <n v="322.01"/>
    <n v="17.46"/>
    <x v="237"/>
    <x v="1"/>
    <n v="2023"/>
    <x v="5"/>
    <n v="273.70850000000002"/>
    <n v="0.28223456706678801"/>
    <x v="0"/>
    <x v="0"/>
  </r>
  <r>
    <x v="239"/>
    <x v="124"/>
    <x v="234"/>
    <x v="2"/>
    <x v="8"/>
    <x v="1"/>
    <x v="2"/>
    <x v="8"/>
    <x v="3"/>
    <x v="235"/>
    <x v="4"/>
    <n v="112.42"/>
    <n v="7.66"/>
    <x v="238"/>
    <x v="1"/>
    <n v="2023"/>
    <x v="5"/>
    <n v="106.79900000000001"/>
    <n v="0.31610782872498799"/>
    <x v="0"/>
    <x v="0"/>
  </r>
  <r>
    <x v="240"/>
    <x v="124"/>
    <x v="235"/>
    <x v="1"/>
    <x v="1"/>
    <x v="1"/>
    <x v="1"/>
    <x v="17"/>
    <x v="3"/>
    <x v="236"/>
    <x v="0"/>
    <n v="20.28"/>
    <n v="8.91"/>
    <x v="239"/>
    <x v="2"/>
    <n v="2023"/>
    <x v="5"/>
    <n v="20.28"/>
    <n v="0.110453648915187"/>
    <x v="1"/>
    <x v="0"/>
  </r>
  <r>
    <x v="241"/>
    <x v="124"/>
    <x v="236"/>
    <x v="1"/>
    <x v="2"/>
    <x v="0"/>
    <x v="2"/>
    <x v="36"/>
    <x v="6"/>
    <x v="237"/>
    <x v="3"/>
    <n v="1657.59"/>
    <n v="16.54"/>
    <x v="240"/>
    <x v="2"/>
    <n v="2023"/>
    <x v="5"/>
    <n v="1491.8309999999999"/>
    <n v="0.35928332364725002"/>
    <x v="2"/>
    <x v="0"/>
  </r>
  <r>
    <x v="242"/>
    <x v="124"/>
    <x v="237"/>
    <x v="1"/>
    <x v="10"/>
    <x v="3"/>
    <x v="2"/>
    <x v="36"/>
    <x v="3"/>
    <x v="238"/>
    <x v="1"/>
    <n v="217.35"/>
    <n v="10.66"/>
    <x v="241"/>
    <x v="0"/>
    <n v="2023"/>
    <x v="5"/>
    <n v="173.88"/>
    <n v="0.25120772946859898"/>
    <x v="0"/>
    <x v="0"/>
  </r>
  <r>
    <x v="243"/>
    <x v="125"/>
    <x v="238"/>
    <x v="0"/>
    <x v="14"/>
    <x v="1"/>
    <x v="2"/>
    <x v="32"/>
    <x v="1"/>
    <x v="239"/>
    <x v="2"/>
    <n v="148.31"/>
    <n v="15.81"/>
    <x v="28"/>
    <x v="0"/>
    <n v="2023"/>
    <x v="5"/>
    <n v="126.0635"/>
    <n v="0.22060310875074901"/>
    <x v="0"/>
    <x v="0"/>
  </r>
  <r>
    <x v="244"/>
    <x v="126"/>
    <x v="239"/>
    <x v="0"/>
    <x v="9"/>
    <x v="3"/>
    <x v="3"/>
    <x v="33"/>
    <x v="4"/>
    <x v="240"/>
    <x v="3"/>
    <n v="198.83"/>
    <n v="13.78"/>
    <x v="242"/>
    <x v="1"/>
    <n v="2023"/>
    <x v="5"/>
    <n v="178.947"/>
    <n v="0.41682732876214701"/>
    <x v="0"/>
    <x v="0"/>
  </r>
  <r>
    <x v="245"/>
    <x v="126"/>
    <x v="240"/>
    <x v="1"/>
    <x v="1"/>
    <x v="1"/>
    <x v="1"/>
    <x v="19"/>
    <x v="3"/>
    <x v="241"/>
    <x v="2"/>
    <n v="8.57"/>
    <n v="8.15"/>
    <x v="243"/>
    <x v="1"/>
    <n v="2023"/>
    <x v="5"/>
    <n v="7.2845000000000004"/>
    <n v="-0.56558446015512398"/>
    <x v="1"/>
    <x v="1"/>
  </r>
  <r>
    <x v="246"/>
    <x v="126"/>
    <x v="241"/>
    <x v="1"/>
    <x v="3"/>
    <x v="1"/>
    <x v="1"/>
    <x v="38"/>
    <x v="0"/>
    <x v="242"/>
    <x v="2"/>
    <n v="15.76"/>
    <n v="9.18"/>
    <x v="244"/>
    <x v="1"/>
    <n v="2023"/>
    <x v="5"/>
    <n v="13.396000000000001"/>
    <n v="-0.13138250223947401"/>
    <x v="1"/>
    <x v="1"/>
  </r>
  <r>
    <x v="247"/>
    <x v="127"/>
    <x v="242"/>
    <x v="0"/>
    <x v="2"/>
    <x v="0"/>
    <x v="0"/>
    <x v="7"/>
    <x v="7"/>
    <x v="243"/>
    <x v="2"/>
    <n v="436.15"/>
    <n v="22.64"/>
    <x v="245"/>
    <x v="1"/>
    <n v="2023"/>
    <x v="5"/>
    <n v="370.72750000000002"/>
    <n v="0.35414151904026497"/>
    <x v="0"/>
    <x v="0"/>
  </r>
  <r>
    <x v="248"/>
    <x v="128"/>
    <x v="243"/>
    <x v="1"/>
    <x v="9"/>
    <x v="3"/>
    <x v="0"/>
    <x v="35"/>
    <x v="3"/>
    <x v="244"/>
    <x v="4"/>
    <n v="27.58"/>
    <n v="10.81"/>
    <x v="246"/>
    <x v="1"/>
    <n v="2023"/>
    <x v="5"/>
    <n v="26.201000000000001"/>
    <n v="3.0533185756268798E-2"/>
    <x v="1"/>
    <x v="0"/>
  </r>
  <r>
    <x v="249"/>
    <x v="128"/>
    <x v="244"/>
    <x v="1"/>
    <x v="10"/>
    <x v="3"/>
    <x v="1"/>
    <x v="25"/>
    <x v="3"/>
    <x v="245"/>
    <x v="0"/>
    <n v="6.69"/>
    <n v="10.56"/>
    <x v="247"/>
    <x v="0"/>
    <n v="2023"/>
    <x v="5"/>
    <n v="6.69"/>
    <n v="-1.0284005979073201"/>
    <x v="1"/>
    <x v="1"/>
  </r>
  <r>
    <x v="250"/>
    <x v="128"/>
    <x v="245"/>
    <x v="1"/>
    <x v="10"/>
    <x v="3"/>
    <x v="0"/>
    <x v="7"/>
    <x v="1"/>
    <x v="246"/>
    <x v="1"/>
    <n v="189.73"/>
    <n v="13.59"/>
    <x v="248"/>
    <x v="0"/>
    <n v="2023"/>
    <x v="5"/>
    <n v="151.78399999999999"/>
    <n v="0.30108575343909799"/>
    <x v="0"/>
    <x v="0"/>
  </r>
  <r>
    <x v="251"/>
    <x v="128"/>
    <x v="246"/>
    <x v="0"/>
    <x v="6"/>
    <x v="2"/>
    <x v="3"/>
    <x v="9"/>
    <x v="3"/>
    <x v="247"/>
    <x v="4"/>
    <n v="29.91"/>
    <n v="12.24"/>
    <x v="249"/>
    <x v="2"/>
    <n v="2023"/>
    <x v="5"/>
    <n v="28.4145"/>
    <n v="6.7923067447957897E-2"/>
    <x v="1"/>
    <x v="0"/>
  </r>
  <r>
    <x v="252"/>
    <x v="128"/>
    <x v="247"/>
    <x v="0"/>
    <x v="19"/>
    <x v="1"/>
    <x v="1"/>
    <x v="23"/>
    <x v="0"/>
    <x v="248"/>
    <x v="0"/>
    <n v="23.79"/>
    <n v="14.01"/>
    <x v="250"/>
    <x v="2"/>
    <n v="2023"/>
    <x v="5"/>
    <n v="23.79"/>
    <n v="-3.9092055485498101E-2"/>
    <x v="1"/>
    <x v="1"/>
  </r>
  <r>
    <x v="253"/>
    <x v="129"/>
    <x v="248"/>
    <x v="1"/>
    <x v="4"/>
    <x v="2"/>
    <x v="0"/>
    <x v="29"/>
    <x v="4"/>
    <x v="249"/>
    <x v="4"/>
    <n v="140.33000000000001"/>
    <n v="24.76"/>
    <x v="251"/>
    <x v="1"/>
    <n v="2023"/>
    <x v="5"/>
    <n v="133.3135"/>
    <n v="0.25743829394622397"/>
    <x v="0"/>
    <x v="0"/>
  </r>
  <r>
    <x v="254"/>
    <x v="129"/>
    <x v="229"/>
    <x v="0"/>
    <x v="8"/>
    <x v="1"/>
    <x v="0"/>
    <x v="31"/>
    <x v="1"/>
    <x v="250"/>
    <x v="1"/>
    <n v="233.41"/>
    <n v="16.18"/>
    <x v="252"/>
    <x v="0"/>
    <n v="2023"/>
    <x v="5"/>
    <n v="186.72800000000001"/>
    <n v="0.30397155220427602"/>
    <x v="0"/>
    <x v="0"/>
  </r>
  <r>
    <x v="255"/>
    <x v="129"/>
    <x v="249"/>
    <x v="1"/>
    <x v="0"/>
    <x v="0"/>
    <x v="0"/>
    <x v="35"/>
    <x v="2"/>
    <x v="251"/>
    <x v="3"/>
    <n v="58.41"/>
    <n v="8.6199999999999992"/>
    <x v="253"/>
    <x v="1"/>
    <n v="2023"/>
    <x v="5"/>
    <n v="52.569000000000003"/>
    <n v="0.26802868610778202"/>
    <x v="1"/>
    <x v="0"/>
  </r>
  <r>
    <x v="256"/>
    <x v="130"/>
    <x v="108"/>
    <x v="0"/>
    <x v="5"/>
    <x v="3"/>
    <x v="1"/>
    <x v="38"/>
    <x v="4"/>
    <x v="252"/>
    <x v="2"/>
    <n v="29.22"/>
    <n v="18.91"/>
    <x v="254"/>
    <x v="0"/>
    <n v="2023"/>
    <x v="5"/>
    <n v="24.837"/>
    <n v="-0.20775455972943599"/>
    <x v="1"/>
    <x v="1"/>
  </r>
  <r>
    <x v="257"/>
    <x v="130"/>
    <x v="250"/>
    <x v="1"/>
    <x v="16"/>
    <x v="3"/>
    <x v="3"/>
    <x v="9"/>
    <x v="1"/>
    <x v="253"/>
    <x v="4"/>
    <n v="147.71"/>
    <n v="14.04"/>
    <x v="255"/>
    <x v="1"/>
    <n v="2023"/>
    <x v="5"/>
    <n v="140.3245"/>
    <n v="0.39857615740658298"/>
    <x v="0"/>
    <x v="0"/>
  </r>
  <r>
    <x v="258"/>
    <x v="130"/>
    <x v="251"/>
    <x v="1"/>
    <x v="0"/>
    <x v="0"/>
    <x v="1"/>
    <x v="2"/>
    <x v="2"/>
    <x v="254"/>
    <x v="0"/>
    <n v="13.7"/>
    <n v="7.41"/>
    <x v="256"/>
    <x v="1"/>
    <n v="2023"/>
    <x v="5"/>
    <n v="13.7"/>
    <n v="8.7591240875912399E-3"/>
    <x v="1"/>
    <x v="0"/>
  </r>
  <r>
    <x v="259"/>
    <x v="131"/>
    <x v="252"/>
    <x v="1"/>
    <x v="0"/>
    <x v="0"/>
    <x v="2"/>
    <x v="34"/>
    <x v="2"/>
    <x v="255"/>
    <x v="4"/>
    <n v="30.89"/>
    <n v="6.26"/>
    <x v="257"/>
    <x v="2"/>
    <n v="2023"/>
    <x v="5"/>
    <n v="29.345500000000001"/>
    <n v="0.174473087866964"/>
    <x v="1"/>
    <x v="0"/>
  </r>
  <r>
    <x v="260"/>
    <x v="131"/>
    <x v="253"/>
    <x v="0"/>
    <x v="6"/>
    <x v="2"/>
    <x v="0"/>
    <x v="35"/>
    <x v="3"/>
    <x v="256"/>
    <x v="4"/>
    <n v="21.86"/>
    <n v="13.14"/>
    <x v="258"/>
    <x v="1"/>
    <n v="2023"/>
    <x v="5"/>
    <n v="20.766999999999999"/>
    <n v="-0.189724081475418"/>
    <x v="1"/>
    <x v="1"/>
  </r>
  <r>
    <x v="261"/>
    <x v="131"/>
    <x v="254"/>
    <x v="2"/>
    <x v="6"/>
    <x v="2"/>
    <x v="1"/>
    <x v="6"/>
    <x v="1"/>
    <x v="257"/>
    <x v="2"/>
    <n v="76.5"/>
    <n v="20.57"/>
    <x v="259"/>
    <x v="0"/>
    <n v="2023"/>
    <x v="5"/>
    <n v="65.025000000000006"/>
    <n v="0.237293348712034"/>
    <x v="1"/>
    <x v="0"/>
  </r>
  <r>
    <x v="262"/>
    <x v="132"/>
    <x v="255"/>
    <x v="1"/>
    <x v="13"/>
    <x v="0"/>
    <x v="2"/>
    <x v="15"/>
    <x v="0"/>
    <x v="258"/>
    <x v="2"/>
    <n v="585.15"/>
    <n v="9.83"/>
    <x v="260"/>
    <x v="1"/>
    <n v="2023"/>
    <x v="5"/>
    <n v="497.3775"/>
    <n v="0.32625118747832399"/>
    <x v="2"/>
    <x v="0"/>
  </r>
  <r>
    <x v="263"/>
    <x v="133"/>
    <x v="256"/>
    <x v="2"/>
    <x v="13"/>
    <x v="0"/>
    <x v="2"/>
    <x v="14"/>
    <x v="5"/>
    <x v="259"/>
    <x v="0"/>
    <n v="1682.35"/>
    <n v="15.78"/>
    <x v="261"/>
    <x v="1"/>
    <n v="2023"/>
    <x v="5"/>
    <n v="1682.35"/>
    <n v="0.39062026332213901"/>
    <x v="2"/>
    <x v="0"/>
  </r>
  <r>
    <x v="264"/>
    <x v="133"/>
    <x v="257"/>
    <x v="1"/>
    <x v="10"/>
    <x v="3"/>
    <x v="2"/>
    <x v="5"/>
    <x v="2"/>
    <x v="260"/>
    <x v="0"/>
    <n v="245.08"/>
    <n v="11.78"/>
    <x v="262"/>
    <x v="1"/>
    <n v="2023"/>
    <x v="5"/>
    <n v="245.08"/>
    <n v="0.35192590174636801"/>
    <x v="0"/>
    <x v="0"/>
  </r>
  <r>
    <x v="265"/>
    <x v="133"/>
    <x v="258"/>
    <x v="2"/>
    <x v="0"/>
    <x v="0"/>
    <x v="0"/>
    <x v="22"/>
    <x v="5"/>
    <x v="261"/>
    <x v="2"/>
    <n v="374.13"/>
    <n v="16.63"/>
    <x v="263"/>
    <x v="1"/>
    <n v="2023"/>
    <x v="5"/>
    <n v="318.01049999999998"/>
    <n v="0.36294399084307"/>
    <x v="0"/>
    <x v="0"/>
  </r>
  <r>
    <x v="266"/>
    <x v="133"/>
    <x v="259"/>
    <x v="1"/>
    <x v="8"/>
    <x v="1"/>
    <x v="2"/>
    <x v="34"/>
    <x v="1"/>
    <x v="99"/>
    <x v="0"/>
    <n v="98.64"/>
    <n v="16.03"/>
    <x v="264"/>
    <x v="0"/>
    <n v="2023"/>
    <x v="5"/>
    <n v="98.64"/>
    <n v="0.237530413625304"/>
    <x v="1"/>
    <x v="0"/>
  </r>
  <r>
    <x v="267"/>
    <x v="133"/>
    <x v="260"/>
    <x v="1"/>
    <x v="3"/>
    <x v="1"/>
    <x v="0"/>
    <x v="3"/>
    <x v="0"/>
    <x v="262"/>
    <x v="3"/>
    <n v="163.57"/>
    <n v="9.75"/>
    <x v="265"/>
    <x v="1"/>
    <n v="2023"/>
    <x v="5"/>
    <n v="147.21299999999999"/>
    <n v="0.36586442773396399"/>
    <x v="0"/>
    <x v="0"/>
  </r>
  <r>
    <x v="268"/>
    <x v="134"/>
    <x v="261"/>
    <x v="0"/>
    <x v="8"/>
    <x v="1"/>
    <x v="0"/>
    <x v="1"/>
    <x v="0"/>
    <x v="263"/>
    <x v="2"/>
    <n v="404.3"/>
    <n v="11.67"/>
    <x v="266"/>
    <x v="1"/>
    <n v="2023"/>
    <x v="5"/>
    <n v="343.65499999999997"/>
    <n v="0.38125445577686901"/>
    <x v="0"/>
    <x v="0"/>
  </r>
  <r>
    <x v="269"/>
    <x v="134"/>
    <x v="262"/>
    <x v="0"/>
    <x v="0"/>
    <x v="0"/>
    <x v="2"/>
    <x v="21"/>
    <x v="4"/>
    <x v="264"/>
    <x v="2"/>
    <n v="221.75"/>
    <n v="13.94"/>
    <x v="267"/>
    <x v="3"/>
    <n v="2023"/>
    <x v="5"/>
    <n v="188.48750000000001"/>
    <n v="0.27206048146428802"/>
    <x v="0"/>
    <x v="0"/>
  </r>
  <r>
    <x v="270"/>
    <x v="134"/>
    <x v="263"/>
    <x v="1"/>
    <x v="9"/>
    <x v="3"/>
    <x v="0"/>
    <x v="7"/>
    <x v="12"/>
    <x v="265"/>
    <x v="0"/>
    <n v="496.8"/>
    <n v="38.18"/>
    <x v="268"/>
    <x v="1"/>
    <n v="2023"/>
    <x v="5"/>
    <n v="496.8"/>
    <n v="0.37314814814814801"/>
    <x v="0"/>
    <x v="0"/>
  </r>
  <r>
    <x v="271"/>
    <x v="135"/>
    <x v="264"/>
    <x v="1"/>
    <x v="2"/>
    <x v="0"/>
    <x v="0"/>
    <x v="18"/>
    <x v="3"/>
    <x v="266"/>
    <x v="2"/>
    <n v="25.63"/>
    <n v="6.6"/>
    <x v="269"/>
    <x v="1"/>
    <n v="2023"/>
    <x v="5"/>
    <n v="21.785499999999999"/>
    <n v="0.112460122558583"/>
    <x v="1"/>
    <x v="0"/>
  </r>
  <r>
    <x v="272"/>
    <x v="135"/>
    <x v="265"/>
    <x v="0"/>
    <x v="2"/>
    <x v="0"/>
    <x v="1"/>
    <x v="12"/>
    <x v="0"/>
    <x v="267"/>
    <x v="3"/>
    <n v="50.84"/>
    <n v="10.96"/>
    <x v="270"/>
    <x v="1"/>
    <n v="2023"/>
    <x v="5"/>
    <n v="45.756"/>
    <n v="0.316024127983215"/>
    <x v="1"/>
    <x v="0"/>
  </r>
  <r>
    <x v="273"/>
    <x v="136"/>
    <x v="266"/>
    <x v="1"/>
    <x v="17"/>
    <x v="3"/>
    <x v="3"/>
    <x v="33"/>
    <x v="5"/>
    <x v="268"/>
    <x v="0"/>
    <n v="86.2"/>
    <n v="16.2"/>
    <x v="271"/>
    <x v="1"/>
    <n v="2023"/>
    <x v="5"/>
    <n v="86.2"/>
    <n v="0.31206496519721599"/>
    <x v="1"/>
    <x v="0"/>
  </r>
  <r>
    <x v="274"/>
    <x v="136"/>
    <x v="267"/>
    <x v="2"/>
    <x v="3"/>
    <x v="1"/>
    <x v="1"/>
    <x v="10"/>
    <x v="3"/>
    <x v="269"/>
    <x v="2"/>
    <n v="5.68"/>
    <n v="8.2200000000000006"/>
    <x v="272"/>
    <x v="1"/>
    <n v="2023"/>
    <x v="5"/>
    <n v="4.8280000000000003"/>
    <n v="-1.14954432477216"/>
    <x v="1"/>
    <x v="1"/>
  </r>
  <r>
    <x v="275"/>
    <x v="137"/>
    <x v="268"/>
    <x v="0"/>
    <x v="15"/>
    <x v="2"/>
    <x v="2"/>
    <x v="21"/>
    <x v="10"/>
    <x v="270"/>
    <x v="4"/>
    <n v="287.70999999999998"/>
    <n v="16.739999999999998"/>
    <x v="273"/>
    <x v="0"/>
    <n v="2023"/>
    <x v="5"/>
    <n v="273.3245"/>
    <n v="0.326571529445769"/>
    <x v="0"/>
    <x v="0"/>
  </r>
  <r>
    <x v="276"/>
    <x v="137"/>
    <x v="269"/>
    <x v="1"/>
    <x v="3"/>
    <x v="1"/>
    <x v="0"/>
    <x v="18"/>
    <x v="0"/>
    <x v="271"/>
    <x v="4"/>
    <n v="197.88"/>
    <n v="10.72"/>
    <x v="274"/>
    <x v="2"/>
    <n v="2023"/>
    <x v="5"/>
    <n v="187.98599999999999"/>
    <n v="0.38619897226389199"/>
    <x v="0"/>
    <x v="0"/>
  </r>
  <r>
    <x v="277"/>
    <x v="138"/>
    <x v="270"/>
    <x v="1"/>
    <x v="3"/>
    <x v="1"/>
    <x v="2"/>
    <x v="14"/>
    <x v="9"/>
    <x v="272"/>
    <x v="4"/>
    <n v="3783.56"/>
    <n v="20.309999999999999"/>
    <x v="275"/>
    <x v="0"/>
    <n v="2023"/>
    <x v="5"/>
    <n v="3594.3820000000001"/>
    <n v="0.38216027122325902"/>
    <x v="2"/>
    <x v="0"/>
  </r>
  <r>
    <x v="278"/>
    <x v="139"/>
    <x v="271"/>
    <x v="0"/>
    <x v="6"/>
    <x v="2"/>
    <x v="2"/>
    <x v="4"/>
    <x v="1"/>
    <x v="273"/>
    <x v="0"/>
    <n v="456.04"/>
    <n v="13.78"/>
    <x v="276"/>
    <x v="2"/>
    <n v="2023"/>
    <x v="5"/>
    <n v="456.04"/>
    <n v="0.369792123497939"/>
    <x v="0"/>
    <x v="0"/>
  </r>
  <r>
    <x v="279"/>
    <x v="139"/>
    <x v="272"/>
    <x v="1"/>
    <x v="18"/>
    <x v="4"/>
    <x v="3"/>
    <x v="37"/>
    <x v="3"/>
    <x v="274"/>
    <x v="1"/>
    <n v="63.27"/>
    <n v="10.51"/>
    <x v="277"/>
    <x v="1"/>
    <n v="2023"/>
    <x v="5"/>
    <n v="50.616"/>
    <n v="0.26118223486644498"/>
    <x v="1"/>
    <x v="0"/>
  </r>
  <r>
    <x v="280"/>
    <x v="139"/>
    <x v="273"/>
    <x v="2"/>
    <x v="9"/>
    <x v="3"/>
    <x v="1"/>
    <x v="20"/>
    <x v="2"/>
    <x v="275"/>
    <x v="2"/>
    <n v="20.62"/>
    <n v="12.26"/>
    <x v="278"/>
    <x v="0"/>
    <n v="2023"/>
    <x v="5"/>
    <n v="17.527000000000001"/>
    <n v="-0.14606036400981301"/>
    <x v="1"/>
    <x v="1"/>
  </r>
  <r>
    <x v="281"/>
    <x v="140"/>
    <x v="274"/>
    <x v="0"/>
    <x v="11"/>
    <x v="2"/>
    <x v="2"/>
    <x v="32"/>
    <x v="1"/>
    <x v="276"/>
    <x v="2"/>
    <n v="143.72"/>
    <n v="16.600000000000001"/>
    <x v="279"/>
    <x v="3"/>
    <n v="2023"/>
    <x v="5"/>
    <n v="122.16200000000001"/>
    <n v="0.210130809908155"/>
    <x v="0"/>
    <x v="0"/>
  </r>
  <r>
    <x v="282"/>
    <x v="141"/>
    <x v="275"/>
    <x v="2"/>
    <x v="14"/>
    <x v="1"/>
    <x v="0"/>
    <x v="29"/>
    <x v="0"/>
    <x v="277"/>
    <x v="2"/>
    <n v="123.73"/>
    <n v="13.06"/>
    <x v="280"/>
    <x v="1"/>
    <n v="2023"/>
    <x v="5"/>
    <n v="105.1705"/>
    <n v="0.29105119781687799"/>
    <x v="0"/>
    <x v="0"/>
  </r>
  <r>
    <x v="283"/>
    <x v="142"/>
    <x v="276"/>
    <x v="0"/>
    <x v="2"/>
    <x v="0"/>
    <x v="3"/>
    <x v="30"/>
    <x v="1"/>
    <x v="278"/>
    <x v="3"/>
    <n v="99.36"/>
    <n v="13.33"/>
    <x v="281"/>
    <x v="2"/>
    <n v="2023"/>
    <x v="5"/>
    <n v="89.424000000000007"/>
    <n v="0.34476203256396498"/>
    <x v="1"/>
    <x v="0"/>
  </r>
  <r>
    <x v="284"/>
    <x v="143"/>
    <x v="140"/>
    <x v="1"/>
    <x v="13"/>
    <x v="0"/>
    <x v="1"/>
    <x v="12"/>
    <x v="11"/>
    <x v="279"/>
    <x v="3"/>
    <n v="231.56"/>
    <n v="14.23"/>
    <x v="282"/>
    <x v="1"/>
    <n v="2023"/>
    <x v="5"/>
    <n v="208.404"/>
    <n v="0.48727471641619202"/>
    <x v="0"/>
    <x v="0"/>
  </r>
  <r>
    <x v="285"/>
    <x v="143"/>
    <x v="44"/>
    <x v="0"/>
    <x v="11"/>
    <x v="2"/>
    <x v="3"/>
    <x v="30"/>
    <x v="9"/>
    <x v="280"/>
    <x v="4"/>
    <n v="138.41"/>
    <n v="35.54"/>
    <x v="283"/>
    <x v="2"/>
    <n v="2023"/>
    <x v="5"/>
    <n v="131.48949999999999"/>
    <n v="0.22830720323675999"/>
    <x v="0"/>
    <x v="0"/>
  </r>
  <r>
    <x v="286"/>
    <x v="143"/>
    <x v="277"/>
    <x v="0"/>
    <x v="10"/>
    <x v="3"/>
    <x v="2"/>
    <x v="36"/>
    <x v="3"/>
    <x v="281"/>
    <x v="4"/>
    <n v="237.95"/>
    <n v="10.78"/>
    <x v="284"/>
    <x v="3"/>
    <n v="2023"/>
    <x v="5"/>
    <n v="226.05250000000001"/>
    <n v="0.34014222359849999"/>
    <x v="0"/>
    <x v="0"/>
  </r>
  <r>
    <x v="287"/>
    <x v="144"/>
    <x v="278"/>
    <x v="1"/>
    <x v="17"/>
    <x v="3"/>
    <x v="0"/>
    <x v="35"/>
    <x v="6"/>
    <x v="282"/>
    <x v="2"/>
    <n v="344.98"/>
    <n v="16.8"/>
    <x v="285"/>
    <x v="2"/>
    <n v="2023"/>
    <x v="5"/>
    <n v="293.233"/>
    <n v="0.35794061377812197"/>
    <x v="0"/>
    <x v="0"/>
  </r>
  <r>
    <x v="288"/>
    <x v="145"/>
    <x v="279"/>
    <x v="1"/>
    <x v="6"/>
    <x v="2"/>
    <x v="1"/>
    <x v="20"/>
    <x v="3"/>
    <x v="47"/>
    <x v="3"/>
    <n v="17.95"/>
    <n v="11.66"/>
    <x v="286"/>
    <x v="1"/>
    <n v="2023"/>
    <x v="5"/>
    <n v="16.155000000000001"/>
    <n v="-0.165892912411018"/>
    <x v="1"/>
    <x v="1"/>
  </r>
  <r>
    <x v="289"/>
    <x v="146"/>
    <x v="280"/>
    <x v="0"/>
    <x v="14"/>
    <x v="1"/>
    <x v="3"/>
    <x v="33"/>
    <x v="0"/>
    <x v="283"/>
    <x v="3"/>
    <n v="121.77"/>
    <n v="14.28"/>
    <x v="287"/>
    <x v="1"/>
    <n v="2023"/>
    <x v="5"/>
    <n v="109.593"/>
    <n v="0.363526867591908"/>
    <x v="0"/>
    <x v="0"/>
  </r>
  <r>
    <x v="290"/>
    <x v="146"/>
    <x v="281"/>
    <x v="0"/>
    <x v="3"/>
    <x v="1"/>
    <x v="1"/>
    <x v="20"/>
    <x v="2"/>
    <x v="284"/>
    <x v="3"/>
    <n v="19.190000000000001"/>
    <n v="11.01"/>
    <x v="100"/>
    <x v="0"/>
    <n v="2023"/>
    <x v="5"/>
    <n v="17.271000000000001"/>
    <n v="-8.1639742921660596E-2"/>
    <x v="1"/>
    <x v="1"/>
  </r>
  <r>
    <x v="291"/>
    <x v="146"/>
    <x v="282"/>
    <x v="1"/>
    <x v="11"/>
    <x v="2"/>
    <x v="3"/>
    <x v="26"/>
    <x v="3"/>
    <x v="285"/>
    <x v="0"/>
    <n v="26.53"/>
    <n v="13.43"/>
    <x v="288"/>
    <x v="0"/>
    <n v="2023"/>
    <x v="5"/>
    <n v="26.53"/>
    <n v="-6.0309084055785904E-3"/>
    <x v="1"/>
    <x v="1"/>
  </r>
  <r>
    <x v="292"/>
    <x v="146"/>
    <x v="283"/>
    <x v="1"/>
    <x v="6"/>
    <x v="2"/>
    <x v="2"/>
    <x v="21"/>
    <x v="5"/>
    <x v="286"/>
    <x v="0"/>
    <n v="473.15"/>
    <n v="18.91"/>
    <x v="289"/>
    <x v="1"/>
    <n v="2023"/>
    <x v="5"/>
    <n v="473.15"/>
    <n v="0.36003381591461497"/>
    <x v="0"/>
    <x v="0"/>
  </r>
  <r>
    <x v="293"/>
    <x v="147"/>
    <x v="284"/>
    <x v="1"/>
    <x v="3"/>
    <x v="1"/>
    <x v="3"/>
    <x v="37"/>
    <x v="2"/>
    <x v="287"/>
    <x v="3"/>
    <n v="54.11"/>
    <n v="11.77"/>
    <x v="290"/>
    <x v="0"/>
    <n v="2023"/>
    <x v="5"/>
    <n v="48.698999999999998"/>
    <n v="0.25216123534364199"/>
    <x v="1"/>
    <x v="0"/>
  </r>
  <r>
    <x v="294"/>
    <x v="147"/>
    <x v="94"/>
    <x v="0"/>
    <x v="13"/>
    <x v="0"/>
    <x v="3"/>
    <x v="33"/>
    <x v="0"/>
    <x v="288"/>
    <x v="0"/>
    <n v="120.54"/>
    <n v="12.31"/>
    <x v="291"/>
    <x v="0"/>
    <n v="2023"/>
    <x v="5"/>
    <n v="120.54"/>
    <n v="0.39787622366019598"/>
    <x v="0"/>
    <x v="0"/>
  </r>
  <r>
    <x v="295"/>
    <x v="148"/>
    <x v="285"/>
    <x v="1"/>
    <x v="13"/>
    <x v="0"/>
    <x v="0"/>
    <x v="3"/>
    <x v="10"/>
    <x v="289"/>
    <x v="3"/>
    <n v="602.88"/>
    <n v="11.59"/>
    <x v="292"/>
    <x v="1"/>
    <n v="2023"/>
    <x v="5"/>
    <n v="542.59199999999998"/>
    <n v="0.41073218919556498"/>
    <x v="2"/>
    <x v="0"/>
  </r>
  <r>
    <x v="296"/>
    <x v="148"/>
    <x v="286"/>
    <x v="1"/>
    <x v="9"/>
    <x v="3"/>
    <x v="3"/>
    <x v="27"/>
    <x v="3"/>
    <x v="290"/>
    <x v="1"/>
    <n v="19.579999999999998"/>
    <n v="9.7100000000000009"/>
    <x v="293"/>
    <x v="3"/>
    <n v="2023"/>
    <x v="5"/>
    <n v="15.664"/>
    <n v="-0.15130234933605699"/>
    <x v="1"/>
    <x v="1"/>
  </r>
  <r>
    <x v="297"/>
    <x v="149"/>
    <x v="287"/>
    <x v="0"/>
    <x v="1"/>
    <x v="1"/>
    <x v="0"/>
    <x v="7"/>
    <x v="0"/>
    <x v="291"/>
    <x v="3"/>
    <n v="169.07"/>
    <n v="12.18"/>
    <x v="294"/>
    <x v="0"/>
    <n v="2023"/>
    <x v="6"/>
    <n v="152.16300000000001"/>
    <n v="0.35205667606448299"/>
    <x v="0"/>
    <x v="0"/>
  </r>
  <r>
    <x v="298"/>
    <x v="149"/>
    <x v="288"/>
    <x v="2"/>
    <x v="10"/>
    <x v="3"/>
    <x v="0"/>
    <x v="22"/>
    <x v="0"/>
    <x v="292"/>
    <x v="3"/>
    <n v="262.74"/>
    <n v="15.03"/>
    <x v="295"/>
    <x v="1"/>
    <n v="2023"/>
    <x v="6"/>
    <n v="236.46600000000001"/>
    <n v="0.36855192712694401"/>
    <x v="0"/>
    <x v="0"/>
  </r>
  <r>
    <x v="299"/>
    <x v="149"/>
    <x v="289"/>
    <x v="1"/>
    <x v="10"/>
    <x v="3"/>
    <x v="1"/>
    <x v="23"/>
    <x v="5"/>
    <x v="293"/>
    <x v="3"/>
    <n v="84.55"/>
    <n v="15.23"/>
    <x v="296"/>
    <x v="2"/>
    <n v="2023"/>
    <x v="6"/>
    <n v="76.094999999999999"/>
    <n v="0.35534529206912402"/>
    <x v="1"/>
    <x v="0"/>
  </r>
  <r>
    <x v="300"/>
    <x v="149"/>
    <x v="290"/>
    <x v="1"/>
    <x v="11"/>
    <x v="2"/>
    <x v="2"/>
    <x v="14"/>
    <x v="3"/>
    <x v="294"/>
    <x v="1"/>
    <n v="154.06"/>
    <n v="12.06"/>
    <x v="297"/>
    <x v="2"/>
    <n v="2023"/>
    <x v="6"/>
    <n v="123.248"/>
    <n v="0.21460794495651001"/>
    <x v="0"/>
    <x v="0"/>
  </r>
  <r>
    <x v="301"/>
    <x v="149"/>
    <x v="291"/>
    <x v="0"/>
    <x v="2"/>
    <x v="0"/>
    <x v="3"/>
    <x v="27"/>
    <x v="0"/>
    <x v="295"/>
    <x v="2"/>
    <n v="123.9"/>
    <n v="9.9"/>
    <x v="298"/>
    <x v="1"/>
    <n v="2023"/>
    <x v="6"/>
    <n v="105.315"/>
    <n v="0.39044770450553101"/>
    <x v="0"/>
    <x v="0"/>
  </r>
  <r>
    <x v="302"/>
    <x v="150"/>
    <x v="95"/>
    <x v="1"/>
    <x v="17"/>
    <x v="3"/>
    <x v="0"/>
    <x v="18"/>
    <x v="2"/>
    <x v="296"/>
    <x v="4"/>
    <n v="87.74"/>
    <n v="12.38"/>
    <x v="299"/>
    <x v="1"/>
    <n v="2023"/>
    <x v="6"/>
    <n v="83.352999999999994"/>
    <n v="0.29465046249085203"/>
    <x v="1"/>
    <x v="0"/>
  </r>
  <r>
    <x v="303"/>
    <x v="150"/>
    <x v="173"/>
    <x v="0"/>
    <x v="6"/>
    <x v="2"/>
    <x v="2"/>
    <x v="4"/>
    <x v="6"/>
    <x v="297"/>
    <x v="1"/>
    <n v="1734.21"/>
    <n v="19.940000000000001"/>
    <x v="300"/>
    <x v="1"/>
    <n v="2023"/>
    <x v="6"/>
    <n v="1387.3679999999999"/>
    <n v="0.29812565952220299"/>
    <x v="2"/>
    <x v="0"/>
  </r>
  <r>
    <x v="304"/>
    <x v="151"/>
    <x v="292"/>
    <x v="2"/>
    <x v="15"/>
    <x v="2"/>
    <x v="2"/>
    <x v="34"/>
    <x v="3"/>
    <x v="298"/>
    <x v="0"/>
    <n v="24.14"/>
    <n v="13.18"/>
    <x v="301"/>
    <x v="1"/>
    <n v="2023"/>
    <x v="6"/>
    <n v="24.14"/>
    <n v="-0.145816072908036"/>
    <x v="1"/>
    <x v="1"/>
  </r>
  <r>
    <x v="305"/>
    <x v="152"/>
    <x v="293"/>
    <x v="2"/>
    <x v="2"/>
    <x v="0"/>
    <x v="1"/>
    <x v="17"/>
    <x v="1"/>
    <x v="299"/>
    <x v="2"/>
    <n v="54.23"/>
    <n v="8.6199999999999992"/>
    <x v="302"/>
    <x v="0"/>
    <n v="2023"/>
    <x v="6"/>
    <n v="46.095500000000001"/>
    <n v="0.366630148279116"/>
    <x v="1"/>
    <x v="0"/>
  </r>
  <r>
    <x v="306"/>
    <x v="153"/>
    <x v="294"/>
    <x v="2"/>
    <x v="13"/>
    <x v="0"/>
    <x v="1"/>
    <x v="25"/>
    <x v="3"/>
    <x v="300"/>
    <x v="3"/>
    <n v="6.29"/>
    <n v="6.69"/>
    <x v="303"/>
    <x v="1"/>
    <n v="2023"/>
    <x v="6"/>
    <n v="5.6609999999999996"/>
    <n v="-0.62709768592121495"/>
    <x v="1"/>
    <x v="1"/>
  </r>
  <r>
    <x v="307"/>
    <x v="153"/>
    <x v="295"/>
    <x v="0"/>
    <x v="0"/>
    <x v="0"/>
    <x v="1"/>
    <x v="23"/>
    <x v="2"/>
    <x v="301"/>
    <x v="3"/>
    <n v="35.5"/>
    <n v="6.38"/>
    <x v="304"/>
    <x v="3"/>
    <n v="2023"/>
    <x v="6"/>
    <n v="31.95"/>
    <n v="0.35586854460093897"/>
    <x v="1"/>
    <x v="0"/>
  </r>
  <r>
    <x v="308"/>
    <x v="153"/>
    <x v="296"/>
    <x v="2"/>
    <x v="9"/>
    <x v="3"/>
    <x v="2"/>
    <x v="5"/>
    <x v="1"/>
    <x v="302"/>
    <x v="0"/>
    <n v="776.28"/>
    <n v="11.42"/>
    <x v="305"/>
    <x v="1"/>
    <n v="2023"/>
    <x v="6"/>
    <n v="776.28"/>
    <n v="0.385286236924821"/>
    <x v="2"/>
    <x v="0"/>
  </r>
  <r>
    <x v="309"/>
    <x v="153"/>
    <x v="297"/>
    <x v="0"/>
    <x v="2"/>
    <x v="0"/>
    <x v="0"/>
    <x v="18"/>
    <x v="2"/>
    <x v="303"/>
    <x v="2"/>
    <n v="88.43"/>
    <n v="7.14"/>
    <x v="306"/>
    <x v="2"/>
    <n v="2023"/>
    <x v="6"/>
    <n v="75.165499999999994"/>
    <n v="0.32022669974922002"/>
    <x v="1"/>
    <x v="0"/>
  </r>
  <r>
    <x v="310"/>
    <x v="154"/>
    <x v="284"/>
    <x v="2"/>
    <x v="12"/>
    <x v="4"/>
    <x v="1"/>
    <x v="23"/>
    <x v="3"/>
    <x v="304"/>
    <x v="4"/>
    <n v="18.64"/>
    <n v="12.48"/>
    <x v="307"/>
    <x v="3"/>
    <n v="2023"/>
    <x v="6"/>
    <n v="17.707999999999998"/>
    <n v="-0.150779308786989"/>
    <x v="1"/>
    <x v="1"/>
  </r>
  <r>
    <x v="311"/>
    <x v="154"/>
    <x v="298"/>
    <x v="1"/>
    <x v="3"/>
    <x v="1"/>
    <x v="3"/>
    <x v="26"/>
    <x v="6"/>
    <x v="305"/>
    <x v="1"/>
    <n v="240.97"/>
    <n v="16.309999999999999"/>
    <x v="308"/>
    <x v="1"/>
    <n v="2023"/>
    <x v="6"/>
    <n v="192.77600000000001"/>
    <n v="0.38412457982321402"/>
    <x v="0"/>
    <x v="0"/>
  </r>
  <r>
    <x v="312"/>
    <x v="155"/>
    <x v="299"/>
    <x v="2"/>
    <x v="1"/>
    <x v="1"/>
    <x v="0"/>
    <x v="7"/>
    <x v="5"/>
    <x v="306"/>
    <x v="0"/>
    <n v="250.05"/>
    <n v="19.34"/>
    <x v="309"/>
    <x v="1"/>
    <n v="2023"/>
    <x v="6"/>
    <n v="250.05"/>
    <n v="0.37264547090581901"/>
    <x v="0"/>
    <x v="0"/>
  </r>
  <r>
    <x v="313"/>
    <x v="156"/>
    <x v="89"/>
    <x v="1"/>
    <x v="9"/>
    <x v="3"/>
    <x v="2"/>
    <x v="34"/>
    <x v="0"/>
    <x v="307"/>
    <x v="2"/>
    <n v="135.51"/>
    <n v="14.88"/>
    <x v="310"/>
    <x v="2"/>
    <n v="2023"/>
    <x v="6"/>
    <n v="115.1835"/>
    <n v="0.21687134007909101"/>
    <x v="0"/>
    <x v="0"/>
  </r>
  <r>
    <x v="314"/>
    <x v="156"/>
    <x v="300"/>
    <x v="1"/>
    <x v="18"/>
    <x v="4"/>
    <x v="1"/>
    <x v="10"/>
    <x v="2"/>
    <x v="308"/>
    <x v="0"/>
    <n v="6.62"/>
    <n v="14.92"/>
    <x v="311"/>
    <x v="1"/>
    <n v="2023"/>
    <x v="6"/>
    <n v="6.62"/>
    <n v="-1.7039274924471299"/>
    <x v="1"/>
    <x v="1"/>
  </r>
  <r>
    <x v="315"/>
    <x v="157"/>
    <x v="301"/>
    <x v="0"/>
    <x v="8"/>
    <x v="1"/>
    <x v="1"/>
    <x v="17"/>
    <x v="2"/>
    <x v="309"/>
    <x v="0"/>
    <n v="23.8"/>
    <n v="9.7100000000000009"/>
    <x v="312"/>
    <x v="2"/>
    <n v="2023"/>
    <x v="6"/>
    <n v="23.8"/>
    <n v="0.14201680672268899"/>
    <x v="1"/>
    <x v="0"/>
  </r>
  <r>
    <x v="316"/>
    <x v="157"/>
    <x v="302"/>
    <x v="1"/>
    <x v="0"/>
    <x v="0"/>
    <x v="3"/>
    <x v="30"/>
    <x v="4"/>
    <x v="310"/>
    <x v="4"/>
    <n v="121.18"/>
    <n v="9.14"/>
    <x v="313"/>
    <x v="1"/>
    <n v="2023"/>
    <x v="6"/>
    <n v="115.121"/>
    <n v="0.41921109093909897"/>
    <x v="0"/>
    <x v="0"/>
  </r>
  <r>
    <x v="317"/>
    <x v="157"/>
    <x v="303"/>
    <x v="1"/>
    <x v="13"/>
    <x v="0"/>
    <x v="3"/>
    <x v="37"/>
    <x v="3"/>
    <x v="311"/>
    <x v="3"/>
    <n v="53.24"/>
    <n v="6.6"/>
    <x v="314"/>
    <x v="1"/>
    <n v="2023"/>
    <x v="6"/>
    <n v="47.915999999999997"/>
    <n v="0.35603973620502499"/>
    <x v="1"/>
    <x v="0"/>
  </r>
  <r>
    <x v="318"/>
    <x v="158"/>
    <x v="304"/>
    <x v="1"/>
    <x v="16"/>
    <x v="3"/>
    <x v="1"/>
    <x v="2"/>
    <x v="3"/>
    <x v="312"/>
    <x v="4"/>
    <n v="10.06"/>
    <n v="11.4"/>
    <x v="315"/>
    <x v="1"/>
    <n v="2023"/>
    <x v="6"/>
    <n v="9.5570000000000004"/>
    <n v="-0.63932196295908805"/>
    <x v="1"/>
    <x v="1"/>
  </r>
  <r>
    <x v="319"/>
    <x v="158"/>
    <x v="305"/>
    <x v="0"/>
    <x v="2"/>
    <x v="0"/>
    <x v="0"/>
    <x v="3"/>
    <x v="4"/>
    <x v="313"/>
    <x v="0"/>
    <n v="377.58"/>
    <n v="13.89"/>
    <x v="316"/>
    <x v="3"/>
    <n v="2023"/>
    <x v="6"/>
    <n v="377.58"/>
    <n v="0.41321044546850999"/>
    <x v="0"/>
    <x v="0"/>
  </r>
  <r>
    <x v="320"/>
    <x v="159"/>
    <x v="306"/>
    <x v="1"/>
    <x v="2"/>
    <x v="0"/>
    <x v="3"/>
    <x v="16"/>
    <x v="1"/>
    <x v="314"/>
    <x v="0"/>
    <n v="218.48"/>
    <n v="11.36"/>
    <x v="317"/>
    <x v="1"/>
    <n v="2023"/>
    <x v="6"/>
    <n v="218.48"/>
    <n v="0.44800439399487402"/>
    <x v="0"/>
    <x v="0"/>
  </r>
  <r>
    <x v="321"/>
    <x v="160"/>
    <x v="307"/>
    <x v="0"/>
    <x v="6"/>
    <x v="2"/>
    <x v="0"/>
    <x v="18"/>
    <x v="2"/>
    <x v="315"/>
    <x v="1"/>
    <n v="68.34"/>
    <n v="12.22"/>
    <x v="318"/>
    <x v="2"/>
    <n v="2023"/>
    <x v="6"/>
    <n v="54.671999999999997"/>
    <n v="0.16717881182323699"/>
    <x v="1"/>
    <x v="0"/>
  </r>
  <r>
    <x v="322"/>
    <x v="160"/>
    <x v="308"/>
    <x v="0"/>
    <x v="3"/>
    <x v="1"/>
    <x v="2"/>
    <x v="8"/>
    <x v="2"/>
    <x v="316"/>
    <x v="3"/>
    <n v="203.67"/>
    <n v="11.07"/>
    <x v="319"/>
    <x v="1"/>
    <n v="2023"/>
    <x v="6"/>
    <n v="183.303"/>
    <n v="0.30997856008903302"/>
    <x v="0"/>
    <x v="0"/>
  </r>
  <r>
    <x v="323"/>
    <x v="160"/>
    <x v="309"/>
    <x v="0"/>
    <x v="18"/>
    <x v="4"/>
    <x v="0"/>
    <x v="35"/>
    <x v="3"/>
    <x v="317"/>
    <x v="2"/>
    <n v="52.27"/>
    <n v="10.75"/>
    <x v="320"/>
    <x v="1"/>
    <n v="2023"/>
    <x v="6"/>
    <n v="44.429499999999997"/>
    <n v="0.173308274907438"/>
    <x v="1"/>
    <x v="0"/>
  </r>
  <r>
    <x v="324"/>
    <x v="161"/>
    <x v="310"/>
    <x v="1"/>
    <x v="9"/>
    <x v="3"/>
    <x v="1"/>
    <x v="10"/>
    <x v="5"/>
    <x v="318"/>
    <x v="4"/>
    <n v="16.48"/>
    <n v="13.6"/>
    <x v="321"/>
    <x v="3"/>
    <n v="2023"/>
    <x v="6"/>
    <n v="15.656000000000001"/>
    <n v="-0.31489524782830902"/>
    <x v="1"/>
    <x v="1"/>
  </r>
  <r>
    <x v="325"/>
    <x v="161"/>
    <x v="311"/>
    <x v="1"/>
    <x v="10"/>
    <x v="3"/>
    <x v="2"/>
    <x v="15"/>
    <x v="5"/>
    <x v="319"/>
    <x v="4"/>
    <n v="1873.54"/>
    <n v="12.1"/>
    <x v="322"/>
    <x v="3"/>
    <n v="2023"/>
    <x v="6"/>
    <n v="1779.8630000000001"/>
    <n v="0.38101247118457998"/>
    <x v="2"/>
    <x v="0"/>
  </r>
  <r>
    <x v="326"/>
    <x v="162"/>
    <x v="312"/>
    <x v="2"/>
    <x v="1"/>
    <x v="1"/>
    <x v="2"/>
    <x v="39"/>
    <x v="1"/>
    <x v="320"/>
    <x v="3"/>
    <n v="582.95000000000005"/>
    <n v="10.19"/>
    <x v="323"/>
    <x v="3"/>
    <n v="2023"/>
    <x v="6"/>
    <n v="524.65499999999997"/>
    <n v="0.35095443672508603"/>
    <x v="2"/>
    <x v="0"/>
  </r>
  <r>
    <x v="327"/>
    <x v="162"/>
    <x v="313"/>
    <x v="1"/>
    <x v="16"/>
    <x v="3"/>
    <x v="2"/>
    <x v="15"/>
    <x v="6"/>
    <x v="321"/>
    <x v="0"/>
    <n v="1637.23"/>
    <n v="21.29"/>
    <x v="324"/>
    <x v="1"/>
    <n v="2023"/>
    <x v="6"/>
    <n v="1637.23"/>
    <n v="0.38699510759025901"/>
    <x v="2"/>
    <x v="0"/>
  </r>
  <r>
    <x v="328"/>
    <x v="163"/>
    <x v="314"/>
    <x v="1"/>
    <x v="14"/>
    <x v="1"/>
    <x v="3"/>
    <x v="37"/>
    <x v="6"/>
    <x v="322"/>
    <x v="3"/>
    <n v="193.41"/>
    <n v="10.64"/>
    <x v="325"/>
    <x v="1"/>
    <n v="2023"/>
    <x v="6"/>
    <n v="174.06899999999999"/>
    <n v="0.43270197450436299"/>
    <x v="0"/>
    <x v="0"/>
  </r>
  <r>
    <x v="329"/>
    <x v="163"/>
    <x v="315"/>
    <x v="2"/>
    <x v="8"/>
    <x v="1"/>
    <x v="3"/>
    <x v="33"/>
    <x v="5"/>
    <x v="323"/>
    <x v="0"/>
    <n v="108.6"/>
    <n v="10.039999999999999"/>
    <x v="326"/>
    <x v="2"/>
    <n v="2023"/>
    <x v="6"/>
    <n v="108.6"/>
    <n v="0.40755064456721901"/>
    <x v="0"/>
    <x v="0"/>
  </r>
  <r>
    <x v="330"/>
    <x v="164"/>
    <x v="316"/>
    <x v="1"/>
    <x v="13"/>
    <x v="0"/>
    <x v="1"/>
    <x v="17"/>
    <x v="0"/>
    <x v="324"/>
    <x v="3"/>
    <n v="51.27"/>
    <n v="9.8699999999999992"/>
    <x v="327"/>
    <x v="1"/>
    <n v="2023"/>
    <x v="6"/>
    <n v="46.143000000000001"/>
    <n v="0.341546930195263"/>
    <x v="1"/>
    <x v="0"/>
  </r>
  <r>
    <x v="331"/>
    <x v="165"/>
    <x v="317"/>
    <x v="1"/>
    <x v="17"/>
    <x v="3"/>
    <x v="0"/>
    <x v="0"/>
    <x v="3"/>
    <x v="325"/>
    <x v="3"/>
    <n v="171.31"/>
    <n v="10.96"/>
    <x v="328"/>
    <x v="2"/>
    <n v="2023"/>
    <x v="6"/>
    <n v="154.179"/>
    <n v="0.36100895712126801"/>
    <x v="0"/>
    <x v="0"/>
  </r>
  <r>
    <x v="332"/>
    <x v="166"/>
    <x v="318"/>
    <x v="0"/>
    <x v="17"/>
    <x v="3"/>
    <x v="2"/>
    <x v="32"/>
    <x v="0"/>
    <x v="326"/>
    <x v="6"/>
    <n v="146"/>
    <n v="16.18"/>
    <x v="329"/>
    <x v="0"/>
    <n v="2023"/>
    <x v="6"/>
    <n v="109.5"/>
    <n v="0.118904109589041"/>
    <x v="0"/>
    <x v="0"/>
  </r>
  <r>
    <x v="333"/>
    <x v="166"/>
    <x v="319"/>
    <x v="0"/>
    <x v="1"/>
    <x v="1"/>
    <x v="3"/>
    <x v="33"/>
    <x v="2"/>
    <x v="117"/>
    <x v="3"/>
    <n v="49.18"/>
    <n v="10.74"/>
    <x v="330"/>
    <x v="2"/>
    <n v="2023"/>
    <x v="6"/>
    <n v="44.262"/>
    <n v="0.25123130450499298"/>
    <x v="1"/>
    <x v="0"/>
  </r>
  <r>
    <x v="334"/>
    <x v="166"/>
    <x v="320"/>
    <x v="1"/>
    <x v="5"/>
    <x v="3"/>
    <x v="0"/>
    <x v="1"/>
    <x v="9"/>
    <x v="327"/>
    <x v="3"/>
    <n v="1205.55"/>
    <n v="21.46"/>
    <x v="331"/>
    <x v="1"/>
    <n v="2023"/>
    <x v="6"/>
    <n v="1084.9949999999999"/>
    <n v="0.41231526412564101"/>
    <x v="2"/>
    <x v="0"/>
  </r>
  <r>
    <x v="335"/>
    <x v="166"/>
    <x v="321"/>
    <x v="0"/>
    <x v="13"/>
    <x v="0"/>
    <x v="0"/>
    <x v="18"/>
    <x v="2"/>
    <x v="328"/>
    <x v="4"/>
    <n v="107.43"/>
    <n v="7.32"/>
    <x v="332"/>
    <x v="2"/>
    <n v="2023"/>
    <x v="6"/>
    <n v="102.0585"/>
    <n v="0.37155161010596899"/>
    <x v="0"/>
    <x v="0"/>
  </r>
  <r>
    <x v="336"/>
    <x v="167"/>
    <x v="322"/>
    <x v="0"/>
    <x v="1"/>
    <x v="1"/>
    <x v="2"/>
    <x v="32"/>
    <x v="3"/>
    <x v="329"/>
    <x v="1"/>
    <n v="40.99"/>
    <n v="8.07"/>
    <x v="333"/>
    <x v="0"/>
    <n v="2023"/>
    <x v="6"/>
    <n v="32.792000000000002"/>
    <n v="6.6479629177848304E-2"/>
    <x v="1"/>
    <x v="0"/>
  </r>
  <r>
    <x v="337"/>
    <x v="167"/>
    <x v="323"/>
    <x v="1"/>
    <x v="12"/>
    <x v="4"/>
    <x v="0"/>
    <x v="1"/>
    <x v="13"/>
    <x v="330"/>
    <x v="4"/>
    <n v="1794.83"/>
    <n v="36.04"/>
    <x v="334"/>
    <x v="0"/>
    <n v="2023"/>
    <x v="6"/>
    <n v="1705.0885000000001"/>
    <n v="0.42207779830782999"/>
    <x v="2"/>
    <x v="0"/>
  </r>
  <r>
    <x v="338"/>
    <x v="168"/>
    <x v="324"/>
    <x v="0"/>
    <x v="13"/>
    <x v="0"/>
    <x v="3"/>
    <x v="33"/>
    <x v="5"/>
    <x v="331"/>
    <x v="4"/>
    <n v="131.66999999999999"/>
    <n v="15.56"/>
    <x v="335"/>
    <x v="2"/>
    <n v="2023"/>
    <x v="6"/>
    <n v="125.0865"/>
    <n v="0.37422103904098403"/>
    <x v="0"/>
    <x v="0"/>
  </r>
  <r>
    <x v="339"/>
    <x v="168"/>
    <x v="325"/>
    <x v="1"/>
    <x v="12"/>
    <x v="4"/>
    <x v="3"/>
    <x v="27"/>
    <x v="2"/>
    <x v="332"/>
    <x v="4"/>
    <n v="101.04"/>
    <n v="13.3"/>
    <x v="336"/>
    <x v="2"/>
    <n v="2023"/>
    <x v="6"/>
    <n v="95.988"/>
    <n v="0.36004500562570302"/>
    <x v="0"/>
    <x v="0"/>
  </r>
  <r>
    <x v="340"/>
    <x v="168"/>
    <x v="326"/>
    <x v="1"/>
    <x v="19"/>
    <x v="1"/>
    <x v="0"/>
    <x v="31"/>
    <x v="5"/>
    <x v="333"/>
    <x v="0"/>
    <n v="839.55"/>
    <n v="15.17"/>
    <x v="337"/>
    <x v="0"/>
    <n v="2023"/>
    <x v="6"/>
    <n v="839.55"/>
    <n v="0.43193377404562"/>
    <x v="2"/>
    <x v="0"/>
  </r>
  <r>
    <x v="341"/>
    <x v="168"/>
    <x v="327"/>
    <x v="1"/>
    <x v="5"/>
    <x v="3"/>
    <x v="1"/>
    <x v="23"/>
    <x v="3"/>
    <x v="334"/>
    <x v="4"/>
    <n v="15.61"/>
    <n v="11.32"/>
    <x v="338"/>
    <x v="3"/>
    <n v="2023"/>
    <x v="6"/>
    <n v="14.829499999999999"/>
    <n v="-0.20904278633804199"/>
    <x v="1"/>
    <x v="1"/>
  </r>
  <r>
    <x v="342"/>
    <x v="169"/>
    <x v="328"/>
    <x v="1"/>
    <x v="4"/>
    <x v="2"/>
    <x v="2"/>
    <x v="32"/>
    <x v="2"/>
    <x v="335"/>
    <x v="2"/>
    <n v="120.72"/>
    <n v="13.2"/>
    <x v="339"/>
    <x v="0"/>
    <n v="2023"/>
    <x v="6"/>
    <n v="102.61199999999999"/>
    <n v="0.217420964409621"/>
    <x v="0"/>
    <x v="0"/>
  </r>
  <r>
    <x v="343"/>
    <x v="170"/>
    <x v="329"/>
    <x v="0"/>
    <x v="7"/>
    <x v="4"/>
    <x v="3"/>
    <x v="24"/>
    <x v="3"/>
    <x v="336"/>
    <x v="0"/>
    <n v="41.08"/>
    <n v="11.71"/>
    <x v="340"/>
    <x v="0"/>
    <n v="2023"/>
    <x v="6"/>
    <n v="41.08"/>
    <n v="0.214946445959104"/>
    <x v="1"/>
    <x v="0"/>
  </r>
  <r>
    <x v="344"/>
    <x v="171"/>
    <x v="330"/>
    <x v="1"/>
    <x v="12"/>
    <x v="4"/>
    <x v="2"/>
    <x v="34"/>
    <x v="3"/>
    <x v="337"/>
    <x v="1"/>
    <n v="16.91"/>
    <n v="12.08"/>
    <x v="341"/>
    <x v="0"/>
    <n v="2023"/>
    <x v="6"/>
    <n v="13.528"/>
    <n v="-0.58027794204612604"/>
    <x v="1"/>
    <x v="1"/>
  </r>
  <r>
    <x v="345"/>
    <x v="171"/>
    <x v="331"/>
    <x v="0"/>
    <x v="0"/>
    <x v="0"/>
    <x v="0"/>
    <x v="29"/>
    <x v="3"/>
    <x v="338"/>
    <x v="0"/>
    <n v="52.78"/>
    <n v="6.2"/>
    <x v="342"/>
    <x v="1"/>
    <n v="2023"/>
    <x v="6"/>
    <n v="52.78"/>
    <n v="0.332512315270936"/>
    <x v="1"/>
    <x v="0"/>
  </r>
  <r>
    <x v="346"/>
    <x v="172"/>
    <x v="332"/>
    <x v="1"/>
    <x v="11"/>
    <x v="2"/>
    <x v="1"/>
    <x v="23"/>
    <x v="3"/>
    <x v="339"/>
    <x v="3"/>
    <n v="12.07"/>
    <n v="12.56"/>
    <x v="343"/>
    <x v="2"/>
    <n v="2023"/>
    <x v="6"/>
    <n v="10.863"/>
    <n v="-0.60020252232348303"/>
    <x v="1"/>
    <x v="1"/>
  </r>
  <r>
    <x v="347"/>
    <x v="172"/>
    <x v="333"/>
    <x v="1"/>
    <x v="11"/>
    <x v="2"/>
    <x v="2"/>
    <x v="21"/>
    <x v="1"/>
    <x v="340"/>
    <x v="0"/>
    <n v="303.60000000000002"/>
    <n v="14.96"/>
    <x v="344"/>
    <x v="2"/>
    <n v="2023"/>
    <x v="6"/>
    <n v="303.60000000000002"/>
    <n v="0.35072463768115902"/>
    <x v="0"/>
    <x v="0"/>
  </r>
  <r>
    <x v="348"/>
    <x v="173"/>
    <x v="334"/>
    <x v="0"/>
    <x v="6"/>
    <x v="2"/>
    <x v="1"/>
    <x v="10"/>
    <x v="0"/>
    <x v="341"/>
    <x v="0"/>
    <n v="26.85"/>
    <n v="18.399999999999999"/>
    <x v="345"/>
    <x v="3"/>
    <n v="2023"/>
    <x v="6"/>
    <n v="26.85"/>
    <n v="-0.13519553072625701"/>
    <x v="1"/>
    <x v="1"/>
  </r>
  <r>
    <x v="349"/>
    <x v="173"/>
    <x v="335"/>
    <x v="1"/>
    <x v="18"/>
    <x v="4"/>
    <x v="0"/>
    <x v="28"/>
    <x v="3"/>
    <x v="342"/>
    <x v="2"/>
    <n v="17.02"/>
    <n v="10.98"/>
    <x v="346"/>
    <x v="2"/>
    <n v="2023"/>
    <x v="6"/>
    <n v="14.467000000000001"/>
    <n v="-0.34354047141770899"/>
    <x v="1"/>
    <x v="1"/>
  </r>
  <r>
    <x v="350"/>
    <x v="173"/>
    <x v="336"/>
    <x v="1"/>
    <x v="0"/>
    <x v="0"/>
    <x v="1"/>
    <x v="20"/>
    <x v="3"/>
    <x v="343"/>
    <x v="3"/>
    <n v="9.68"/>
    <n v="6.28"/>
    <x v="347"/>
    <x v="2"/>
    <n v="2023"/>
    <x v="6"/>
    <n v="8.7119999999999997"/>
    <n v="-0.165289256198347"/>
    <x v="1"/>
    <x v="1"/>
  </r>
  <r>
    <x v="351"/>
    <x v="174"/>
    <x v="337"/>
    <x v="0"/>
    <x v="0"/>
    <x v="0"/>
    <x v="1"/>
    <x v="12"/>
    <x v="2"/>
    <x v="344"/>
    <x v="0"/>
    <n v="18.96"/>
    <n v="6.87"/>
    <x v="348"/>
    <x v="2"/>
    <n v="2023"/>
    <x v="6"/>
    <n v="18.96"/>
    <n v="0.18776371308016901"/>
    <x v="1"/>
    <x v="0"/>
  </r>
  <r>
    <x v="352"/>
    <x v="174"/>
    <x v="338"/>
    <x v="1"/>
    <x v="5"/>
    <x v="3"/>
    <x v="0"/>
    <x v="29"/>
    <x v="0"/>
    <x v="345"/>
    <x v="2"/>
    <n v="84.63"/>
    <n v="11.24"/>
    <x v="349"/>
    <x v="1"/>
    <n v="2023"/>
    <x v="6"/>
    <n v="71.935500000000005"/>
    <n v="0.258982004712555"/>
    <x v="1"/>
    <x v="0"/>
  </r>
  <r>
    <x v="353"/>
    <x v="175"/>
    <x v="339"/>
    <x v="0"/>
    <x v="11"/>
    <x v="2"/>
    <x v="2"/>
    <x v="32"/>
    <x v="0"/>
    <x v="346"/>
    <x v="2"/>
    <n v="187.53"/>
    <n v="13.35"/>
    <x v="350"/>
    <x v="3"/>
    <n v="2023"/>
    <x v="6"/>
    <n v="159.40049999999999"/>
    <n v="0.26229528765593602"/>
    <x v="0"/>
    <x v="0"/>
  </r>
  <r>
    <x v="354"/>
    <x v="176"/>
    <x v="340"/>
    <x v="0"/>
    <x v="16"/>
    <x v="3"/>
    <x v="0"/>
    <x v="29"/>
    <x v="3"/>
    <x v="347"/>
    <x v="4"/>
    <n v="18.91"/>
    <n v="9.86"/>
    <x v="351"/>
    <x v="1"/>
    <n v="2023"/>
    <x v="6"/>
    <n v="17.964500000000001"/>
    <n v="-0.10576414595452099"/>
    <x v="1"/>
    <x v="1"/>
  </r>
  <r>
    <x v="355"/>
    <x v="176"/>
    <x v="341"/>
    <x v="2"/>
    <x v="6"/>
    <x v="2"/>
    <x v="2"/>
    <x v="5"/>
    <x v="1"/>
    <x v="348"/>
    <x v="1"/>
    <n v="308.8"/>
    <n v="14.49"/>
    <x v="352"/>
    <x v="3"/>
    <n v="2023"/>
    <x v="6"/>
    <n v="247.04"/>
    <n v="0.253845531088083"/>
    <x v="0"/>
    <x v="0"/>
  </r>
  <r>
    <x v="356"/>
    <x v="177"/>
    <x v="342"/>
    <x v="0"/>
    <x v="19"/>
    <x v="1"/>
    <x v="0"/>
    <x v="1"/>
    <x v="9"/>
    <x v="349"/>
    <x v="5"/>
    <n v="732.06"/>
    <n v="14.85"/>
    <x v="353"/>
    <x v="1"/>
    <n v="2023"/>
    <x v="7"/>
    <n v="512.44200000000001"/>
    <n v="0.27714355966138599"/>
    <x v="2"/>
    <x v="0"/>
  </r>
  <r>
    <x v="357"/>
    <x v="177"/>
    <x v="141"/>
    <x v="0"/>
    <x v="18"/>
    <x v="4"/>
    <x v="2"/>
    <x v="8"/>
    <x v="0"/>
    <x v="350"/>
    <x v="3"/>
    <n v="225.29"/>
    <n v="15.17"/>
    <x v="354"/>
    <x v="3"/>
    <n v="2023"/>
    <x v="7"/>
    <n v="202.761"/>
    <n v="0.29556966083221098"/>
    <x v="0"/>
    <x v="0"/>
  </r>
  <r>
    <x v="358"/>
    <x v="177"/>
    <x v="343"/>
    <x v="1"/>
    <x v="13"/>
    <x v="0"/>
    <x v="3"/>
    <x v="24"/>
    <x v="9"/>
    <x v="351"/>
    <x v="4"/>
    <n v="616.26"/>
    <n v="14.5"/>
    <x v="355"/>
    <x v="3"/>
    <n v="2023"/>
    <x v="7"/>
    <n v="585.447"/>
    <n v="0.47384306350532202"/>
    <x v="2"/>
    <x v="0"/>
  </r>
  <r>
    <x v="359"/>
    <x v="177"/>
    <x v="344"/>
    <x v="1"/>
    <x v="8"/>
    <x v="1"/>
    <x v="2"/>
    <x v="36"/>
    <x v="0"/>
    <x v="352"/>
    <x v="4"/>
    <n v="520.15"/>
    <n v="8.9"/>
    <x v="356"/>
    <x v="2"/>
    <n v="2023"/>
    <x v="7"/>
    <n v="494.14249999999998"/>
    <n v="0.36979211462280598"/>
    <x v="2"/>
    <x v="0"/>
  </r>
  <r>
    <x v="360"/>
    <x v="178"/>
    <x v="345"/>
    <x v="2"/>
    <x v="9"/>
    <x v="3"/>
    <x v="1"/>
    <x v="12"/>
    <x v="5"/>
    <x v="353"/>
    <x v="4"/>
    <n v="52.2"/>
    <n v="12.66"/>
    <x v="357"/>
    <x v="0"/>
    <n v="2023"/>
    <x v="7"/>
    <n v="49.59"/>
    <n v="0.29864892115345798"/>
    <x v="1"/>
    <x v="0"/>
  </r>
  <r>
    <x v="361"/>
    <x v="179"/>
    <x v="346"/>
    <x v="0"/>
    <x v="2"/>
    <x v="0"/>
    <x v="1"/>
    <x v="6"/>
    <x v="0"/>
    <x v="354"/>
    <x v="4"/>
    <n v="30.49"/>
    <n v="11.92"/>
    <x v="358"/>
    <x v="1"/>
    <n v="2023"/>
    <x v="7"/>
    <n v="28.965499999999999"/>
    <n v="0.142583418204416"/>
    <x v="1"/>
    <x v="0"/>
  </r>
  <r>
    <x v="362"/>
    <x v="180"/>
    <x v="347"/>
    <x v="1"/>
    <x v="12"/>
    <x v="4"/>
    <x v="1"/>
    <x v="25"/>
    <x v="5"/>
    <x v="355"/>
    <x v="4"/>
    <n v="34.58"/>
    <n v="20.71"/>
    <x v="359"/>
    <x v="2"/>
    <n v="2023"/>
    <x v="7"/>
    <n v="32.850999999999999"/>
    <n v="-7.6405588870962798E-2"/>
    <x v="1"/>
    <x v="1"/>
  </r>
  <r>
    <x v="363"/>
    <x v="180"/>
    <x v="348"/>
    <x v="1"/>
    <x v="6"/>
    <x v="2"/>
    <x v="2"/>
    <x v="8"/>
    <x v="2"/>
    <x v="356"/>
    <x v="3"/>
    <n v="79.61"/>
    <n v="13.7"/>
    <x v="360"/>
    <x v="2"/>
    <n v="2023"/>
    <x v="7"/>
    <n v="71.649000000000001"/>
    <n v="0.179067398009742"/>
    <x v="1"/>
    <x v="0"/>
  </r>
  <r>
    <x v="364"/>
    <x v="180"/>
    <x v="349"/>
    <x v="0"/>
    <x v="2"/>
    <x v="0"/>
    <x v="0"/>
    <x v="0"/>
    <x v="2"/>
    <x v="357"/>
    <x v="6"/>
    <n v="226.6"/>
    <n v="7.84"/>
    <x v="361"/>
    <x v="1"/>
    <n v="2023"/>
    <x v="7"/>
    <n v="169.95"/>
    <n v="0.30938511326860801"/>
    <x v="0"/>
    <x v="0"/>
  </r>
  <r>
    <x v="365"/>
    <x v="181"/>
    <x v="350"/>
    <x v="0"/>
    <x v="5"/>
    <x v="3"/>
    <x v="0"/>
    <x v="35"/>
    <x v="3"/>
    <x v="358"/>
    <x v="3"/>
    <n v="32.130000000000003"/>
    <n v="11.04"/>
    <x v="202"/>
    <x v="2"/>
    <n v="2023"/>
    <x v="7"/>
    <n v="28.917000000000002"/>
    <n v="5.0489331535083198E-2"/>
    <x v="1"/>
    <x v="0"/>
  </r>
  <r>
    <x v="366"/>
    <x v="181"/>
    <x v="351"/>
    <x v="0"/>
    <x v="9"/>
    <x v="3"/>
    <x v="1"/>
    <x v="25"/>
    <x v="6"/>
    <x v="359"/>
    <x v="1"/>
    <n v="85.18"/>
    <n v="24.79"/>
    <x v="362"/>
    <x v="1"/>
    <n v="2023"/>
    <x v="7"/>
    <n v="68.144000000000005"/>
    <n v="0.18314158253111101"/>
    <x v="1"/>
    <x v="0"/>
  </r>
  <r>
    <x v="367"/>
    <x v="181"/>
    <x v="352"/>
    <x v="1"/>
    <x v="18"/>
    <x v="4"/>
    <x v="2"/>
    <x v="4"/>
    <x v="3"/>
    <x v="360"/>
    <x v="3"/>
    <n v="185.96"/>
    <n v="11.69"/>
    <x v="363"/>
    <x v="3"/>
    <n v="2023"/>
    <x v="7"/>
    <n v="167.364"/>
    <n v="0.30054253005425302"/>
    <x v="0"/>
    <x v="0"/>
  </r>
  <r>
    <x v="368"/>
    <x v="182"/>
    <x v="353"/>
    <x v="1"/>
    <x v="7"/>
    <x v="4"/>
    <x v="3"/>
    <x v="24"/>
    <x v="3"/>
    <x v="361"/>
    <x v="2"/>
    <n v="29.04"/>
    <n v="12.01"/>
    <x v="364"/>
    <x v="1"/>
    <n v="2023"/>
    <x v="7"/>
    <n v="24.684000000000001"/>
    <n v="-2.4307243558580501E-3"/>
    <x v="1"/>
    <x v="1"/>
  </r>
  <r>
    <x v="369"/>
    <x v="182"/>
    <x v="354"/>
    <x v="0"/>
    <x v="15"/>
    <x v="2"/>
    <x v="1"/>
    <x v="20"/>
    <x v="5"/>
    <x v="362"/>
    <x v="4"/>
    <n v="44.79"/>
    <n v="22.42"/>
    <x v="365"/>
    <x v="1"/>
    <n v="2023"/>
    <x v="7"/>
    <n v="42.5505"/>
    <n v="2.7026709439372E-2"/>
    <x v="1"/>
    <x v="0"/>
  </r>
  <r>
    <x v="370"/>
    <x v="182"/>
    <x v="355"/>
    <x v="1"/>
    <x v="17"/>
    <x v="3"/>
    <x v="0"/>
    <x v="3"/>
    <x v="0"/>
    <x v="363"/>
    <x v="0"/>
    <n v="202.05"/>
    <n v="12.44"/>
    <x v="366"/>
    <x v="2"/>
    <n v="2023"/>
    <x v="7"/>
    <n v="202.05"/>
    <n v="0.38841870824053498"/>
    <x v="0"/>
    <x v="0"/>
  </r>
  <r>
    <x v="371"/>
    <x v="183"/>
    <x v="356"/>
    <x v="0"/>
    <x v="1"/>
    <x v="1"/>
    <x v="3"/>
    <x v="24"/>
    <x v="0"/>
    <x v="364"/>
    <x v="4"/>
    <n v="215.09"/>
    <n v="10.4"/>
    <x v="367"/>
    <x v="3"/>
    <n v="2023"/>
    <x v="7"/>
    <n v="204.3355"/>
    <n v="0.44769508969317601"/>
    <x v="0"/>
    <x v="0"/>
  </r>
  <r>
    <x v="372"/>
    <x v="184"/>
    <x v="357"/>
    <x v="1"/>
    <x v="2"/>
    <x v="0"/>
    <x v="0"/>
    <x v="1"/>
    <x v="0"/>
    <x v="365"/>
    <x v="3"/>
    <n v="246.19"/>
    <n v="8.58"/>
    <x v="368"/>
    <x v="0"/>
    <n v="2023"/>
    <x v="7"/>
    <n v="221.571"/>
    <n v="0.39337277892865002"/>
    <x v="0"/>
    <x v="0"/>
  </r>
  <r>
    <x v="373"/>
    <x v="184"/>
    <x v="358"/>
    <x v="0"/>
    <x v="2"/>
    <x v="0"/>
    <x v="0"/>
    <x v="3"/>
    <x v="2"/>
    <x v="366"/>
    <x v="3"/>
    <n v="159.97999999999999"/>
    <n v="7.63"/>
    <x v="369"/>
    <x v="3"/>
    <n v="2023"/>
    <x v="7"/>
    <n v="143.982"/>
    <n v="0.37907516217304899"/>
    <x v="0"/>
    <x v="0"/>
  </r>
  <r>
    <x v="374"/>
    <x v="184"/>
    <x v="359"/>
    <x v="2"/>
    <x v="8"/>
    <x v="1"/>
    <x v="2"/>
    <x v="36"/>
    <x v="0"/>
    <x v="367"/>
    <x v="1"/>
    <n v="290.14"/>
    <n v="14.12"/>
    <x v="370"/>
    <x v="2"/>
    <n v="2023"/>
    <x v="7"/>
    <n v="232.11199999999999"/>
    <n v="0.25168883987040702"/>
    <x v="0"/>
    <x v="0"/>
  </r>
  <r>
    <x v="375"/>
    <x v="185"/>
    <x v="360"/>
    <x v="1"/>
    <x v="19"/>
    <x v="1"/>
    <x v="3"/>
    <x v="13"/>
    <x v="7"/>
    <x v="368"/>
    <x v="1"/>
    <n v="307.89999999999998"/>
    <n v="25.57"/>
    <x v="371"/>
    <x v="2"/>
    <n v="2023"/>
    <x v="7"/>
    <n v="246.32"/>
    <n v="0.364931796037675"/>
    <x v="0"/>
    <x v="0"/>
  </r>
  <r>
    <x v="376"/>
    <x v="186"/>
    <x v="361"/>
    <x v="0"/>
    <x v="10"/>
    <x v="3"/>
    <x v="2"/>
    <x v="8"/>
    <x v="5"/>
    <x v="369"/>
    <x v="3"/>
    <n v="356"/>
    <n v="16.05"/>
    <x v="372"/>
    <x v="1"/>
    <n v="2023"/>
    <x v="7"/>
    <n v="320.39999999999998"/>
    <n v="0.32028714107365802"/>
    <x v="0"/>
    <x v="0"/>
  </r>
  <r>
    <x v="377"/>
    <x v="187"/>
    <x v="362"/>
    <x v="0"/>
    <x v="18"/>
    <x v="4"/>
    <x v="1"/>
    <x v="17"/>
    <x v="2"/>
    <x v="370"/>
    <x v="2"/>
    <n v="30.02"/>
    <n v="13.05"/>
    <x v="373"/>
    <x v="1"/>
    <n v="2023"/>
    <x v="7"/>
    <n v="25.516999999999999"/>
    <n v="4.2324724693341698E-2"/>
    <x v="1"/>
    <x v="0"/>
  </r>
  <r>
    <x v="378"/>
    <x v="187"/>
    <x v="363"/>
    <x v="1"/>
    <x v="14"/>
    <x v="1"/>
    <x v="1"/>
    <x v="2"/>
    <x v="5"/>
    <x v="371"/>
    <x v="3"/>
    <n v="34.92"/>
    <n v="15.79"/>
    <x v="374"/>
    <x v="2"/>
    <n v="2023"/>
    <x v="7"/>
    <n v="31.428000000000001"/>
    <n v="5.3137329769632202E-2"/>
    <x v="1"/>
    <x v="0"/>
  </r>
  <r>
    <x v="379"/>
    <x v="187"/>
    <x v="364"/>
    <x v="1"/>
    <x v="13"/>
    <x v="0"/>
    <x v="2"/>
    <x v="5"/>
    <x v="0"/>
    <x v="372"/>
    <x v="3"/>
    <n v="262.60000000000002"/>
    <n v="10.56"/>
    <x v="375"/>
    <x v="0"/>
    <n v="2023"/>
    <x v="7"/>
    <n v="236.34"/>
    <n v="0.32567487517982602"/>
    <x v="0"/>
    <x v="0"/>
  </r>
  <r>
    <x v="380"/>
    <x v="188"/>
    <x v="365"/>
    <x v="1"/>
    <x v="16"/>
    <x v="3"/>
    <x v="3"/>
    <x v="33"/>
    <x v="3"/>
    <x v="373"/>
    <x v="0"/>
    <n v="18.190000000000001"/>
    <n v="9.6300000000000008"/>
    <x v="376"/>
    <x v="1"/>
    <n v="2023"/>
    <x v="7"/>
    <n v="18.190000000000001"/>
    <n v="-2.96866410115448E-2"/>
    <x v="1"/>
    <x v="1"/>
  </r>
  <r>
    <x v="381"/>
    <x v="188"/>
    <x v="366"/>
    <x v="1"/>
    <x v="10"/>
    <x v="3"/>
    <x v="0"/>
    <x v="7"/>
    <x v="7"/>
    <x v="374"/>
    <x v="2"/>
    <n v="513.13"/>
    <n v="16.190000000000001"/>
    <x v="377"/>
    <x v="1"/>
    <n v="2023"/>
    <x v="7"/>
    <n v="436.16050000000001"/>
    <n v="0.378117688328035"/>
    <x v="2"/>
    <x v="0"/>
  </r>
  <r>
    <x v="382"/>
    <x v="189"/>
    <x v="367"/>
    <x v="2"/>
    <x v="17"/>
    <x v="3"/>
    <x v="1"/>
    <x v="6"/>
    <x v="2"/>
    <x v="375"/>
    <x v="3"/>
    <n v="29.63"/>
    <n v="13.64"/>
    <x v="378"/>
    <x v="1"/>
    <n v="2023"/>
    <x v="7"/>
    <n v="26.667000000000002"/>
    <n v="4.4249446881913998E-2"/>
    <x v="1"/>
    <x v="0"/>
  </r>
  <r>
    <x v="383"/>
    <x v="189"/>
    <x v="368"/>
    <x v="2"/>
    <x v="2"/>
    <x v="0"/>
    <x v="2"/>
    <x v="32"/>
    <x v="3"/>
    <x v="376"/>
    <x v="4"/>
    <n v="52.81"/>
    <n v="6.11"/>
    <x v="379"/>
    <x v="1"/>
    <n v="2023"/>
    <x v="7"/>
    <n v="50.169499999999999"/>
    <n v="0.26609792802399901"/>
    <x v="1"/>
    <x v="0"/>
  </r>
  <r>
    <x v="384"/>
    <x v="190"/>
    <x v="369"/>
    <x v="0"/>
    <x v="0"/>
    <x v="0"/>
    <x v="3"/>
    <x v="11"/>
    <x v="3"/>
    <x v="377"/>
    <x v="3"/>
    <n v="70.97"/>
    <n v="7.4"/>
    <x v="380"/>
    <x v="1"/>
    <n v="2023"/>
    <x v="7"/>
    <n v="63.872999999999998"/>
    <n v="0.37793746966636899"/>
    <x v="1"/>
    <x v="0"/>
  </r>
  <r>
    <x v="385"/>
    <x v="190"/>
    <x v="370"/>
    <x v="1"/>
    <x v="14"/>
    <x v="1"/>
    <x v="0"/>
    <x v="31"/>
    <x v="3"/>
    <x v="378"/>
    <x v="4"/>
    <n v="84.83"/>
    <n v="9.18"/>
    <x v="381"/>
    <x v="2"/>
    <n v="2023"/>
    <x v="7"/>
    <n v="80.588499999999996"/>
    <n v="0.32932738542099699"/>
    <x v="1"/>
    <x v="0"/>
  </r>
  <r>
    <x v="386"/>
    <x v="191"/>
    <x v="371"/>
    <x v="1"/>
    <x v="0"/>
    <x v="0"/>
    <x v="3"/>
    <x v="9"/>
    <x v="3"/>
    <x v="379"/>
    <x v="4"/>
    <n v="21.34"/>
    <n v="6.95"/>
    <x v="382"/>
    <x v="1"/>
    <n v="2023"/>
    <x v="7"/>
    <n v="20.273"/>
    <n v="0.15587234252453999"/>
    <x v="1"/>
    <x v="0"/>
  </r>
  <r>
    <x v="387"/>
    <x v="191"/>
    <x v="372"/>
    <x v="2"/>
    <x v="13"/>
    <x v="0"/>
    <x v="1"/>
    <x v="23"/>
    <x v="1"/>
    <x v="380"/>
    <x v="4"/>
    <n v="48.98"/>
    <n v="9.57"/>
    <x v="383"/>
    <x v="1"/>
    <n v="2023"/>
    <x v="7"/>
    <n v="46.530999999999999"/>
    <n v="0.34836990393501099"/>
    <x v="1"/>
    <x v="0"/>
  </r>
  <r>
    <x v="388"/>
    <x v="191"/>
    <x v="373"/>
    <x v="1"/>
    <x v="19"/>
    <x v="1"/>
    <x v="0"/>
    <x v="7"/>
    <x v="10"/>
    <x v="381"/>
    <x v="0"/>
    <n v="246.69"/>
    <n v="12.06"/>
    <x v="384"/>
    <x v="1"/>
    <n v="2023"/>
    <x v="7"/>
    <n v="246.69"/>
    <n v="0.401110705744051"/>
    <x v="0"/>
    <x v="0"/>
  </r>
  <r>
    <x v="389"/>
    <x v="192"/>
    <x v="374"/>
    <x v="1"/>
    <x v="12"/>
    <x v="4"/>
    <x v="3"/>
    <x v="11"/>
    <x v="4"/>
    <x v="382"/>
    <x v="0"/>
    <n v="472.62"/>
    <n v="19.75"/>
    <x v="385"/>
    <x v="2"/>
    <n v="2023"/>
    <x v="7"/>
    <n v="472.62"/>
    <n v="0.45821167110998301"/>
    <x v="0"/>
    <x v="0"/>
  </r>
  <r>
    <x v="390"/>
    <x v="192"/>
    <x v="375"/>
    <x v="2"/>
    <x v="2"/>
    <x v="0"/>
    <x v="3"/>
    <x v="13"/>
    <x v="3"/>
    <x v="383"/>
    <x v="3"/>
    <n v="56.19"/>
    <n v="7.27"/>
    <x v="386"/>
    <x v="1"/>
    <n v="2023"/>
    <x v="7"/>
    <n v="50.570999999999998"/>
    <n v="0.35000296612683202"/>
    <x v="1"/>
    <x v="0"/>
  </r>
  <r>
    <x v="391"/>
    <x v="192"/>
    <x v="376"/>
    <x v="0"/>
    <x v="7"/>
    <x v="4"/>
    <x v="3"/>
    <x v="13"/>
    <x v="3"/>
    <x v="384"/>
    <x v="2"/>
    <n v="50.75"/>
    <n v="11.43"/>
    <x v="387"/>
    <x v="2"/>
    <n v="2023"/>
    <x v="7"/>
    <n v="43.137500000000003"/>
    <n v="0.219298753984352"/>
    <x v="1"/>
    <x v="0"/>
  </r>
  <r>
    <x v="392"/>
    <x v="192"/>
    <x v="303"/>
    <x v="1"/>
    <x v="12"/>
    <x v="4"/>
    <x v="3"/>
    <x v="13"/>
    <x v="2"/>
    <x v="385"/>
    <x v="3"/>
    <n v="267.39"/>
    <n v="14.84"/>
    <x v="388"/>
    <x v="0"/>
    <n v="2023"/>
    <x v="7"/>
    <n v="240.65100000000001"/>
    <n v="0.43216109635945799"/>
    <x v="0"/>
    <x v="0"/>
  </r>
  <r>
    <x v="393"/>
    <x v="193"/>
    <x v="377"/>
    <x v="0"/>
    <x v="13"/>
    <x v="0"/>
    <x v="1"/>
    <x v="17"/>
    <x v="2"/>
    <x v="386"/>
    <x v="6"/>
    <n v="18.91"/>
    <n v="9.18"/>
    <x v="389"/>
    <x v="1"/>
    <n v="2023"/>
    <x v="7"/>
    <n v="14.182499999999999"/>
    <n v="-0.114225277630883"/>
    <x v="1"/>
    <x v="1"/>
  </r>
  <r>
    <x v="394"/>
    <x v="194"/>
    <x v="378"/>
    <x v="0"/>
    <x v="13"/>
    <x v="0"/>
    <x v="3"/>
    <x v="30"/>
    <x v="3"/>
    <x v="387"/>
    <x v="0"/>
    <n v="8.92"/>
    <n v="7.37"/>
    <x v="390"/>
    <x v="2"/>
    <n v="2023"/>
    <x v="7"/>
    <n v="8.92"/>
    <n v="-0.32623318385650202"/>
    <x v="1"/>
    <x v="1"/>
  </r>
  <r>
    <x v="395"/>
    <x v="194"/>
    <x v="379"/>
    <x v="2"/>
    <x v="10"/>
    <x v="3"/>
    <x v="3"/>
    <x v="27"/>
    <x v="0"/>
    <x v="388"/>
    <x v="1"/>
    <n v="116.33"/>
    <n v="10.91"/>
    <x v="391"/>
    <x v="3"/>
    <n v="2023"/>
    <x v="7"/>
    <n v="93.063999999999993"/>
    <n v="0.351586005329666"/>
    <x v="0"/>
    <x v="0"/>
  </r>
  <r>
    <x v="396"/>
    <x v="195"/>
    <x v="380"/>
    <x v="0"/>
    <x v="4"/>
    <x v="2"/>
    <x v="0"/>
    <x v="31"/>
    <x v="3"/>
    <x v="389"/>
    <x v="5"/>
    <n v="109.56"/>
    <n v="13.21"/>
    <x v="392"/>
    <x v="2"/>
    <n v="2023"/>
    <x v="7"/>
    <n v="76.691999999999993"/>
    <n v="0.13391227246648901"/>
    <x v="0"/>
    <x v="0"/>
  </r>
  <r>
    <x v="397"/>
    <x v="195"/>
    <x v="381"/>
    <x v="2"/>
    <x v="0"/>
    <x v="0"/>
    <x v="3"/>
    <x v="9"/>
    <x v="4"/>
    <x v="390"/>
    <x v="3"/>
    <n v="346.52"/>
    <n v="9.61"/>
    <x v="393"/>
    <x v="2"/>
    <n v="2023"/>
    <x v="7"/>
    <n v="311.86799999999999"/>
    <n v="0.46301640437621"/>
    <x v="0"/>
    <x v="0"/>
  </r>
  <r>
    <x v="398"/>
    <x v="195"/>
    <x v="49"/>
    <x v="1"/>
    <x v="8"/>
    <x v="1"/>
    <x v="2"/>
    <x v="32"/>
    <x v="3"/>
    <x v="391"/>
    <x v="2"/>
    <n v="48.63"/>
    <n v="7.77"/>
    <x v="394"/>
    <x v="0"/>
    <n v="2023"/>
    <x v="7"/>
    <n v="41.335500000000003"/>
    <n v="0.157975589989234"/>
    <x v="1"/>
    <x v="0"/>
  </r>
  <r>
    <x v="399"/>
    <x v="195"/>
    <x v="382"/>
    <x v="1"/>
    <x v="2"/>
    <x v="0"/>
    <x v="1"/>
    <x v="2"/>
    <x v="3"/>
    <x v="392"/>
    <x v="4"/>
    <n v="13.72"/>
    <n v="6.28"/>
    <x v="395"/>
    <x v="1"/>
    <n v="2023"/>
    <x v="7"/>
    <n v="13.034000000000001"/>
    <n v="7.2119073193187E-2"/>
    <x v="1"/>
    <x v="0"/>
  </r>
  <r>
    <x v="400"/>
    <x v="196"/>
    <x v="383"/>
    <x v="2"/>
    <x v="10"/>
    <x v="3"/>
    <x v="0"/>
    <x v="0"/>
    <x v="0"/>
    <x v="393"/>
    <x v="4"/>
    <n v="286.17"/>
    <n v="16.29"/>
    <x v="396"/>
    <x v="1"/>
    <n v="2023"/>
    <x v="7"/>
    <n v="271.86149999999998"/>
    <n v="0.38328339981939302"/>
    <x v="0"/>
    <x v="0"/>
  </r>
  <r>
    <x v="401"/>
    <x v="196"/>
    <x v="384"/>
    <x v="1"/>
    <x v="6"/>
    <x v="2"/>
    <x v="1"/>
    <x v="6"/>
    <x v="2"/>
    <x v="394"/>
    <x v="4"/>
    <n v="15.77"/>
    <n v="15.44"/>
    <x v="397"/>
    <x v="2"/>
    <n v="2023"/>
    <x v="7"/>
    <n v="14.9815"/>
    <n v="-0.47658779160965198"/>
    <x v="1"/>
    <x v="1"/>
  </r>
  <r>
    <x v="402"/>
    <x v="196"/>
    <x v="385"/>
    <x v="0"/>
    <x v="3"/>
    <x v="1"/>
    <x v="1"/>
    <x v="23"/>
    <x v="8"/>
    <x v="395"/>
    <x v="3"/>
    <n v="110.05"/>
    <n v="25.93"/>
    <x v="398"/>
    <x v="1"/>
    <n v="2023"/>
    <x v="7"/>
    <n v="99.045000000000002"/>
    <n v="0.29370488161946601"/>
    <x v="0"/>
    <x v="0"/>
  </r>
  <r>
    <x v="403"/>
    <x v="197"/>
    <x v="386"/>
    <x v="1"/>
    <x v="9"/>
    <x v="3"/>
    <x v="1"/>
    <x v="12"/>
    <x v="5"/>
    <x v="396"/>
    <x v="4"/>
    <n v="98.61"/>
    <n v="14.44"/>
    <x v="399"/>
    <x v="1"/>
    <n v="2023"/>
    <x v="7"/>
    <n v="93.679500000000004"/>
    <n v="0.39987403861036802"/>
    <x v="1"/>
    <x v="0"/>
  </r>
  <r>
    <x v="404"/>
    <x v="197"/>
    <x v="387"/>
    <x v="2"/>
    <x v="18"/>
    <x v="4"/>
    <x v="1"/>
    <x v="38"/>
    <x v="1"/>
    <x v="397"/>
    <x v="1"/>
    <n v="20.48"/>
    <n v="13.95"/>
    <x v="400"/>
    <x v="1"/>
    <n v="2023"/>
    <x v="7"/>
    <n v="16.384"/>
    <n v="-0.3045654296875"/>
    <x v="1"/>
    <x v="1"/>
  </r>
  <r>
    <x v="405"/>
    <x v="197"/>
    <x v="388"/>
    <x v="2"/>
    <x v="3"/>
    <x v="1"/>
    <x v="0"/>
    <x v="0"/>
    <x v="10"/>
    <x v="398"/>
    <x v="0"/>
    <n v="1410.66"/>
    <n v="15.34"/>
    <x v="401"/>
    <x v="2"/>
    <n v="2023"/>
    <x v="7"/>
    <n v="1410.66"/>
    <n v="0.43912778415776998"/>
    <x v="2"/>
    <x v="0"/>
  </r>
  <r>
    <x v="406"/>
    <x v="197"/>
    <x v="106"/>
    <x v="1"/>
    <x v="18"/>
    <x v="4"/>
    <x v="2"/>
    <x v="8"/>
    <x v="2"/>
    <x v="399"/>
    <x v="0"/>
    <n v="255.92"/>
    <n v="12.79"/>
    <x v="402"/>
    <x v="1"/>
    <n v="2023"/>
    <x v="7"/>
    <n v="255.92"/>
    <n v="0.35003125976867799"/>
    <x v="0"/>
    <x v="0"/>
  </r>
  <r>
    <x v="407"/>
    <x v="198"/>
    <x v="389"/>
    <x v="2"/>
    <x v="6"/>
    <x v="2"/>
    <x v="3"/>
    <x v="33"/>
    <x v="14"/>
    <x v="400"/>
    <x v="4"/>
    <n v="488.64"/>
    <n v="27.48"/>
    <x v="403"/>
    <x v="2"/>
    <n v="2023"/>
    <x v="7"/>
    <n v="464.20800000000003"/>
    <n v="0.43941508978733701"/>
    <x v="0"/>
    <x v="0"/>
  </r>
  <r>
    <x v="408"/>
    <x v="199"/>
    <x v="390"/>
    <x v="1"/>
    <x v="15"/>
    <x v="2"/>
    <x v="3"/>
    <x v="30"/>
    <x v="2"/>
    <x v="401"/>
    <x v="0"/>
    <n v="22.84"/>
    <n v="13.37"/>
    <x v="404"/>
    <x v="2"/>
    <n v="2023"/>
    <x v="7"/>
    <n v="22.84"/>
    <n v="-8.5376532399299501E-2"/>
    <x v="1"/>
    <x v="1"/>
  </r>
  <r>
    <x v="409"/>
    <x v="199"/>
    <x v="391"/>
    <x v="0"/>
    <x v="3"/>
    <x v="1"/>
    <x v="3"/>
    <x v="16"/>
    <x v="1"/>
    <x v="402"/>
    <x v="3"/>
    <n v="133.27000000000001"/>
    <n v="9.44"/>
    <x v="405"/>
    <x v="0"/>
    <n v="2023"/>
    <x v="7"/>
    <n v="119.943"/>
    <n v="0.41511384574339499"/>
    <x v="0"/>
    <x v="0"/>
  </r>
  <r>
    <x v="410"/>
    <x v="199"/>
    <x v="392"/>
    <x v="1"/>
    <x v="13"/>
    <x v="0"/>
    <x v="0"/>
    <x v="22"/>
    <x v="10"/>
    <x v="403"/>
    <x v="3"/>
    <n v="665.42"/>
    <n v="21.38"/>
    <x v="406"/>
    <x v="3"/>
    <n v="2023"/>
    <x v="7"/>
    <n v="598.87800000000004"/>
    <n v="0.39640794953229203"/>
    <x v="2"/>
    <x v="0"/>
  </r>
  <r>
    <x v="411"/>
    <x v="200"/>
    <x v="393"/>
    <x v="1"/>
    <x v="8"/>
    <x v="1"/>
    <x v="0"/>
    <x v="28"/>
    <x v="2"/>
    <x v="404"/>
    <x v="4"/>
    <n v="101.17"/>
    <n v="8.08"/>
    <x v="407"/>
    <x v="2"/>
    <n v="2023"/>
    <x v="7"/>
    <n v="96.111500000000007"/>
    <n v="0.359166176784256"/>
    <x v="0"/>
    <x v="0"/>
  </r>
  <r>
    <x v="412"/>
    <x v="200"/>
    <x v="265"/>
    <x v="0"/>
    <x v="13"/>
    <x v="0"/>
    <x v="2"/>
    <x v="14"/>
    <x v="0"/>
    <x v="405"/>
    <x v="4"/>
    <n v="527.65"/>
    <n v="9.42"/>
    <x v="408"/>
    <x v="2"/>
    <n v="2023"/>
    <x v="7"/>
    <n v="501.26749999999998"/>
    <n v="0.36902452283461401"/>
    <x v="2"/>
    <x v="0"/>
  </r>
  <r>
    <x v="413"/>
    <x v="200"/>
    <x v="394"/>
    <x v="1"/>
    <x v="15"/>
    <x v="2"/>
    <x v="3"/>
    <x v="26"/>
    <x v="0"/>
    <x v="406"/>
    <x v="3"/>
    <n v="79.569999999999993"/>
    <n v="14.83"/>
    <x v="409"/>
    <x v="1"/>
    <n v="2023"/>
    <x v="7"/>
    <n v="71.613"/>
    <n v="0.28667979277505501"/>
    <x v="1"/>
    <x v="0"/>
  </r>
  <r>
    <x v="414"/>
    <x v="201"/>
    <x v="395"/>
    <x v="1"/>
    <x v="4"/>
    <x v="2"/>
    <x v="1"/>
    <x v="19"/>
    <x v="5"/>
    <x v="407"/>
    <x v="3"/>
    <n v="28.39"/>
    <n v="22.11"/>
    <x v="410"/>
    <x v="2"/>
    <n v="2023"/>
    <x v="7"/>
    <n v="25.550999999999998"/>
    <n v="-0.30996829869672399"/>
    <x v="1"/>
    <x v="1"/>
  </r>
  <r>
    <x v="415"/>
    <x v="201"/>
    <x v="396"/>
    <x v="1"/>
    <x v="5"/>
    <x v="3"/>
    <x v="3"/>
    <x v="27"/>
    <x v="4"/>
    <x v="408"/>
    <x v="6"/>
    <n v="229.28"/>
    <n v="18.09"/>
    <x v="411"/>
    <x v="2"/>
    <n v="2023"/>
    <x v="7"/>
    <n v="171.96"/>
    <n v="0.339264945336125"/>
    <x v="0"/>
    <x v="0"/>
  </r>
  <r>
    <x v="416"/>
    <x v="202"/>
    <x v="397"/>
    <x v="1"/>
    <x v="17"/>
    <x v="3"/>
    <x v="1"/>
    <x v="6"/>
    <x v="2"/>
    <x v="409"/>
    <x v="4"/>
    <n v="26.03"/>
    <n v="11.05"/>
    <x v="412"/>
    <x v="0"/>
    <n v="2023"/>
    <x v="7"/>
    <n v="24.7285"/>
    <n v="0.10716379885557201"/>
    <x v="1"/>
    <x v="0"/>
  </r>
  <r>
    <x v="417"/>
    <x v="202"/>
    <x v="398"/>
    <x v="2"/>
    <x v="1"/>
    <x v="1"/>
    <x v="1"/>
    <x v="38"/>
    <x v="5"/>
    <x v="410"/>
    <x v="1"/>
    <n v="34.92"/>
    <n v="13.19"/>
    <x v="413"/>
    <x v="0"/>
    <n v="2023"/>
    <x v="7"/>
    <n v="27.936"/>
    <n v="7.4813860252004594E-2"/>
    <x v="1"/>
    <x v="0"/>
  </r>
  <r>
    <x v="418"/>
    <x v="202"/>
    <x v="399"/>
    <x v="1"/>
    <x v="16"/>
    <x v="3"/>
    <x v="0"/>
    <x v="35"/>
    <x v="3"/>
    <x v="411"/>
    <x v="3"/>
    <n v="31.21"/>
    <n v="10.64"/>
    <x v="414"/>
    <x v="1"/>
    <n v="2023"/>
    <x v="7"/>
    <n v="28.088999999999999"/>
    <n v="5.3401687493324801E-2"/>
    <x v="1"/>
    <x v="0"/>
  </r>
  <r>
    <x v="419"/>
    <x v="202"/>
    <x v="400"/>
    <x v="0"/>
    <x v="2"/>
    <x v="0"/>
    <x v="3"/>
    <x v="26"/>
    <x v="3"/>
    <x v="412"/>
    <x v="5"/>
    <n v="17.66"/>
    <n v="6.63"/>
    <x v="415"/>
    <x v="2"/>
    <n v="2023"/>
    <x v="7"/>
    <n v="12.362"/>
    <n v="-0.127811033813299"/>
    <x v="1"/>
    <x v="1"/>
  </r>
  <r>
    <x v="420"/>
    <x v="203"/>
    <x v="401"/>
    <x v="0"/>
    <x v="9"/>
    <x v="3"/>
    <x v="2"/>
    <x v="5"/>
    <x v="0"/>
    <x v="413"/>
    <x v="1"/>
    <n v="280.22000000000003"/>
    <n v="14.72"/>
    <x v="416"/>
    <x v="1"/>
    <n v="2023"/>
    <x v="7"/>
    <n v="224.17599999999999"/>
    <n v="0.24681500249803701"/>
    <x v="0"/>
    <x v="0"/>
  </r>
  <r>
    <x v="421"/>
    <x v="203"/>
    <x v="270"/>
    <x v="1"/>
    <x v="2"/>
    <x v="0"/>
    <x v="1"/>
    <x v="2"/>
    <x v="1"/>
    <x v="414"/>
    <x v="4"/>
    <n v="52.9"/>
    <n v="10.83"/>
    <x v="417"/>
    <x v="1"/>
    <n v="2023"/>
    <x v="7"/>
    <n v="50.255000000000003"/>
    <n v="0.33847378370311398"/>
    <x v="1"/>
    <x v="0"/>
  </r>
  <r>
    <x v="422"/>
    <x v="203"/>
    <x v="402"/>
    <x v="2"/>
    <x v="14"/>
    <x v="1"/>
    <x v="0"/>
    <x v="22"/>
    <x v="5"/>
    <x v="415"/>
    <x v="4"/>
    <n v="362.38"/>
    <n v="19.14"/>
    <x v="418"/>
    <x v="2"/>
    <n v="2023"/>
    <x v="7"/>
    <n v="344.26100000000002"/>
    <n v="0.38761288673419297"/>
    <x v="0"/>
    <x v="0"/>
  </r>
  <r>
    <x v="423"/>
    <x v="203"/>
    <x v="393"/>
    <x v="0"/>
    <x v="2"/>
    <x v="0"/>
    <x v="0"/>
    <x v="3"/>
    <x v="3"/>
    <x v="416"/>
    <x v="4"/>
    <n v="35.68"/>
    <n v="5.59"/>
    <x v="419"/>
    <x v="2"/>
    <n v="2023"/>
    <x v="7"/>
    <n v="33.896000000000001"/>
    <n v="0.27820391786641502"/>
    <x v="1"/>
    <x v="0"/>
  </r>
  <r>
    <x v="424"/>
    <x v="203"/>
    <x v="403"/>
    <x v="0"/>
    <x v="11"/>
    <x v="2"/>
    <x v="0"/>
    <x v="29"/>
    <x v="0"/>
    <x v="236"/>
    <x v="0"/>
    <n v="60.84"/>
    <n v="15.83"/>
    <x v="420"/>
    <x v="1"/>
    <n v="2023"/>
    <x v="7"/>
    <n v="60.84"/>
    <n v="0.189842209072978"/>
    <x v="1"/>
    <x v="0"/>
  </r>
  <r>
    <x v="425"/>
    <x v="204"/>
    <x v="404"/>
    <x v="2"/>
    <x v="19"/>
    <x v="1"/>
    <x v="1"/>
    <x v="20"/>
    <x v="1"/>
    <x v="417"/>
    <x v="0"/>
    <n v="36.200000000000003"/>
    <n v="10.130000000000001"/>
    <x v="421"/>
    <x v="0"/>
    <n v="2023"/>
    <x v="8"/>
    <n v="36.200000000000003"/>
    <n v="0.270165745856354"/>
    <x v="1"/>
    <x v="0"/>
  </r>
  <r>
    <x v="426"/>
    <x v="205"/>
    <x v="405"/>
    <x v="1"/>
    <x v="14"/>
    <x v="1"/>
    <x v="0"/>
    <x v="18"/>
    <x v="13"/>
    <x v="418"/>
    <x v="2"/>
    <n v="294.14999999999998"/>
    <n v="30.98"/>
    <x v="422"/>
    <x v="1"/>
    <n v="2023"/>
    <x v="8"/>
    <n v="250.0275"/>
    <n v="0.291327953925068"/>
    <x v="0"/>
    <x v="0"/>
  </r>
  <r>
    <x v="427"/>
    <x v="206"/>
    <x v="406"/>
    <x v="1"/>
    <x v="0"/>
    <x v="0"/>
    <x v="3"/>
    <x v="26"/>
    <x v="3"/>
    <x v="419"/>
    <x v="6"/>
    <n v="12.77"/>
    <n v="6.99"/>
    <x v="423"/>
    <x v="3"/>
    <n v="2023"/>
    <x v="8"/>
    <n v="9.5775000000000006"/>
    <n v="-0.286087183503002"/>
    <x v="1"/>
    <x v="1"/>
  </r>
  <r>
    <x v="428"/>
    <x v="206"/>
    <x v="407"/>
    <x v="1"/>
    <x v="14"/>
    <x v="1"/>
    <x v="2"/>
    <x v="8"/>
    <x v="9"/>
    <x v="420"/>
    <x v="3"/>
    <n v="603.9"/>
    <n v="14.47"/>
    <x v="424"/>
    <x v="0"/>
    <n v="2023"/>
    <x v="8"/>
    <n v="543.51"/>
    <n v="0.34374712516789002"/>
    <x v="2"/>
    <x v="0"/>
  </r>
  <r>
    <x v="429"/>
    <x v="206"/>
    <x v="408"/>
    <x v="1"/>
    <x v="2"/>
    <x v="0"/>
    <x v="2"/>
    <x v="5"/>
    <x v="2"/>
    <x v="421"/>
    <x v="3"/>
    <n v="358.56"/>
    <n v="9.5299999999999994"/>
    <x v="425"/>
    <x v="1"/>
    <n v="2023"/>
    <x v="8"/>
    <n v="322.70400000000001"/>
    <n v="0.340838663295156"/>
    <x v="0"/>
    <x v="0"/>
  </r>
  <r>
    <x v="430"/>
    <x v="207"/>
    <x v="409"/>
    <x v="2"/>
    <x v="10"/>
    <x v="3"/>
    <x v="1"/>
    <x v="38"/>
    <x v="3"/>
    <x v="422"/>
    <x v="3"/>
    <n v="6.44"/>
    <n v="10.26"/>
    <x v="426"/>
    <x v="1"/>
    <n v="2023"/>
    <x v="8"/>
    <n v="5.7960000000000003"/>
    <n v="-1.2146307798481699"/>
    <x v="1"/>
    <x v="1"/>
  </r>
  <r>
    <x v="431"/>
    <x v="207"/>
    <x v="165"/>
    <x v="1"/>
    <x v="17"/>
    <x v="3"/>
    <x v="1"/>
    <x v="2"/>
    <x v="3"/>
    <x v="423"/>
    <x v="2"/>
    <n v="10.34"/>
    <n v="11.21"/>
    <x v="427"/>
    <x v="3"/>
    <n v="2023"/>
    <x v="8"/>
    <n v="8.7889999999999997"/>
    <n v="-0.72249402662418905"/>
    <x v="1"/>
    <x v="1"/>
  </r>
  <r>
    <x v="432"/>
    <x v="208"/>
    <x v="410"/>
    <x v="1"/>
    <x v="0"/>
    <x v="0"/>
    <x v="1"/>
    <x v="17"/>
    <x v="5"/>
    <x v="424"/>
    <x v="4"/>
    <n v="92.48"/>
    <n v="11.28"/>
    <x v="428"/>
    <x v="0"/>
    <n v="2023"/>
    <x v="8"/>
    <n v="87.855999999999995"/>
    <n v="0.42558277180841397"/>
    <x v="1"/>
    <x v="0"/>
  </r>
  <r>
    <x v="433"/>
    <x v="208"/>
    <x v="322"/>
    <x v="1"/>
    <x v="8"/>
    <x v="1"/>
    <x v="3"/>
    <x v="30"/>
    <x v="2"/>
    <x v="425"/>
    <x v="3"/>
    <n v="25.97"/>
    <n v="9.92"/>
    <x v="429"/>
    <x v="2"/>
    <n v="2023"/>
    <x v="8"/>
    <n v="23.373000000000001"/>
    <n v="6.9310743165190605E-2"/>
    <x v="1"/>
    <x v="0"/>
  </r>
  <r>
    <x v="434"/>
    <x v="209"/>
    <x v="411"/>
    <x v="1"/>
    <x v="10"/>
    <x v="3"/>
    <x v="1"/>
    <x v="17"/>
    <x v="2"/>
    <x v="426"/>
    <x v="0"/>
    <n v="22.68"/>
    <n v="13.99"/>
    <x v="430"/>
    <x v="2"/>
    <n v="2023"/>
    <x v="8"/>
    <n v="22.68"/>
    <n v="-6.7019400352733696E-2"/>
    <x v="1"/>
    <x v="1"/>
  </r>
  <r>
    <x v="435"/>
    <x v="209"/>
    <x v="412"/>
    <x v="0"/>
    <x v="2"/>
    <x v="0"/>
    <x v="0"/>
    <x v="1"/>
    <x v="3"/>
    <x v="427"/>
    <x v="4"/>
    <n v="144.72"/>
    <n v="7.22"/>
    <x v="431"/>
    <x v="1"/>
    <n v="2023"/>
    <x v="8"/>
    <n v="137.48400000000001"/>
    <n v="0.39066364086002697"/>
    <x v="0"/>
    <x v="0"/>
  </r>
  <r>
    <x v="436"/>
    <x v="209"/>
    <x v="224"/>
    <x v="1"/>
    <x v="15"/>
    <x v="2"/>
    <x v="0"/>
    <x v="18"/>
    <x v="3"/>
    <x v="428"/>
    <x v="4"/>
    <n v="25.75"/>
    <n v="13.15"/>
    <x v="432"/>
    <x v="3"/>
    <n v="2023"/>
    <x v="8"/>
    <n v="24.462499999999999"/>
    <n v="-9.44302503832396E-2"/>
    <x v="1"/>
    <x v="1"/>
  </r>
  <r>
    <x v="437"/>
    <x v="209"/>
    <x v="413"/>
    <x v="2"/>
    <x v="18"/>
    <x v="4"/>
    <x v="2"/>
    <x v="15"/>
    <x v="2"/>
    <x v="429"/>
    <x v="3"/>
    <n v="767.29"/>
    <n v="12.53"/>
    <x v="433"/>
    <x v="1"/>
    <n v="2023"/>
    <x v="8"/>
    <n v="690.56100000000004"/>
    <n v="0.35223535647104298"/>
    <x v="2"/>
    <x v="0"/>
  </r>
  <r>
    <x v="438"/>
    <x v="209"/>
    <x v="414"/>
    <x v="1"/>
    <x v="0"/>
    <x v="0"/>
    <x v="3"/>
    <x v="11"/>
    <x v="3"/>
    <x v="430"/>
    <x v="4"/>
    <n v="40.42"/>
    <n v="7.38"/>
    <x v="434"/>
    <x v="1"/>
    <n v="2023"/>
    <x v="8"/>
    <n v="38.399000000000001"/>
    <n v="0.30651839891663801"/>
    <x v="1"/>
    <x v="0"/>
  </r>
  <r>
    <x v="439"/>
    <x v="210"/>
    <x v="415"/>
    <x v="2"/>
    <x v="9"/>
    <x v="3"/>
    <x v="0"/>
    <x v="28"/>
    <x v="5"/>
    <x v="431"/>
    <x v="0"/>
    <n v="144.9"/>
    <n v="12.42"/>
    <x v="435"/>
    <x v="0"/>
    <n v="2023"/>
    <x v="8"/>
    <n v="144.9"/>
    <n v="0.36425120772946901"/>
    <x v="0"/>
    <x v="0"/>
  </r>
  <r>
    <x v="440"/>
    <x v="211"/>
    <x v="416"/>
    <x v="1"/>
    <x v="0"/>
    <x v="0"/>
    <x v="3"/>
    <x v="24"/>
    <x v="3"/>
    <x v="432"/>
    <x v="3"/>
    <n v="71.34"/>
    <n v="6.56"/>
    <x v="436"/>
    <x v="1"/>
    <n v="2023"/>
    <x v="8"/>
    <n v="64.206000000000003"/>
    <n v="0.39170794006790599"/>
    <x v="1"/>
    <x v="0"/>
  </r>
  <r>
    <x v="441"/>
    <x v="211"/>
    <x v="417"/>
    <x v="1"/>
    <x v="0"/>
    <x v="0"/>
    <x v="2"/>
    <x v="32"/>
    <x v="4"/>
    <x v="433"/>
    <x v="0"/>
    <n v="284.82"/>
    <n v="11.93"/>
    <x v="437"/>
    <x v="1"/>
    <n v="2023"/>
    <x v="8"/>
    <n v="284.82"/>
    <n v="0.35812091847482602"/>
    <x v="0"/>
    <x v="0"/>
  </r>
  <r>
    <x v="442"/>
    <x v="211"/>
    <x v="418"/>
    <x v="2"/>
    <x v="10"/>
    <x v="3"/>
    <x v="1"/>
    <x v="10"/>
    <x v="1"/>
    <x v="434"/>
    <x v="0"/>
    <n v="16.760000000000002"/>
    <n v="13.27"/>
    <x v="438"/>
    <x v="1"/>
    <n v="2023"/>
    <x v="8"/>
    <n v="16.760000000000002"/>
    <n v="-0.241646778042959"/>
    <x v="1"/>
    <x v="1"/>
  </r>
  <r>
    <x v="443"/>
    <x v="212"/>
    <x v="419"/>
    <x v="1"/>
    <x v="4"/>
    <x v="2"/>
    <x v="0"/>
    <x v="18"/>
    <x v="2"/>
    <x v="435"/>
    <x v="3"/>
    <n v="110.27"/>
    <n v="14.33"/>
    <x v="439"/>
    <x v="1"/>
    <n v="2023"/>
    <x v="8"/>
    <n v="99.242999999999995"/>
    <n v="0.28767772034299599"/>
    <x v="0"/>
    <x v="0"/>
  </r>
  <r>
    <x v="444"/>
    <x v="212"/>
    <x v="420"/>
    <x v="1"/>
    <x v="2"/>
    <x v="0"/>
    <x v="1"/>
    <x v="2"/>
    <x v="2"/>
    <x v="436"/>
    <x v="2"/>
    <n v="23.15"/>
    <n v="7.75"/>
    <x v="440"/>
    <x v="2"/>
    <n v="2023"/>
    <x v="8"/>
    <n v="19.677499999999998"/>
    <n v="0.15957311650362099"/>
    <x v="1"/>
    <x v="0"/>
  </r>
  <r>
    <x v="445"/>
    <x v="213"/>
    <x v="421"/>
    <x v="0"/>
    <x v="2"/>
    <x v="0"/>
    <x v="0"/>
    <x v="0"/>
    <x v="2"/>
    <x v="437"/>
    <x v="3"/>
    <n v="118.94"/>
    <n v="9.35"/>
    <x v="441"/>
    <x v="1"/>
    <n v="2023"/>
    <x v="8"/>
    <n v="107.04600000000001"/>
    <n v="0.34471161930385102"/>
    <x v="0"/>
    <x v="0"/>
  </r>
  <r>
    <x v="446"/>
    <x v="213"/>
    <x v="422"/>
    <x v="1"/>
    <x v="3"/>
    <x v="1"/>
    <x v="0"/>
    <x v="1"/>
    <x v="3"/>
    <x v="438"/>
    <x v="0"/>
    <n v="77.47"/>
    <n v="9.23"/>
    <x v="442"/>
    <x v="3"/>
    <n v="2023"/>
    <x v="8"/>
    <n v="77.47"/>
    <n v="0.33083774364270002"/>
    <x v="1"/>
    <x v="0"/>
  </r>
  <r>
    <x v="447"/>
    <x v="213"/>
    <x v="423"/>
    <x v="0"/>
    <x v="3"/>
    <x v="1"/>
    <x v="2"/>
    <x v="39"/>
    <x v="9"/>
    <x v="439"/>
    <x v="1"/>
    <n v="668.96"/>
    <n v="31.2"/>
    <x v="443"/>
    <x v="0"/>
    <n v="2023"/>
    <x v="8"/>
    <n v="535.16800000000001"/>
    <n v="0.25420055010762999"/>
    <x v="2"/>
    <x v="0"/>
  </r>
  <r>
    <x v="448"/>
    <x v="214"/>
    <x v="424"/>
    <x v="1"/>
    <x v="5"/>
    <x v="3"/>
    <x v="0"/>
    <x v="35"/>
    <x v="3"/>
    <x v="440"/>
    <x v="3"/>
    <n v="46.53"/>
    <n v="10.95"/>
    <x v="444"/>
    <x v="0"/>
    <n v="2023"/>
    <x v="8"/>
    <n v="41.877000000000002"/>
    <n v="0.17049931943548999"/>
    <x v="1"/>
    <x v="0"/>
  </r>
  <r>
    <x v="449"/>
    <x v="214"/>
    <x v="425"/>
    <x v="1"/>
    <x v="17"/>
    <x v="3"/>
    <x v="1"/>
    <x v="25"/>
    <x v="1"/>
    <x v="441"/>
    <x v="3"/>
    <n v="27"/>
    <n v="11.42"/>
    <x v="445"/>
    <x v="2"/>
    <n v="2023"/>
    <x v="8"/>
    <n v="24.3"/>
    <n v="8.5596707818930001E-2"/>
    <x v="1"/>
    <x v="0"/>
  </r>
  <r>
    <x v="450"/>
    <x v="214"/>
    <x v="426"/>
    <x v="2"/>
    <x v="16"/>
    <x v="3"/>
    <x v="0"/>
    <x v="22"/>
    <x v="3"/>
    <x v="442"/>
    <x v="3"/>
    <n v="134.94"/>
    <n v="9.7899999999999991"/>
    <x v="446"/>
    <x v="1"/>
    <n v="2023"/>
    <x v="8"/>
    <n v="121.446"/>
    <n v="0.351514253248357"/>
    <x v="0"/>
    <x v="0"/>
  </r>
  <r>
    <x v="451"/>
    <x v="215"/>
    <x v="427"/>
    <x v="0"/>
    <x v="0"/>
    <x v="0"/>
    <x v="2"/>
    <x v="36"/>
    <x v="5"/>
    <x v="443"/>
    <x v="2"/>
    <n v="456.7"/>
    <n v="9.9"/>
    <x v="447"/>
    <x v="2"/>
    <n v="2023"/>
    <x v="8"/>
    <n v="388.19499999999999"/>
    <n v="0.32050902252733798"/>
    <x v="0"/>
    <x v="0"/>
  </r>
  <r>
    <x v="452"/>
    <x v="216"/>
    <x v="428"/>
    <x v="0"/>
    <x v="2"/>
    <x v="0"/>
    <x v="2"/>
    <x v="32"/>
    <x v="14"/>
    <x v="444"/>
    <x v="5"/>
    <n v="603.09"/>
    <n v="33.58"/>
    <x v="448"/>
    <x v="1"/>
    <n v="2023"/>
    <x v="8"/>
    <n v="422.16300000000001"/>
    <n v="0.12452536105722201"/>
    <x v="2"/>
    <x v="0"/>
  </r>
  <r>
    <x v="453"/>
    <x v="217"/>
    <x v="429"/>
    <x v="1"/>
    <x v="7"/>
    <x v="4"/>
    <x v="0"/>
    <x v="29"/>
    <x v="2"/>
    <x v="445"/>
    <x v="0"/>
    <n v="50.8"/>
    <n v="12.94"/>
    <x v="449"/>
    <x v="1"/>
    <n v="2023"/>
    <x v="8"/>
    <n v="50.8"/>
    <n v="0.19527559055118099"/>
    <x v="1"/>
    <x v="0"/>
  </r>
  <r>
    <x v="454"/>
    <x v="218"/>
    <x v="430"/>
    <x v="1"/>
    <x v="2"/>
    <x v="0"/>
    <x v="2"/>
    <x v="8"/>
    <x v="4"/>
    <x v="446"/>
    <x v="3"/>
    <n v="597.19000000000005"/>
    <n v="11.12"/>
    <x v="450"/>
    <x v="2"/>
    <n v="2023"/>
    <x v="8"/>
    <n v="537.471"/>
    <n v="0.34969328577727898"/>
    <x v="2"/>
    <x v="0"/>
  </r>
  <r>
    <x v="455"/>
    <x v="218"/>
    <x v="431"/>
    <x v="1"/>
    <x v="8"/>
    <x v="1"/>
    <x v="0"/>
    <x v="35"/>
    <x v="5"/>
    <x v="447"/>
    <x v="2"/>
    <n v="109.35"/>
    <n v="11.76"/>
    <x v="451"/>
    <x v="3"/>
    <n v="2023"/>
    <x v="8"/>
    <n v="92.947500000000005"/>
    <n v="0.28865757551305798"/>
    <x v="0"/>
    <x v="0"/>
  </r>
  <r>
    <x v="456"/>
    <x v="218"/>
    <x v="432"/>
    <x v="2"/>
    <x v="13"/>
    <x v="0"/>
    <x v="1"/>
    <x v="2"/>
    <x v="3"/>
    <x v="448"/>
    <x v="1"/>
    <n v="10.26"/>
    <n v="6.98"/>
    <x v="452"/>
    <x v="3"/>
    <n v="2023"/>
    <x v="8"/>
    <n v="8.2080000000000002"/>
    <n v="-0.303362573099415"/>
    <x v="1"/>
    <x v="1"/>
  </r>
  <r>
    <x v="457"/>
    <x v="219"/>
    <x v="254"/>
    <x v="0"/>
    <x v="0"/>
    <x v="0"/>
    <x v="3"/>
    <x v="13"/>
    <x v="5"/>
    <x v="449"/>
    <x v="6"/>
    <n v="501"/>
    <n v="14.42"/>
    <x v="453"/>
    <x v="1"/>
    <n v="2023"/>
    <x v="8"/>
    <n v="375.75"/>
    <n v="0.40606786427145702"/>
    <x v="2"/>
    <x v="0"/>
  </r>
  <r>
    <x v="458"/>
    <x v="219"/>
    <x v="433"/>
    <x v="0"/>
    <x v="13"/>
    <x v="0"/>
    <x v="2"/>
    <x v="32"/>
    <x v="6"/>
    <x v="450"/>
    <x v="4"/>
    <n v="449.07"/>
    <n v="22.4"/>
    <x v="454"/>
    <x v="1"/>
    <n v="2023"/>
    <x v="8"/>
    <n v="426.61649999999997"/>
    <n v="0.33528942270165402"/>
    <x v="0"/>
    <x v="0"/>
  </r>
  <r>
    <x v="459"/>
    <x v="220"/>
    <x v="434"/>
    <x v="0"/>
    <x v="5"/>
    <x v="3"/>
    <x v="3"/>
    <x v="11"/>
    <x v="2"/>
    <x v="451"/>
    <x v="5"/>
    <n v="50.51"/>
    <n v="12.81"/>
    <x v="429"/>
    <x v="2"/>
    <n v="2023"/>
    <x v="8"/>
    <n v="35.356999999999999"/>
    <n v="4.5818366942896697E-2"/>
    <x v="1"/>
    <x v="0"/>
  </r>
  <r>
    <x v="460"/>
    <x v="221"/>
    <x v="435"/>
    <x v="2"/>
    <x v="0"/>
    <x v="0"/>
    <x v="1"/>
    <x v="20"/>
    <x v="0"/>
    <x v="452"/>
    <x v="2"/>
    <n v="20.12"/>
    <n v="7.38"/>
    <x v="413"/>
    <x v="1"/>
    <n v="2023"/>
    <x v="8"/>
    <n v="17.102"/>
    <n v="0.122207928897205"/>
    <x v="1"/>
    <x v="0"/>
  </r>
  <r>
    <x v="461"/>
    <x v="221"/>
    <x v="436"/>
    <x v="1"/>
    <x v="9"/>
    <x v="3"/>
    <x v="2"/>
    <x v="36"/>
    <x v="1"/>
    <x v="453"/>
    <x v="4"/>
    <n v="751.49"/>
    <n v="15.67"/>
    <x v="455"/>
    <x v="2"/>
    <n v="2023"/>
    <x v="8"/>
    <n v="713.91549999999995"/>
    <n v="0.36586963022934799"/>
    <x v="2"/>
    <x v="0"/>
  </r>
  <r>
    <x v="462"/>
    <x v="222"/>
    <x v="437"/>
    <x v="1"/>
    <x v="15"/>
    <x v="2"/>
    <x v="2"/>
    <x v="21"/>
    <x v="1"/>
    <x v="376"/>
    <x v="3"/>
    <n v="200.12"/>
    <n v="16.82"/>
    <x v="456"/>
    <x v="3"/>
    <n v="2023"/>
    <x v="8"/>
    <n v="180.108"/>
    <n v="0.27694494414462401"/>
    <x v="0"/>
    <x v="0"/>
  </r>
  <r>
    <x v="463"/>
    <x v="223"/>
    <x v="438"/>
    <x v="1"/>
    <x v="12"/>
    <x v="4"/>
    <x v="2"/>
    <x v="5"/>
    <x v="2"/>
    <x v="454"/>
    <x v="0"/>
    <n v="231.96"/>
    <n v="13.7"/>
    <x v="457"/>
    <x v="0"/>
    <n v="2023"/>
    <x v="8"/>
    <n v="231.96"/>
    <n v="0.34092084842214199"/>
    <x v="0"/>
    <x v="0"/>
  </r>
  <r>
    <x v="464"/>
    <x v="223"/>
    <x v="439"/>
    <x v="0"/>
    <x v="5"/>
    <x v="3"/>
    <x v="0"/>
    <x v="22"/>
    <x v="2"/>
    <x v="455"/>
    <x v="4"/>
    <n v="260.91000000000003"/>
    <n v="13.4"/>
    <x v="458"/>
    <x v="2"/>
    <n v="2023"/>
    <x v="8"/>
    <n v="247.86449999999999"/>
    <n v="0.38916424094616198"/>
    <x v="0"/>
    <x v="0"/>
  </r>
  <r>
    <x v="465"/>
    <x v="223"/>
    <x v="440"/>
    <x v="2"/>
    <x v="18"/>
    <x v="4"/>
    <x v="0"/>
    <x v="31"/>
    <x v="0"/>
    <x v="456"/>
    <x v="0"/>
    <n v="460.02"/>
    <n v="16.46"/>
    <x v="459"/>
    <x v="1"/>
    <n v="2023"/>
    <x v="8"/>
    <n v="460.02"/>
    <n v="0.41422112082083401"/>
    <x v="0"/>
    <x v="0"/>
  </r>
  <r>
    <x v="466"/>
    <x v="224"/>
    <x v="441"/>
    <x v="0"/>
    <x v="1"/>
    <x v="1"/>
    <x v="1"/>
    <x v="25"/>
    <x v="2"/>
    <x v="457"/>
    <x v="2"/>
    <n v="9.94"/>
    <n v="9.91"/>
    <x v="460"/>
    <x v="2"/>
    <n v="2023"/>
    <x v="8"/>
    <n v="8.4489999999999998"/>
    <n v="-0.62019173866729804"/>
    <x v="1"/>
    <x v="1"/>
  </r>
  <r>
    <x v="467"/>
    <x v="225"/>
    <x v="442"/>
    <x v="1"/>
    <x v="13"/>
    <x v="0"/>
    <x v="0"/>
    <x v="22"/>
    <x v="0"/>
    <x v="458"/>
    <x v="1"/>
    <n v="145.22"/>
    <n v="6.74"/>
    <x v="461"/>
    <x v="0"/>
    <n v="2023"/>
    <x v="8"/>
    <n v="116.176"/>
    <n v="0.33259881559013899"/>
    <x v="0"/>
    <x v="0"/>
  </r>
  <r>
    <x v="468"/>
    <x v="225"/>
    <x v="78"/>
    <x v="2"/>
    <x v="2"/>
    <x v="0"/>
    <x v="2"/>
    <x v="8"/>
    <x v="3"/>
    <x v="459"/>
    <x v="0"/>
    <n v="112.29"/>
    <n v="5.87"/>
    <x v="462"/>
    <x v="1"/>
    <n v="2023"/>
    <x v="8"/>
    <n v="112.29"/>
    <n v="0.34776026360316997"/>
    <x v="0"/>
    <x v="0"/>
  </r>
  <r>
    <x v="469"/>
    <x v="226"/>
    <x v="19"/>
    <x v="1"/>
    <x v="6"/>
    <x v="2"/>
    <x v="0"/>
    <x v="18"/>
    <x v="1"/>
    <x v="460"/>
    <x v="3"/>
    <n v="157"/>
    <n v="17.66"/>
    <x v="463"/>
    <x v="1"/>
    <n v="2023"/>
    <x v="8"/>
    <n v="141.30000000000001"/>
    <n v="0.307147912243454"/>
    <x v="0"/>
    <x v="0"/>
  </r>
  <r>
    <x v="470"/>
    <x v="226"/>
    <x v="443"/>
    <x v="1"/>
    <x v="18"/>
    <x v="4"/>
    <x v="0"/>
    <x v="28"/>
    <x v="2"/>
    <x v="461"/>
    <x v="3"/>
    <n v="39.82"/>
    <n v="11.38"/>
    <x v="464"/>
    <x v="2"/>
    <n v="2023"/>
    <x v="8"/>
    <n v="35.838000000000001"/>
    <n v="0.11468273899213099"/>
    <x v="1"/>
    <x v="0"/>
  </r>
  <r>
    <x v="471"/>
    <x v="227"/>
    <x v="444"/>
    <x v="1"/>
    <x v="13"/>
    <x v="0"/>
    <x v="3"/>
    <x v="9"/>
    <x v="0"/>
    <x v="462"/>
    <x v="0"/>
    <n v="177.12"/>
    <n v="10.28"/>
    <x v="465"/>
    <x v="3"/>
    <n v="2023"/>
    <x v="8"/>
    <n v="177.12"/>
    <n v="0.441960252935863"/>
    <x v="0"/>
    <x v="0"/>
  </r>
  <r>
    <x v="472"/>
    <x v="227"/>
    <x v="445"/>
    <x v="1"/>
    <x v="1"/>
    <x v="1"/>
    <x v="3"/>
    <x v="26"/>
    <x v="1"/>
    <x v="463"/>
    <x v="2"/>
    <n v="146"/>
    <n v="13.44"/>
    <x v="466"/>
    <x v="0"/>
    <n v="2023"/>
    <x v="8"/>
    <n v="124.1"/>
    <n v="0.37614826752618902"/>
    <x v="0"/>
    <x v="0"/>
  </r>
  <r>
    <x v="473"/>
    <x v="227"/>
    <x v="446"/>
    <x v="2"/>
    <x v="10"/>
    <x v="3"/>
    <x v="3"/>
    <x v="37"/>
    <x v="4"/>
    <x v="464"/>
    <x v="3"/>
    <n v="418.55"/>
    <n v="20.82"/>
    <x v="467"/>
    <x v="3"/>
    <n v="2023"/>
    <x v="8"/>
    <n v="376.69499999999999"/>
    <n v="0.43855108244070101"/>
    <x v="0"/>
    <x v="0"/>
  </r>
  <r>
    <x v="474"/>
    <x v="227"/>
    <x v="447"/>
    <x v="2"/>
    <x v="19"/>
    <x v="1"/>
    <x v="0"/>
    <x v="7"/>
    <x v="3"/>
    <x v="465"/>
    <x v="2"/>
    <n v="44.7"/>
    <n v="8.76"/>
    <x v="468"/>
    <x v="2"/>
    <n v="2023"/>
    <x v="8"/>
    <n v="37.994999999999997"/>
    <n v="0.184761152783261"/>
    <x v="1"/>
    <x v="0"/>
  </r>
  <r>
    <x v="475"/>
    <x v="228"/>
    <x v="448"/>
    <x v="1"/>
    <x v="9"/>
    <x v="3"/>
    <x v="0"/>
    <x v="1"/>
    <x v="3"/>
    <x v="466"/>
    <x v="0"/>
    <n v="126.55"/>
    <n v="9.75"/>
    <x v="469"/>
    <x v="2"/>
    <n v="2023"/>
    <x v="8"/>
    <n v="126.55"/>
    <n v="0.372975108652706"/>
    <x v="0"/>
    <x v="0"/>
  </r>
  <r>
    <x v="476"/>
    <x v="229"/>
    <x v="102"/>
    <x v="0"/>
    <x v="4"/>
    <x v="2"/>
    <x v="2"/>
    <x v="39"/>
    <x v="5"/>
    <x v="467"/>
    <x v="0"/>
    <n v="725.6"/>
    <n v="16.63"/>
    <x v="470"/>
    <x v="0"/>
    <n v="2023"/>
    <x v="8"/>
    <n v="725.6"/>
    <n v="0.37708103638368201"/>
    <x v="2"/>
    <x v="0"/>
  </r>
  <r>
    <x v="477"/>
    <x v="229"/>
    <x v="449"/>
    <x v="1"/>
    <x v="9"/>
    <x v="3"/>
    <x v="3"/>
    <x v="24"/>
    <x v="1"/>
    <x v="468"/>
    <x v="4"/>
    <n v="99.56"/>
    <n v="17.25"/>
    <x v="471"/>
    <x v="1"/>
    <n v="2023"/>
    <x v="8"/>
    <n v="94.581999999999994"/>
    <n v="0.31623353280751099"/>
    <x v="1"/>
    <x v="0"/>
  </r>
  <r>
    <x v="478"/>
    <x v="230"/>
    <x v="450"/>
    <x v="0"/>
    <x v="1"/>
    <x v="1"/>
    <x v="1"/>
    <x v="12"/>
    <x v="5"/>
    <x v="469"/>
    <x v="2"/>
    <n v="79.98"/>
    <n v="10.99"/>
    <x v="472"/>
    <x v="3"/>
    <n v="2023"/>
    <x v="8"/>
    <n v="67.983000000000004"/>
    <n v="0.392009767147669"/>
    <x v="1"/>
    <x v="0"/>
  </r>
  <r>
    <x v="479"/>
    <x v="230"/>
    <x v="451"/>
    <x v="2"/>
    <x v="5"/>
    <x v="3"/>
    <x v="2"/>
    <x v="36"/>
    <x v="3"/>
    <x v="470"/>
    <x v="0"/>
    <n v="238.24"/>
    <n v="10.130000000000001"/>
    <x v="473"/>
    <x v="1"/>
    <n v="2023"/>
    <x v="8"/>
    <n v="238.24"/>
    <n v="0.357496642041639"/>
    <x v="0"/>
    <x v="0"/>
  </r>
  <r>
    <x v="480"/>
    <x v="230"/>
    <x v="452"/>
    <x v="0"/>
    <x v="9"/>
    <x v="3"/>
    <x v="2"/>
    <x v="15"/>
    <x v="3"/>
    <x v="471"/>
    <x v="2"/>
    <n v="189.3"/>
    <n v="10.45"/>
    <x v="474"/>
    <x v="1"/>
    <n v="2023"/>
    <x v="8"/>
    <n v="160.905"/>
    <n v="0.28103539355520302"/>
    <x v="0"/>
    <x v="0"/>
  </r>
  <r>
    <x v="481"/>
    <x v="230"/>
    <x v="453"/>
    <x v="2"/>
    <x v="4"/>
    <x v="2"/>
    <x v="0"/>
    <x v="29"/>
    <x v="1"/>
    <x v="472"/>
    <x v="2"/>
    <n v="124.47"/>
    <n v="16.07"/>
    <x v="475"/>
    <x v="1"/>
    <n v="2023"/>
    <x v="8"/>
    <n v="105.79949999999999"/>
    <n v="0.26332827659866098"/>
    <x v="0"/>
    <x v="0"/>
  </r>
  <r>
    <x v="482"/>
    <x v="231"/>
    <x v="454"/>
    <x v="2"/>
    <x v="10"/>
    <x v="3"/>
    <x v="2"/>
    <x v="34"/>
    <x v="1"/>
    <x v="473"/>
    <x v="0"/>
    <n v="236.04"/>
    <n v="11.14"/>
    <x v="476"/>
    <x v="0"/>
    <n v="2023"/>
    <x v="8"/>
    <n v="236.04"/>
    <n v="0.35282155566853102"/>
    <x v="0"/>
    <x v="0"/>
  </r>
  <r>
    <x v="483"/>
    <x v="232"/>
    <x v="455"/>
    <x v="0"/>
    <x v="4"/>
    <x v="2"/>
    <x v="3"/>
    <x v="16"/>
    <x v="2"/>
    <x v="474"/>
    <x v="3"/>
    <n v="88.87"/>
    <n v="14.28"/>
    <x v="477"/>
    <x v="1"/>
    <n v="2023"/>
    <x v="9"/>
    <n v="79.983000000000004"/>
    <n v="0.31531700486353398"/>
    <x v="1"/>
    <x v="0"/>
  </r>
  <r>
    <x v="484"/>
    <x v="232"/>
    <x v="456"/>
    <x v="0"/>
    <x v="11"/>
    <x v="2"/>
    <x v="2"/>
    <x v="39"/>
    <x v="3"/>
    <x v="475"/>
    <x v="2"/>
    <n v="112.12"/>
    <n v="12.52"/>
    <x v="478"/>
    <x v="2"/>
    <n v="2023"/>
    <x v="9"/>
    <n v="95.302000000000007"/>
    <n v="0.21458101613817099"/>
    <x v="0"/>
    <x v="0"/>
  </r>
  <r>
    <x v="485"/>
    <x v="232"/>
    <x v="457"/>
    <x v="0"/>
    <x v="7"/>
    <x v="4"/>
    <x v="0"/>
    <x v="3"/>
    <x v="2"/>
    <x v="476"/>
    <x v="3"/>
    <n v="143.33000000000001"/>
    <n v="11.45"/>
    <x v="479"/>
    <x v="1"/>
    <n v="2023"/>
    <x v="9"/>
    <n v="128.99700000000001"/>
    <n v="0.343341318015148"/>
    <x v="0"/>
    <x v="0"/>
  </r>
  <r>
    <x v="486"/>
    <x v="233"/>
    <x v="458"/>
    <x v="2"/>
    <x v="3"/>
    <x v="1"/>
    <x v="2"/>
    <x v="14"/>
    <x v="2"/>
    <x v="477"/>
    <x v="4"/>
    <n v="758.29"/>
    <n v="10.3"/>
    <x v="480"/>
    <x v="2"/>
    <n v="2023"/>
    <x v="9"/>
    <n v="720.37549999999999"/>
    <n v="0.37351353564911599"/>
    <x v="2"/>
    <x v="0"/>
  </r>
  <r>
    <x v="487"/>
    <x v="233"/>
    <x v="459"/>
    <x v="1"/>
    <x v="9"/>
    <x v="3"/>
    <x v="2"/>
    <x v="15"/>
    <x v="4"/>
    <x v="478"/>
    <x v="4"/>
    <n v="1378.26"/>
    <n v="22.07"/>
    <x v="481"/>
    <x v="0"/>
    <n v="2023"/>
    <x v="9"/>
    <n v="1309.347"/>
    <n v="0.37095590397350697"/>
    <x v="2"/>
    <x v="0"/>
  </r>
  <r>
    <x v="488"/>
    <x v="234"/>
    <x v="460"/>
    <x v="0"/>
    <x v="5"/>
    <x v="3"/>
    <x v="2"/>
    <x v="39"/>
    <x v="1"/>
    <x v="479"/>
    <x v="4"/>
    <n v="619.16999999999996"/>
    <n v="15.93"/>
    <x v="482"/>
    <x v="3"/>
    <n v="2023"/>
    <x v="9"/>
    <n v="588.2115"/>
    <n v="0.360720591147912"/>
    <x v="2"/>
    <x v="0"/>
  </r>
  <r>
    <x v="489"/>
    <x v="234"/>
    <x v="461"/>
    <x v="1"/>
    <x v="7"/>
    <x v="4"/>
    <x v="0"/>
    <x v="28"/>
    <x v="3"/>
    <x v="480"/>
    <x v="0"/>
    <n v="44.26"/>
    <n v="12.32"/>
    <x v="483"/>
    <x v="2"/>
    <n v="2023"/>
    <x v="9"/>
    <n v="44.26"/>
    <n v="0.17171260732037999"/>
    <x v="1"/>
    <x v="0"/>
  </r>
  <r>
    <x v="490"/>
    <x v="234"/>
    <x v="462"/>
    <x v="2"/>
    <x v="0"/>
    <x v="0"/>
    <x v="1"/>
    <x v="20"/>
    <x v="1"/>
    <x v="481"/>
    <x v="4"/>
    <n v="25.92"/>
    <n v="9.89"/>
    <x v="484"/>
    <x v="2"/>
    <n v="2023"/>
    <x v="9"/>
    <n v="24.623999999999999"/>
    <n v="0.15229044834308"/>
    <x v="1"/>
    <x v="0"/>
  </r>
  <r>
    <x v="491"/>
    <x v="234"/>
    <x v="463"/>
    <x v="2"/>
    <x v="4"/>
    <x v="2"/>
    <x v="3"/>
    <x v="16"/>
    <x v="0"/>
    <x v="482"/>
    <x v="0"/>
    <n v="178.65"/>
    <n v="14.68"/>
    <x v="485"/>
    <x v="2"/>
    <n v="2023"/>
    <x v="9"/>
    <n v="178.65"/>
    <n v="0.41785614329694898"/>
    <x v="0"/>
    <x v="0"/>
  </r>
  <r>
    <x v="492"/>
    <x v="235"/>
    <x v="464"/>
    <x v="0"/>
    <x v="18"/>
    <x v="4"/>
    <x v="3"/>
    <x v="37"/>
    <x v="13"/>
    <x v="483"/>
    <x v="1"/>
    <n v="779.58"/>
    <n v="19.8"/>
    <x v="486"/>
    <x v="0"/>
    <n v="2023"/>
    <x v="9"/>
    <n v="623.66399999999999"/>
    <n v="0.43699812719669601"/>
    <x v="2"/>
    <x v="0"/>
  </r>
  <r>
    <x v="493"/>
    <x v="235"/>
    <x v="465"/>
    <x v="0"/>
    <x v="2"/>
    <x v="0"/>
    <x v="2"/>
    <x v="34"/>
    <x v="3"/>
    <x v="484"/>
    <x v="3"/>
    <n v="31.76"/>
    <n v="6.93"/>
    <x v="487"/>
    <x v="1"/>
    <n v="2023"/>
    <x v="9"/>
    <n v="28.584"/>
    <n v="0.128043660789253"/>
    <x v="1"/>
    <x v="0"/>
  </r>
  <r>
    <x v="494"/>
    <x v="235"/>
    <x v="466"/>
    <x v="0"/>
    <x v="13"/>
    <x v="0"/>
    <x v="2"/>
    <x v="39"/>
    <x v="1"/>
    <x v="485"/>
    <x v="3"/>
    <n v="467.28"/>
    <n v="10.02"/>
    <x v="488"/>
    <x v="2"/>
    <n v="2023"/>
    <x v="9"/>
    <n v="420.55200000000002"/>
    <n v="0.34654454145979602"/>
    <x v="0"/>
    <x v="0"/>
  </r>
  <r>
    <x v="495"/>
    <x v="235"/>
    <x v="467"/>
    <x v="1"/>
    <x v="18"/>
    <x v="4"/>
    <x v="1"/>
    <x v="20"/>
    <x v="3"/>
    <x v="486"/>
    <x v="0"/>
    <n v="6.83"/>
    <n v="12.47"/>
    <x v="489"/>
    <x v="2"/>
    <n v="2023"/>
    <x v="9"/>
    <n v="6.83"/>
    <n v="-1.2752562225475801"/>
    <x v="1"/>
    <x v="1"/>
  </r>
  <r>
    <x v="496"/>
    <x v="235"/>
    <x v="468"/>
    <x v="0"/>
    <x v="18"/>
    <x v="4"/>
    <x v="2"/>
    <x v="14"/>
    <x v="3"/>
    <x v="487"/>
    <x v="5"/>
    <n v="238.54"/>
    <n v="11.54"/>
    <x v="490"/>
    <x v="3"/>
    <n v="2023"/>
    <x v="9"/>
    <n v="166.97800000000001"/>
    <n v="0.13498784270981801"/>
    <x v="0"/>
    <x v="0"/>
  </r>
  <r>
    <x v="497"/>
    <x v="236"/>
    <x v="469"/>
    <x v="1"/>
    <x v="10"/>
    <x v="3"/>
    <x v="0"/>
    <x v="1"/>
    <x v="2"/>
    <x v="488"/>
    <x v="0"/>
    <n v="263.36"/>
    <n v="10.63"/>
    <x v="491"/>
    <x v="2"/>
    <n v="2023"/>
    <x v="9"/>
    <n v="263.36"/>
    <n v="0.409629404617254"/>
    <x v="0"/>
    <x v="0"/>
  </r>
  <r>
    <x v="498"/>
    <x v="237"/>
    <x v="470"/>
    <x v="2"/>
    <x v="11"/>
    <x v="2"/>
    <x v="1"/>
    <x v="19"/>
    <x v="0"/>
    <x v="489"/>
    <x v="2"/>
    <n v="30.78"/>
    <n v="17.690000000000001"/>
    <x v="492"/>
    <x v="2"/>
    <n v="2023"/>
    <x v="9"/>
    <n v="26.163"/>
    <n v="-0.12231013263005"/>
    <x v="1"/>
    <x v="1"/>
  </r>
  <r>
    <x v="499"/>
    <x v="238"/>
    <x v="471"/>
    <x v="0"/>
    <x v="11"/>
    <x v="2"/>
    <x v="2"/>
    <x v="34"/>
    <x v="2"/>
    <x v="490"/>
    <x v="6"/>
    <n v="75.069999999999993"/>
    <n v="12.65"/>
    <x v="493"/>
    <x v="1"/>
    <n v="2023"/>
    <x v="9"/>
    <n v="56.302500000000002"/>
    <n v="4.1916433550908003E-2"/>
    <x v="1"/>
    <x v="0"/>
  </r>
  <r>
    <x v="500"/>
    <x v="238"/>
    <x v="472"/>
    <x v="1"/>
    <x v="12"/>
    <x v="4"/>
    <x v="1"/>
    <x v="12"/>
    <x v="0"/>
    <x v="491"/>
    <x v="4"/>
    <n v="62.53"/>
    <n v="17.25"/>
    <x v="494"/>
    <x v="0"/>
    <n v="2023"/>
    <x v="9"/>
    <n v="59.403500000000001"/>
    <n v="0.26362083042244999"/>
    <x v="1"/>
    <x v="0"/>
  </r>
  <r>
    <x v="501"/>
    <x v="238"/>
    <x v="473"/>
    <x v="2"/>
    <x v="8"/>
    <x v="1"/>
    <x v="3"/>
    <x v="27"/>
    <x v="5"/>
    <x v="492"/>
    <x v="3"/>
    <n v="307.89"/>
    <n v="11.72"/>
    <x v="495"/>
    <x v="1"/>
    <n v="2023"/>
    <x v="9"/>
    <n v="277.101"/>
    <n v="0.451532112839723"/>
    <x v="0"/>
    <x v="0"/>
  </r>
  <r>
    <x v="502"/>
    <x v="238"/>
    <x v="474"/>
    <x v="1"/>
    <x v="6"/>
    <x v="2"/>
    <x v="2"/>
    <x v="21"/>
    <x v="5"/>
    <x v="493"/>
    <x v="4"/>
    <n v="408.07"/>
    <n v="19.75"/>
    <x v="496"/>
    <x v="2"/>
    <n v="2023"/>
    <x v="9"/>
    <n v="387.66649999999998"/>
    <n v="0.33686170974278201"/>
    <x v="0"/>
    <x v="0"/>
  </r>
  <r>
    <x v="503"/>
    <x v="238"/>
    <x v="475"/>
    <x v="1"/>
    <x v="0"/>
    <x v="0"/>
    <x v="0"/>
    <x v="3"/>
    <x v="3"/>
    <x v="494"/>
    <x v="2"/>
    <n v="36.630000000000003"/>
    <n v="7.3"/>
    <x v="497"/>
    <x v="1"/>
    <n v="2023"/>
    <x v="9"/>
    <n v="31.1355"/>
    <n v="0.18082253376370999"/>
    <x v="1"/>
    <x v="0"/>
  </r>
  <r>
    <x v="504"/>
    <x v="239"/>
    <x v="476"/>
    <x v="2"/>
    <x v="18"/>
    <x v="4"/>
    <x v="2"/>
    <x v="4"/>
    <x v="3"/>
    <x v="495"/>
    <x v="4"/>
    <n v="175.37"/>
    <n v="11.24"/>
    <x v="498"/>
    <x v="1"/>
    <n v="2023"/>
    <x v="9"/>
    <n v="166.60149999999999"/>
    <n v="0.32034525499470301"/>
    <x v="0"/>
    <x v="0"/>
  </r>
  <r>
    <x v="505"/>
    <x v="239"/>
    <x v="477"/>
    <x v="2"/>
    <x v="3"/>
    <x v="1"/>
    <x v="2"/>
    <x v="4"/>
    <x v="11"/>
    <x v="496"/>
    <x v="3"/>
    <n v="2701.31"/>
    <n v="26.06"/>
    <x v="499"/>
    <x v="1"/>
    <n v="2023"/>
    <x v="9"/>
    <n v="2431.1790000000001"/>
    <n v="0.35964854911958399"/>
    <x v="2"/>
    <x v="0"/>
  </r>
  <r>
    <x v="506"/>
    <x v="240"/>
    <x v="478"/>
    <x v="0"/>
    <x v="14"/>
    <x v="1"/>
    <x v="3"/>
    <x v="37"/>
    <x v="6"/>
    <x v="497"/>
    <x v="6"/>
    <n v="393.33"/>
    <n v="17.73"/>
    <x v="500"/>
    <x v="2"/>
    <n v="2023"/>
    <x v="9"/>
    <n v="294.9975"/>
    <n v="0.38434224018847601"/>
    <x v="0"/>
    <x v="0"/>
  </r>
  <r>
    <x v="507"/>
    <x v="240"/>
    <x v="479"/>
    <x v="1"/>
    <x v="8"/>
    <x v="1"/>
    <x v="2"/>
    <x v="36"/>
    <x v="5"/>
    <x v="498"/>
    <x v="0"/>
    <n v="1082.25"/>
    <n v="16.23"/>
    <x v="501"/>
    <x v="3"/>
    <n v="2023"/>
    <x v="9"/>
    <n v="1082.25"/>
    <n v="0.385003465003465"/>
    <x v="2"/>
    <x v="0"/>
  </r>
  <r>
    <x v="508"/>
    <x v="240"/>
    <x v="480"/>
    <x v="1"/>
    <x v="10"/>
    <x v="3"/>
    <x v="2"/>
    <x v="5"/>
    <x v="0"/>
    <x v="499"/>
    <x v="4"/>
    <n v="235.92"/>
    <n v="13.57"/>
    <x v="502"/>
    <x v="1"/>
    <n v="2023"/>
    <x v="9"/>
    <n v="224.124"/>
    <n v="0.32727418750334603"/>
    <x v="0"/>
    <x v="0"/>
  </r>
  <r>
    <x v="509"/>
    <x v="240"/>
    <x v="481"/>
    <x v="1"/>
    <x v="0"/>
    <x v="0"/>
    <x v="0"/>
    <x v="0"/>
    <x v="1"/>
    <x v="500"/>
    <x v="4"/>
    <n v="802.07"/>
    <n v="7.73"/>
    <x v="503"/>
    <x v="2"/>
    <n v="2023"/>
    <x v="9"/>
    <n v="761.9665"/>
    <n v="0.43307678224698898"/>
    <x v="2"/>
    <x v="0"/>
  </r>
  <r>
    <x v="510"/>
    <x v="240"/>
    <x v="482"/>
    <x v="0"/>
    <x v="13"/>
    <x v="0"/>
    <x v="2"/>
    <x v="34"/>
    <x v="3"/>
    <x v="501"/>
    <x v="0"/>
    <n v="19.95"/>
    <n v="6.89"/>
    <x v="504"/>
    <x v="1"/>
    <n v="2023"/>
    <x v="9"/>
    <n v="19.95"/>
    <n v="5.4636591478696803E-2"/>
    <x v="1"/>
    <x v="0"/>
  </r>
  <r>
    <x v="511"/>
    <x v="241"/>
    <x v="13"/>
    <x v="0"/>
    <x v="11"/>
    <x v="2"/>
    <x v="2"/>
    <x v="34"/>
    <x v="1"/>
    <x v="502"/>
    <x v="3"/>
    <n v="135.61000000000001"/>
    <n v="15.83"/>
    <x v="505"/>
    <x v="2"/>
    <n v="2023"/>
    <x v="9"/>
    <n v="122.04900000000001"/>
    <n v="0.24064105400290001"/>
    <x v="0"/>
    <x v="0"/>
  </r>
  <r>
    <x v="512"/>
    <x v="241"/>
    <x v="483"/>
    <x v="1"/>
    <x v="19"/>
    <x v="1"/>
    <x v="1"/>
    <x v="12"/>
    <x v="0"/>
    <x v="503"/>
    <x v="0"/>
    <n v="72.239999999999995"/>
    <n v="8.67"/>
    <x v="506"/>
    <x v="2"/>
    <n v="2023"/>
    <x v="9"/>
    <n v="72.239999999999995"/>
    <n v="0.42995570321151699"/>
    <x v="1"/>
    <x v="0"/>
  </r>
  <r>
    <x v="513"/>
    <x v="241"/>
    <x v="201"/>
    <x v="0"/>
    <x v="13"/>
    <x v="0"/>
    <x v="0"/>
    <x v="29"/>
    <x v="2"/>
    <x v="504"/>
    <x v="2"/>
    <n v="33"/>
    <n v="7.48"/>
    <x v="507"/>
    <x v="1"/>
    <n v="2023"/>
    <x v="9"/>
    <n v="28.05"/>
    <n v="0.14866310160427801"/>
    <x v="1"/>
    <x v="0"/>
  </r>
  <r>
    <x v="514"/>
    <x v="242"/>
    <x v="484"/>
    <x v="1"/>
    <x v="14"/>
    <x v="1"/>
    <x v="3"/>
    <x v="24"/>
    <x v="1"/>
    <x v="505"/>
    <x v="3"/>
    <n v="134.46"/>
    <n v="13.42"/>
    <x v="508"/>
    <x v="1"/>
    <n v="2023"/>
    <x v="9"/>
    <n v="121.014"/>
    <n v="0.38293090055696"/>
    <x v="0"/>
    <x v="0"/>
  </r>
  <r>
    <x v="515"/>
    <x v="243"/>
    <x v="485"/>
    <x v="1"/>
    <x v="11"/>
    <x v="2"/>
    <x v="1"/>
    <x v="23"/>
    <x v="2"/>
    <x v="506"/>
    <x v="2"/>
    <n v="31.5"/>
    <n v="15.09"/>
    <x v="509"/>
    <x v="2"/>
    <n v="2023"/>
    <x v="9"/>
    <n v="26.774999999999999"/>
    <n v="-1.00840336134454E-2"/>
    <x v="1"/>
    <x v="1"/>
  </r>
  <r>
    <x v="516"/>
    <x v="243"/>
    <x v="486"/>
    <x v="1"/>
    <x v="16"/>
    <x v="3"/>
    <x v="1"/>
    <x v="12"/>
    <x v="3"/>
    <x v="507"/>
    <x v="4"/>
    <n v="19.510000000000002"/>
    <n v="9.89"/>
    <x v="510"/>
    <x v="3"/>
    <n v="2023"/>
    <x v="9"/>
    <n v="18.534500000000001"/>
    <n v="2.0502306509482301E-2"/>
    <x v="1"/>
    <x v="0"/>
  </r>
  <r>
    <x v="517"/>
    <x v="244"/>
    <x v="487"/>
    <x v="2"/>
    <x v="8"/>
    <x v="1"/>
    <x v="0"/>
    <x v="29"/>
    <x v="2"/>
    <x v="508"/>
    <x v="0"/>
    <n v="69.62"/>
    <n v="8.7200000000000006"/>
    <x v="511"/>
    <x v="1"/>
    <n v="2023"/>
    <x v="9"/>
    <n v="69.62"/>
    <n v="0.32476299913817902"/>
    <x v="1"/>
    <x v="0"/>
  </r>
  <r>
    <x v="518"/>
    <x v="245"/>
    <x v="488"/>
    <x v="0"/>
    <x v="19"/>
    <x v="1"/>
    <x v="3"/>
    <x v="24"/>
    <x v="3"/>
    <x v="509"/>
    <x v="4"/>
    <n v="59.2"/>
    <n v="9.2799999999999994"/>
    <x v="512"/>
    <x v="2"/>
    <n v="2023"/>
    <x v="9"/>
    <n v="56.24"/>
    <n v="0.33357041251778102"/>
    <x v="1"/>
    <x v="0"/>
  </r>
  <r>
    <x v="519"/>
    <x v="245"/>
    <x v="489"/>
    <x v="0"/>
    <x v="15"/>
    <x v="2"/>
    <x v="1"/>
    <x v="2"/>
    <x v="0"/>
    <x v="510"/>
    <x v="6"/>
    <n v="21.26"/>
    <n v="14.95"/>
    <x v="513"/>
    <x v="2"/>
    <n v="2023"/>
    <x v="9"/>
    <n v="15.945"/>
    <n v="-0.40451552210724401"/>
    <x v="1"/>
    <x v="1"/>
  </r>
  <r>
    <x v="520"/>
    <x v="245"/>
    <x v="490"/>
    <x v="0"/>
    <x v="3"/>
    <x v="1"/>
    <x v="3"/>
    <x v="26"/>
    <x v="2"/>
    <x v="147"/>
    <x v="0"/>
    <n v="68.44"/>
    <n v="9.61"/>
    <x v="514"/>
    <x v="3"/>
    <n v="2023"/>
    <x v="9"/>
    <n v="68.44"/>
    <n v="0.35958503798947999"/>
    <x v="1"/>
    <x v="0"/>
  </r>
  <r>
    <x v="521"/>
    <x v="246"/>
    <x v="491"/>
    <x v="0"/>
    <x v="15"/>
    <x v="2"/>
    <x v="0"/>
    <x v="1"/>
    <x v="1"/>
    <x v="511"/>
    <x v="6"/>
    <n v="196.92"/>
    <n v="19.34"/>
    <x v="515"/>
    <x v="0"/>
    <n v="2023"/>
    <x v="9"/>
    <n v="147.69"/>
    <n v="0.22459205091746201"/>
    <x v="0"/>
    <x v="0"/>
  </r>
  <r>
    <x v="522"/>
    <x v="246"/>
    <x v="492"/>
    <x v="2"/>
    <x v="6"/>
    <x v="2"/>
    <x v="3"/>
    <x v="27"/>
    <x v="0"/>
    <x v="512"/>
    <x v="0"/>
    <n v="115.26"/>
    <n v="18.100000000000001"/>
    <x v="516"/>
    <x v="1"/>
    <n v="2023"/>
    <x v="9"/>
    <n v="115.26"/>
    <n v="0.34296373416623299"/>
    <x v="0"/>
    <x v="0"/>
  </r>
  <r>
    <x v="523"/>
    <x v="246"/>
    <x v="117"/>
    <x v="1"/>
    <x v="16"/>
    <x v="3"/>
    <x v="0"/>
    <x v="18"/>
    <x v="3"/>
    <x v="513"/>
    <x v="2"/>
    <n v="39.29"/>
    <n v="10.54"/>
    <x v="517"/>
    <x v="1"/>
    <n v="2023"/>
    <x v="9"/>
    <n v="33.396500000000003"/>
    <n v="9.9711047564864597E-2"/>
    <x v="1"/>
    <x v="0"/>
  </r>
  <r>
    <x v="524"/>
    <x v="247"/>
    <x v="493"/>
    <x v="1"/>
    <x v="4"/>
    <x v="2"/>
    <x v="0"/>
    <x v="1"/>
    <x v="0"/>
    <x v="514"/>
    <x v="3"/>
    <n v="396.49"/>
    <n v="15.07"/>
    <x v="518"/>
    <x v="2"/>
    <n v="2023"/>
    <x v="9"/>
    <n v="356.84100000000001"/>
    <n v="0.38986551433271399"/>
    <x v="0"/>
    <x v="0"/>
  </r>
  <r>
    <x v="525"/>
    <x v="247"/>
    <x v="494"/>
    <x v="0"/>
    <x v="5"/>
    <x v="3"/>
    <x v="0"/>
    <x v="29"/>
    <x v="1"/>
    <x v="515"/>
    <x v="3"/>
    <n v="55.22"/>
    <n v="16.78"/>
    <x v="519"/>
    <x v="2"/>
    <n v="2023"/>
    <x v="9"/>
    <n v="49.698"/>
    <n v="9.4369994768401105E-2"/>
    <x v="1"/>
    <x v="0"/>
  </r>
  <r>
    <x v="526"/>
    <x v="247"/>
    <x v="495"/>
    <x v="0"/>
    <x v="1"/>
    <x v="1"/>
    <x v="1"/>
    <x v="12"/>
    <x v="2"/>
    <x v="516"/>
    <x v="6"/>
    <n v="33.200000000000003"/>
    <n v="8.4600000000000009"/>
    <x v="520"/>
    <x v="1"/>
    <n v="2023"/>
    <x v="9"/>
    <n v="24.9"/>
    <n v="0.19357429718875499"/>
    <x v="1"/>
    <x v="0"/>
  </r>
  <r>
    <x v="527"/>
    <x v="247"/>
    <x v="496"/>
    <x v="0"/>
    <x v="3"/>
    <x v="1"/>
    <x v="0"/>
    <x v="31"/>
    <x v="5"/>
    <x v="517"/>
    <x v="1"/>
    <n v="272.60000000000002"/>
    <n v="12.18"/>
    <x v="521"/>
    <x v="1"/>
    <n v="2023"/>
    <x v="9"/>
    <n v="218.08"/>
    <n v="0.334785399853265"/>
    <x v="0"/>
    <x v="0"/>
  </r>
  <r>
    <x v="528"/>
    <x v="247"/>
    <x v="350"/>
    <x v="0"/>
    <x v="0"/>
    <x v="0"/>
    <x v="2"/>
    <x v="8"/>
    <x v="3"/>
    <x v="518"/>
    <x v="1"/>
    <n v="103.39"/>
    <n v="5.96"/>
    <x v="522"/>
    <x v="1"/>
    <n v="2023"/>
    <x v="9"/>
    <n v="82.712000000000003"/>
    <n v="0.24047296643776001"/>
    <x v="0"/>
    <x v="0"/>
  </r>
  <r>
    <x v="529"/>
    <x v="247"/>
    <x v="497"/>
    <x v="0"/>
    <x v="9"/>
    <x v="3"/>
    <x v="3"/>
    <x v="11"/>
    <x v="3"/>
    <x v="519"/>
    <x v="1"/>
    <n v="66.02"/>
    <n v="9.64"/>
    <x v="523"/>
    <x v="0"/>
    <n v="2023"/>
    <x v="9"/>
    <n v="52.816000000000003"/>
    <n v="0.28627688579218402"/>
    <x v="1"/>
    <x v="0"/>
  </r>
  <r>
    <x v="530"/>
    <x v="248"/>
    <x v="498"/>
    <x v="0"/>
    <x v="9"/>
    <x v="3"/>
    <x v="2"/>
    <x v="8"/>
    <x v="5"/>
    <x v="520"/>
    <x v="1"/>
    <n v="511.92"/>
    <n v="13.19"/>
    <x v="524"/>
    <x v="1"/>
    <n v="2023"/>
    <x v="9"/>
    <n v="409.536"/>
    <n v="0.28029281919049898"/>
    <x v="2"/>
    <x v="0"/>
  </r>
  <r>
    <x v="531"/>
    <x v="249"/>
    <x v="77"/>
    <x v="2"/>
    <x v="19"/>
    <x v="1"/>
    <x v="0"/>
    <x v="7"/>
    <x v="10"/>
    <x v="521"/>
    <x v="3"/>
    <n v="271.19"/>
    <n v="12.56"/>
    <x v="525"/>
    <x v="0"/>
    <n v="2023"/>
    <x v="9"/>
    <n v="244.071"/>
    <n v="0.38062694871574299"/>
    <x v="0"/>
    <x v="0"/>
  </r>
  <r>
    <x v="532"/>
    <x v="249"/>
    <x v="309"/>
    <x v="1"/>
    <x v="13"/>
    <x v="0"/>
    <x v="1"/>
    <x v="6"/>
    <x v="3"/>
    <x v="522"/>
    <x v="0"/>
    <n v="20.53"/>
    <n v="6.24"/>
    <x v="526"/>
    <x v="1"/>
    <n v="2023"/>
    <x v="9"/>
    <n v="20.53"/>
    <n v="0.24598149050170501"/>
    <x v="1"/>
    <x v="0"/>
  </r>
  <r>
    <x v="533"/>
    <x v="250"/>
    <x v="496"/>
    <x v="0"/>
    <x v="12"/>
    <x v="4"/>
    <x v="2"/>
    <x v="39"/>
    <x v="6"/>
    <x v="523"/>
    <x v="2"/>
    <n v="903.92"/>
    <n v="23.57"/>
    <x v="527"/>
    <x v="1"/>
    <n v="2023"/>
    <x v="9"/>
    <n v="768.33199999999999"/>
    <n v="0.31534544962333999"/>
    <x v="2"/>
    <x v="0"/>
  </r>
  <r>
    <x v="534"/>
    <x v="250"/>
    <x v="34"/>
    <x v="1"/>
    <x v="9"/>
    <x v="3"/>
    <x v="0"/>
    <x v="22"/>
    <x v="0"/>
    <x v="524"/>
    <x v="3"/>
    <n v="294.19"/>
    <n v="14.91"/>
    <x v="528"/>
    <x v="2"/>
    <n v="2023"/>
    <x v="9"/>
    <n v="264.77100000000002"/>
    <n v="0.37579644296392001"/>
    <x v="0"/>
    <x v="0"/>
  </r>
  <r>
    <x v="535"/>
    <x v="250"/>
    <x v="499"/>
    <x v="0"/>
    <x v="12"/>
    <x v="4"/>
    <x v="1"/>
    <x v="2"/>
    <x v="6"/>
    <x v="525"/>
    <x v="3"/>
    <n v="69.87"/>
    <n v="22.14"/>
    <x v="529"/>
    <x v="1"/>
    <n v="2023"/>
    <x v="9"/>
    <n v="62.883000000000003"/>
    <n v="0.20355262948650699"/>
    <x v="1"/>
    <x v="0"/>
  </r>
  <r>
    <x v="536"/>
    <x v="251"/>
    <x v="465"/>
    <x v="1"/>
    <x v="2"/>
    <x v="0"/>
    <x v="3"/>
    <x v="16"/>
    <x v="1"/>
    <x v="526"/>
    <x v="4"/>
    <n v="129.12"/>
    <n v="14.26"/>
    <x v="530"/>
    <x v="1"/>
    <n v="2023"/>
    <x v="9"/>
    <n v="122.664"/>
    <n v="0.38234526837539901"/>
    <x v="0"/>
    <x v="0"/>
  </r>
  <r>
    <x v="537"/>
    <x v="251"/>
    <x v="500"/>
    <x v="2"/>
    <x v="5"/>
    <x v="3"/>
    <x v="0"/>
    <x v="35"/>
    <x v="11"/>
    <x v="527"/>
    <x v="0"/>
    <n v="581.9"/>
    <n v="17.52"/>
    <x v="531"/>
    <x v="3"/>
    <n v="2023"/>
    <x v="9"/>
    <n v="581.9"/>
    <n v="0.41988314143323602"/>
    <x v="2"/>
    <x v="0"/>
  </r>
  <r>
    <x v="538"/>
    <x v="251"/>
    <x v="501"/>
    <x v="0"/>
    <x v="13"/>
    <x v="0"/>
    <x v="0"/>
    <x v="29"/>
    <x v="2"/>
    <x v="528"/>
    <x v="0"/>
    <n v="66.400000000000006"/>
    <n v="8.8800000000000008"/>
    <x v="532"/>
    <x v="2"/>
    <n v="2023"/>
    <x v="9"/>
    <n v="66.400000000000006"/>
    <n v="0.31626506024096401"/>
    <x v="1"/>
    <x v="0"/>
  </r>
  <r>
    <x v="539"/>
    <x v="252"/>
    <x v="502"/>
    <x v="1"/>
    <x v="7"/>
    <x v="4"/>
    <x v="1"/>
    <x v="12"/>
    <x v="5"/>
    <x v="529"/>
    <x v="2"/>
    <n v="79.73"/>
    <n v="18.239999999999998"/>
    <x v="533"/>
    <x v="0"/>
    <n v="2023"/>
    <x v="9"/>
    <n v="67.770499999999998"/>
    <n v="0.28448956404335202"/>
    <x v="1"/>
    <x v="0"/>
  </r>
  <r>
    <x v="540"/>
    <x v="253"/>
    <x v="503"/>
    <x v="2"/>
    <x v="10"/>
    <x v="3"/>
    <x v="2"/>
    <x v="39"/>
    <x v="2"/>
    <x v="530"/>
    <x v="2"/>
    <n v="193.72"/>
    <n v="13.41"/>
    <x v="534"/>
    <x v="1"/>
    <n v="2023"/>
    <x v="9"/>
    <n v="164.66200000000001"/>
    <n v="0.26460264056066402"/>
    <x v="0"/>
    <x v="0"/>
  </r>
  <r>
    <x v="541"/>
    <x v="253"/>
    <x v="504"/>
    <x v="0"/>
    <x v="3"/>
    <x v="1"/>
    <x v="0"/>
    <x v="22"/>
    <x v="2"/>
    <x v="531"/>
    <x v="4"/>
    <n v="154.26"/>
    <n v="10.33"/>
    <x v="163"/>
    <x v="2"/>
    <n v="2023"/>
    <x v="9"/>
    <n v="146.547"/>
    <n v="0.37271319098992101"/>
    <x v="0"/>
    <x v="0"/>
  </r>
  <r>
    <x v="542"/>
    <x v="254"/>
    <x v="505"/>
    <x v="0"/>
    <x v="14"/>
    <x v="1"/>
    <x v="1"/>
    <x v="38"/>
    <x v="3"/>
    <x v="532"/>
    <x v="2"/>
    <n v="11.38"/>
    <n v="7.96"/>
    <x v="535"/>
    <x v="1"/>
    <n v="2023"/>
    <x v="9"/>
    <n v="9.673"/>
    <n v="-0.26982321927013297"/>
    <x v="1"/>
    <x v="1"/>
  </r>
  <r>
    <x v="543"/>
    <x v="255"/>
    <x v="506"/>
    <x v="1"/>
    <x v="18"/>
    <x v="4"/>
    <x v="2"/>
    <x v="36"/>
    <x v="5"/>
    <x v="533"/>
    <x v="6"/>
    <n v="689.29"/>
    <n v="20.65"/>
    <x v="536"/>
    <x v="1"/>
    <n v="2023"/>
    <x v="9"/>
    <n v="516.96749999999997"/>
    <n v="0.22672605144423999"/>
    <x v="2"/>
    <x v="0"/>
  </r>
  <r>
    <x v="544"/>
    <x v="255"/>
    <x v="507"/>
    <x v="2"/>
    <x v="13"/>
    <x v="0"/>
    <x v="0"/>
    <x v="18"/>
    <x v="7"/>
    <x v="534"/>
    <x v="3"/>
    <n v="419.54"/>
    <n v="24.05"/>
    <x v="537"/>
    <x v="2"/>
    <n v="2023"/>
    <x v="9"/>
    <n v="377.58600000000001"/>
    <n v="0.36839289592304802"/>
    <x v="0"/>
    <x v="0"/>
  </r>
  <r>
    <x v="545"/>
    <x v="256"/>
    <x v="455"/>
    <x v="2"/>
    <x v="16"/>
    <x v="3"/>
    <x v="1"/>
    <x v="38"/>
    <x v="3"/>
    <x v="535"/>
    <x v="4"/>
    <n v="7.02"/>
    <n v="9.58"/>
    <x v="538"/>
    <x v="2"/>
    <n v="2023"/>
    <x v="9"/>
    <n v="6.6689999999999996"/>
    <n v="-0.88319088319088301"/>
    <x v="1"/>
    <x v="1"/>
  </r>
  <r>
    <x v="546"/>
    <x v="257"/>
    <x v="508"/>
    <x v="0"/>
    <x v="5"/>
    <x v="3"/>
    <x v="0"/>
    <x v="28"/>
    <x v="2"/>
    <x v="536"/>
    <x v="4"/>
    <n v="72.31"/>
    <n v="10.58"/>
    <x v="539"/>
    <x v="1"/>
    <n v="2023"/>
    <x v="10"/>
    <n v="68.694500000000005"/>
    <n v="0.28910611475445602"/>
    <x v="1"/>
    <x v="0"/>
  </r>
  <r>
    <x v="547"/>
    <x v="257"/>
    <x v="509"/>
    <x v="2"/>
    <x v="4"/>
    <x v="2"/>
    <x v="0"/>
    <x v="29"/>
    <x v="3"/>
    <x v="537"/>
    <x v="0"/>
    <n v="17.559999999999999"/>
    <n v="13.21"/>
    <x v="540"/>
    <x v="1"/>
    <n v="2023"/>
    <x v="10"/>
    <n v="17.559999999999999"/>
    <n v="-0.30239179954441903"/>
    <x v="1"/>
    <x v="1"/>
  </r>
  <r>
    <x v="548"/>
    <x v="257"/>
    <x v="510"/>
    <x v="1"/>
    <x v="8"/>
    <x v="1"/>
    <x v="0"/>
    <x v="22"/>
    <x v="0"/>
    <x v="538"/>
    <x v="3"/>
    <n v="393.47"/>
    <n v="9.99"/>
    <x v="541"/>
    <x v="3"/>
    <n v="2023"/>
    <x v="10"/>
    <n v="354.12299999999999"/>
    <n v="0.40389921016144098"/>
    <x v="0"/>
    <x v="0"/>
  </r>
  <r>
    <x v="549"/>
    <x v="258"/>
    <x v="511"/>
    <x v="0"/>
    <x v="5"/>
    <x v="3"/>
    <x v="3"/>
    <x v="24"/>
    <x v="3"/>
    <x v="539"/>
    <x v="3"/>
    <n v="27.49"/>
    <n v="10.33"/>
    <x v="542"/>
    <x v="2"/>
    <n v="2023"/>
    <x v="10"/>
    <n v="24.741"/>
    <n v="7.6391415060021797E-2"/>
    <x v="1"/>
    <x v="0"/>
  </r>
  <r>
    <x v="550"/>
    <x v="258"/>
    <x v="512"/>
    <x v="1"/>
    <x v="19"/>
    <x v="1"/>
    <x v="0"/>
    <x v="3"/>
    <x v="0"/>
    <x v="540"/>
    <x v="0"/>
    <n v="120.63"/>
    <n v="11.66"/>
    <x v="543"/>
    <x v="3"/>
    <n v="2023"/>
    <x v="10"/>
    <n v="120.63"/>
    <n v="0.35331177982259798"/>
    <x v="0"/>
    <x v="0"/>
  </r>
  <r>
    <x v="551"/>
    <x v="258"/>
    <x v="513"/>
    <x v="2"/>
    <x v="10"/>
    <x v="3"/>
    <x v="2"/>
    <x v="15"/>
    <x v="4"/>
    <x v="541"/>
    <x v="1"/>
    <n v="1449.74"/>
    <n v="13.81"/>
    <x v="544"/>
    <x v="0"/>
    <n v="2023"/>
    <x v="10"/>
    <n v="1159.7919999999999"/>
    <n v="0.30058838136493399"/>
    <x v="2"/>
    <x v="0"/>
  </r>
  <r>
    <x v="552"/>
    <x v="258"/>
    <x v="514"/>
    <x v="1"/>
    <x v="17"/>
    <x v="3"/>
    <x v="0"/>
    <x v="29"/>
    <x v="2"/>
    <x v="542"/>
    <x v="4"/>
    <n v="66.12"/>
    <n v="10.050000000000001"/>
    <x v="545"/>
    <x v="0"/>
    <n v="2023"/>
    <x v="10"/>
    <n v="62.814"/>
    <n v="0.283217117203171"/>
    <x v="1"/>
    <x v="0"/>
  </r>
  <r>
    <x v="553"/>
    <x v="258"/>
    <x v="515"/>
    <x v="1"/>
    <x v="15"/>
    <x v="2"/>
    <x v="1"/>
    <x v="2"/>
    <x v="4"/>
    <x v="543"/>
    <x v="4"/>
    <n v="85.33"/>
    <n v="22.3"/>
    <x v="511"/>
    <x v="2"/>
    <n v="2023"/>
    <x v="10"/>
    <n v="81.063500000000005"/>
    <n v="0.27891714520098398"/>
    <x v="1"/>
    <x v="0"/>
  </r>
  <r>
    <x v="554"/>
    <x v="259"/>
    <x v="516"/>
    <x v="1"/>
    <x v="12"/>
    <x v="4"/>
    <x v="0"/>
    <x v="3"/>
    <x v="3"/>
    <x v="544"/>
    <x v="0"/>
    <n v="83.28"/>
    <n v="12.13"/>
    <x v="546"/>
    <x v="1"/>
    <n v="2023"/>
    <x v="10"/>
    <n v="83.28"/>
    <n v="0.30439481268011498"/>
    <x v="1"/>
    <x v="0"/>
  </r>
  <r>
    <x v="555"/>
    <x v="259"/>
    <x v="517"/>
    <x v="1"/>
    <x v="19"/>
    <x v="1"/>
    <x v="0"/>
    <x v="31"/>
    <x v="6"/>
    <x v="545"/>
    <x v="4"/>
    <n v="634.80999999999995"/>
    <n v="20.14"/>
    <x v="547"/>
    <x v="0"/>
    <n v="2023"/>
    <x v="10"/>
    <n v="603.06949999999995"/>
    <n v="0.40982009536214298"/>
    <x v="2"/>
    <x v="0"/>
  </r>
  <r>
    <x v="556"/>
    <x v="260"/>
    <x v="518"/>
    <x v="1"/>
    <x v="14"/>
    <x v="1"/>
    <x v="1"/>
    <x v="10"/>
    <x v="2"/>
    <x v="546"/>
    <x v="2"/>
    <n v="15.15"/>
    <n v="11.64"/>
    <x v="548"/>
    <x v="2"/>
    <n v="2023"/>
    <x v="10"/>
    <n v="12.8775"/>
    <n v="-0.35022325761987999"/>
    <x v="1"/>
    <x v="1"/>
  </r>
  <r>
    <x v="557"/>
    <x v="261"/>
    <x v="228"/>
    <x v="1"/>
    <x v="7"/>
    <x v="4"/>
    <x v="3"/>
    <x v="9"/>
    <x v="0"/>
    <x v="547"/>
    <x v="0"/>
    <n v="194.25"/>
    <n v="14.63"/>
    <x v="549"/>
    <x v="1"/>
    <n v="2023"/>
    <x v="10"/>
    <n v="194.25"/>
    <n v="0.42471042471042503"/>
    <x v="0"/>
    <x v="0"/>
  </r>
  <r>
    <x v="558"/>
    <x v="261"/>
    <x v="519"/>
    <x v="0"/>
    <x v="5"/>
    <x v="3"/>
    <x v="2"/>
    <x v="8"/>
    <x v="1"/>
    <x v="548"/>
    <x v="2"/>
    <n v="433.33"/>
    <n v="12.43"/>
    <x v="550"/>
    <x v="1"/>
    <n v="2023"/>
    <x v="10"/>
    <n v="368.33049999999997"/>
    <n v="0.31227389531955702"/>
    <x v="0"/>
    <x v="0"/>
  </r>
  <r>
    <x v="559"/>
    <x v="262"/>
    <x v="520"/>
    <x v="0"/>
    <x v="14"/>
    <x v="1"/>
    <x v="2"/>
    <x v="8"/>
    <x v="1"/>
    <x v="549"/>
    <x v="2"/>
    <n v="239.84"/>
    <n v="11.23"/>
    <x v="551"/>
    <x v="3"/>
    <n v="2023"/>
    <x v="10"/>
    <n v="203.864"/>
    <n v="0.29092924694894601"/>
    <x v="0"/>
    <x v="0"/>
  </r>
  <r>
    <x v="560"/>
    <x v="262"/>
    <x v="521"/>
    <x v="2"/>
    <x v="9"/>
    <x v="3"/>
    <x v="1"/>
    <x v="17"/>
    <x v="6"/>
    <x v="550"/>
    <x v="4"/>
    <n v="61.65"/>
    <n v="19.21"/>
    <x v="552"/>
    <x v="1"/>
    <n v="2023"/>
    <x v="10"/>
    <n v="58.567500000000003"/>
    <n v="0.22606394331327101"/>
    <x v="1"/>
    <x v="0"/>
  </r>
  <r>
    <x v="561"/>
    <x v="263"/>
    <x v="522"/>
    <x v="1"/>
    <x v="0"/>
    <x v="0"/>
    <x v="0"/>
    <x v="35"/>
    <x v="0"/>
    <x v="551"/>
    <x v="0"/>
    <n v="160.41"/>
    <n v="10.7"/>
    <x v="553"/>
    <x v="3"/>
    <n v="2023"/>
    <x v="10"/>
    <n v="160.41"/>
    <n v="0.38326787606757701"/>
    <x v="0"/>
    <x v="0"/>
  </r>
  <r>
    <x v="562"/>
    <x v="263"/>
    <x v="523"/>
    <x v="1"/>
    <x v="5"/>
    <x v="3"/>
    <x v="2"/>
    <x v="5"/>
    <x v="3"/>
    <x v="552"/>
    <x v="2"/>
    <n v="80.23"/>
    <n v="11.03"/>
    <x v="554"/>
    <x v="2"/>
    <n v="2023"/>
    <x v="10"/>
    <n v="68.195499999999996"/>
    <n v="0.18432301251548899"/>
    <x v="1"/>
    <x v="0"/>
  </r>
  <r>
    <x v="563"/>
    <x v="264"/>
    <x v="524"/>
    <x v="1"/>
    <x v="0"/>
    <x v="0"/>
    <x v="0"/>
    <x v="31"/>
    <x v="3"/>
    <x v="553"/>
    <x v="4"/>
    <n v="177.94"/>
    <n v="6.98"/>
    <x v="555"/>
    <x v="1"/>
    <n v="2023"/>
    <x v="10"/>
    <n v="169.04300000000001"/>
    <n v="0.40190957330383398"/>
    <x v="0"/>
    <x v="0"/>
  </r>
  <r>
    <x v="564"/>
    <x v="265"/>
    <x v="525"/>
    <x v="1"/>
    <x v="13"/>
    <x v="0"/>
    <x v="2"/>
    <x v="5"/>
    <x v="2"/>
    <x v="554"/>
    <x v="0"/>
    <n v="327.10000000000002"/>
    <n v="6.02"/>
    <x v="556"/>
    <x v="1"/>
    <n v="2023"/>
    <x v="10"/>
    <n v="327.10000000000002"/>
    <n v="0.38159584225007598"/>
    <x v="0"/>
    <x v="0"/>
  </r>
  <r>
    <x v="565"/>
    <x v="265"/>
    <x v="372"/>
    <x v="1"/>
    <x v="17"/>
    <x v="3"/>
    <x v="3"/>
    <x v="30"/>
    <x v="3"/>
    <x v="555"/>
    <x v="0"/>
    <n v="22.15"/>
    <n v="10.89"/>
    <x v="557"/>
    <x v="3"/>
    <n v="2023"/>
    <x v="10"/>
    <n v="22.15"/>
    <n v="8.1264108352144503E-3"/>
    <x v="1"/>
    <x v="0"/>
  </r>
  <r>
    <x v="566"/>
    <x v="266"/>
    <x v="526"/>
    <x v="0"/>
    <x v="16"/>
    <x v="3"/>
    <x v="0"/>
    <x v="35"/>
    <x v="3"/>
    <x v="556"/>
    <x v="3"/>
    <n v="34"/>
    <n v="10.66"/>
    <x v="558"/>
    <x v="1"/>
    <n v="2023"/>
    <x v="10"/>
    <n v="30.6"/>
    <n v="8.3660130718954201E-2"/>
    <x v="1"/>
    <x v="0"/>
  </r>
  <r>
    <x v="567"/>
    <x v="266"/>
    <x v="527"/>
    <x v="0"/>
    <x v="14"/>
    <x v="1"/>
    <x v="2"/>
    <x v="32"/>
    <x v="7"/>
    <x v="60"/>
    <x v="1"/>
    <n v="413.12"/>
    <n v="20.98"/>
    <x v="559"/>
    <x v="1"/>
    <n v="2023"/>
    <x v="10"/>
    <n v="330.49599999999998"/>
    <n v="0.24901965530596401"/>
    <x v="0"/>
    <x v="0"/>
  </r>
  <r>
    <x v="568"/>
    <x v="267"/>
    <x v="528"/>
    <x v="0"/>
    <x v="1"/>
    <x v="1"/>
    <x v="2"/>
    <x v="4"/>
    <x v="0"/>
    <x v="557"/>
    <x v="2"/>
    <n v="413.56"/>
    <n v="10.53"/>
    <x v="560"/>
    <x v="0"/>
    <n v="2023"/>
    <x v="10"/>
    <n v="351.52600000000001"/>
    <n v="0.31607903825037098"/>
    <x v="0"/>
    <x v="0"/>
  </r>
  <r>
    <x v="569"/>
    <x v="268"/>
    <x v="529"/>
    <x v="0"/>
    <x v="13"/>
    <x v="0"/>
    <x v="0"/>
    <x v="18"/>
    <x v="3"/>
    <x v="558"/>
    <x v="4"/>
    <n v="38.450000000000003"/>
    <n v="6.75"/>
    <x v="561"/>
    <x v="1"/>
    <n v="2023"/>
    <x v="10"/>
    <n v="36.527500000000003"/>
    <n v="0.25843542536445102"/>
    <x v="1"/>
    <x v="0"/>
  </r>
  <r>
    <x v="570"/>
    <x v="268"/>
    <x v="530"/>
    <x v="1"/>
    <x v="12"/>
    <x v="4"/>
    <x v="1"/>
    <x v="6"/>
    <x v="2"/>
    <x v="559"/>
    <x v="2"/>
    <n v="18.14"/>
    <n v="14.02"/>
    <x v="562"/>
    <x v="1"/>
    <n v="2023"/>
    <x v="10"/>
    <n v="15.419"/>
    <n v="-0.35540566833128001"/>
    <x v="1"/>
    <x v="1"/>
  </r>
  <r>
    <x v="571"/>
    <x v="269"/>
    <x v="375"/>
    <x v="1"/>
    <x v="13"/>
    <x v="0"/>
    <x v="1"/>
    <x v="38"/>
    <x v="0"/>
    <x v="560"/>
    <x v="2"/>
    <n v="29.63"/>
    <n v="7.43"/>
    <x v="563"/>
    <x v="1"/>
    <n v="2023"/>
    <x v="10"/>
    <n v="25.185500000000001"/>
    <n v="0.25848206309185801"/>
    <x v="1"/>
    <x v="0"/>
  </r>
  <r>
    <x v="572"/>
    <x v="269"/>
    <x v="531"/>
    <x v="0"/>
    <x v="10"/>
    <x v="3"/>
    <x v="0"/>
    <x v="7"/>
    <x v="11"/>
    <x v="561"/>
    <x v="0"/>
    <n v="590.48"/>
    <n v="19.16"/>
    <x v="564"/>
    <x v="2"/>
    <n v="2023"/>
    <x v="10"/>
    <n v="590.48"/>
    <n v="0.417558596396152"/>
    <x v="2"/>
    <x v="0"/>
  </r>
  <r>
    <x v="573"/>
    <x v="270"/>
    <x v="532"/>
    <x v="0"/>
    <x v="13"/>
    <x v="0"/>
    <x v="1"/>
    <x v="17"/>
    <x v="6"/>
    <x v="562"/>
    <x v="4"/>
    <n v="49.54"/>
    <n v="14.62"/>
    <x v="565"/>
    <x v="2"/>
    <n v="2023"/>
    <x v="10"/>
    <n v="47.063000000000002"/>
    <n v="0.24329090793192101"/>
    <x v="1"/>
    <x v="0"/>
  </r>
  <r>
    <x v="574"/>
    <x v="271"/>
    <x v="533"/>
    <x v="1"/>
    <x v="5"/>
    <x v="3"/>
    <x v="1"/>
    <x v="20"/>
    <x v="0"/>
    <x v="563"/>
    <x v="4"/>
    <n v="30.1"/>
    <n v="14.07"/>
    <x v="566"/>
    <x v="2"/>
    <n v="2023"/>
    <x v="10"/>
    <n v="28.594999999999999"/>
    <n v="6.1898933379961503E-2"/>
    <x v="1"/>
    <x v="0"/>
  </r>
  <r>
    <x v="575"/>
    <x v="271"/>
    <x v="534"/>
    <x v="1"/>
    <x v="7"/>
    <x v="4"/>
    <x v="0"/>
    <x v="29"/>
    <x v="2"/>
    <x v="564"/>
    <x v="0"/>
    <n v="107.24"/>
    <n v="11.75"/>
    <x v="567"/>
    <x v="3"/>
    <n v="2023"/>
    <x v="10"/>
    <n v="107.24"/>
    <n v="0.340451324132786"/>
    <x v="0"/>
    <x v="0"/>
  </r>
  <r>
    <x v="576"/>
    <x v="272"/>
    <x v="535"/>
    <x v="1"/>
    <x v="12"/>
    <x v="4"/>
    <x v="1"/>
    <x v="6"/>
    <x v="0"/>
    <x v="565"/>
    <x v="0"/>
    <n v="61.98"/>
    <n v="14.39"/>
    <x v="568"/>
    <x v="1"/>
    <n v="2023"/>
    <x v="10"/>
    <n v="61.98"/>
    <n v="0.31784446595676003"/>
    <x v="1"/>
    <x v="0"/>
  </r>
  <r>
    <x v="577"/>
    <x v="272"/>
    <x v="536"/>
    <x v="0"/>
    <x v="9"/>
    <x v="3"/>
    <x v="1"/>
    <x v="20"/>
    <x v="3"/>
    <x v="566"/>
    <x v="3"/>
    <n v="16.66"/>
    <n v="11.16"/>
    <x v="569"/>
    <x v="2"/>
    <n v="2023"/>
    <x v="10"/>
    <n v="14.994"/>
    <n v="-0.18874216353208001"/>
    <x v="1"/>
    <x v="1"/>
  </r>
  <r>
    <x v="578"/>
    <x v="273"/>
    <x v="537"/>
    <x v="0"/>
    <x v="0"/>
    <x v="0"/>
    <x v="2"/>
    <x v="15"/>
    <x v="3"/>
    <x v="567"/>
    <x v="4"/>
    <n v="199.48"/>
    <n v="7.19"/>
    <x v="570"/>
    <x v="2"/>
    <n v="2023"/>
    <x v="10"/>
    <n v="189.506"/>
    <n v="0.34985699661224401"/>
    <x v="0"/>
    <x v="0"/>
  </r>
  <r>
    <x v="579"/>
    <x v="274"/>
    <x v="538"/>
    <x v="1"/>
    <x v="19"/>
    <x v="1"/>
    <x v="3"/>
    <x v="16"/>
    <x v="3"/>
    <x v="568"/>
    <x v="4"/>
    <n v="14.93"/>
    <n v="8.51"/>
    <x v="347"/>
    <x v="2"/>
    <n v="2023"/>
    <x v="10"/>
    <n v="14.1835"/>
    <n v="-0.101526421546163"/>
    <x v="1"/>
    <x v="1"/>
  </r>
  <r>
    <x v="580"/>
    <x v="275"/>
    <x v="539"/>
    <x v="2"/>
    <x v="3"/>
    <x v="1"/>
    <x v="0"/>
    <x v="35"/>
    <x v="2"/>
    <x v="569"/>
    <x v="4"/>
    <n v="55.27"/>
    <n v="9.82"/>
    <x v="571"/>
    <x v="1"/>
    <n v="2023"/>
    <x v="10"/>
    <n v="52.506500000000003"/>
    <n v="0.25615876129622001"/>
    <x v="1"/>
    <x v="0"/>
  </r>
  <r>
    <x v="581"/>
    <x v="275"/>
    <x v="540"/>
    <x v="0"/>
    <x v="2"/>
    <x v="0"/>
    <x v="0"/>
    <x v="28"/>
    <x v="4"/>
    <x v="570"/>
    <x v="3"/>
    <n v="217.19"/>
    <n v="13.45"/>
    <x v="572"/>
    <x v="3"/>
    <n v="2023"/>
    <x v="10"/>
    <n v="195.471"/>
    <n v="0.36327639394078898"/>
    <x v="0"/>
    <x v="0"/>
  </r>
  <r>
    <x v="582"/>
    <x v="275"/>
    <x v="541"/>
    <x v="1"/>
    <x v="8"/>
    <x v="1"/>
    <x v="1"/>
    <x v="12"/>
    <x v="2"/>
    <x v="571"/>
    <x v="3"/>
    <n v="16.43"/>
    <n v="10.19"/>
    <x v="573"/>
    <x v="1"/>
    <n v="2023"/>
    <x v="10"/>
    <n v="14.787000000000001"/>
    <n v="-0.13390139987827099"/>
    <x v="1"/>
    <x v="1"/>
  </r>
  <r>
    <x v="583"/>
    <x v="275"/>
    <x v="542"/>
    <x v="0"/>
    <x v="3"/>
    <x v="1"/>
    <x v="1"/>
    <x v="20"/>
    <x v="3"/>
    <x v="572"/>
    <x v="3"/>
    <n v="13.75"/>
    <n v="9.42"/>
    <x v="574"/>
    <x v="3"/>
    <n v="2023"/>
    <x v="10"/>
    <n v="12.375"/>
    <n v="-0.206060606060606"/>
    <x v="1"/>
    <x v="1"/>
  </r>
  <r>
    <x v="584"/>
    <x v="276"/>
    <x v="543"/>
    <x v="1"/>
    <x v="2"/>
    <x v="0"/>
    <x v="2"/>
    <x v="8"/>
    <x v="4"/>
    <x v="573"/>
    <x v="1"/>
    <n v="435.36"/>
    <n v="10.26"/>
    <x v="575"/>
    <x v="2"/>
    <n v="2023"/>
    <x v="10"/>
    <n v="348.28800000000001"/>
    <n v="0.28304162072767403"/>
    <x v="0"/>
    <x v="0"/>
  </r>
  <r>
    <x v="585"/>
    <x v="276"/>
    <x v="544"/>
    <x v="1"/>
    <x v="7"/>
    <x v="4"/>
    <x v="0"/>
    <x v="35"/>
    <x v="5"/>
    <x v="574"/>
    <x v="0"/>
    <n v="122.35"/>
    <n v="17.010000000000002"/>
    <x v="576"/>
    <x v="1"/>
    <n v="2023"/>
    <x v="10"/>
    <n v="122.35"/>
    <n v="0.31099305271761302"/>
    <x v="0"/>
    <x v="0"/>
  </r>
  <r>
    <x v="586"/>
    <x v="277"/>
    <x v="545"/>
    <x v="1"/>
    <x v="0"/>
    <x v="0"/>
    <x v="3"/>
    <x v="27"/>
    <x v="3"/>
    <x v="575"/>
    <x v="3"/>
    <n v="41.11"/>
    <n v="5.64"/>
    <x v="577"/>
    <x v="3"/>
    <n v="2023"/>
    <x v="10"/>
    <n v="36.999000000000002"/>
    <n v="0.34136057731289998"/>
    <x v="1"/>
    <x v="0"/>
  </r>
  <r>
    <x v="587"/>
    <x v="278"/>
    <x v="546"/>
    <x v="1"/>
    <x v="5"/>
    <x v="3"/>
    <x v="1"/>
    <x v="6"/>
    <x v="2"/>
    <x v="576"/>
    <x v="0"/>
    <n v="18.28"/>
    <n v="11.84"/>
    <x v="578"/>
    <x v="3"/>
    <n v="2023"/>
    <x v="10"/>
    <n v="18.28"/>
    <n v="-9.79212253829322E-2"/>
    <x v="1"/>
    <x v="1"/>
  </r>
  <r>
    <x v="588"/>
    <x v="278"/>
    <x v="547"/>
    <x v="0"/>
    <x v="7"/>
    <x v="4"/>
    <x v="3"/>
    <x v="11"/>
    <x v="5"/>
    <x v="577"/>
    <x v="2"/>
    <n v="185.6"/>
    <n v="13.12"/>
    <x v="579"/>
    <x v="2"/>
    <n v="2023"/>
    <x v="10"/>
    <n v="157.76"/>
    <n v="0.40124239350912799"/>
    <x v="0"/>
    <x v="0"/>
  </r>
  <r>
    <x v="589"/>
    <x v="279"/>
    <x v="440"/>
    <x v="1"/>
    <x v="1"/>
    <x v="1"/>
    <x v="2"/>
    <x v="39"/>
    <x v="1"/>
    <x v="578"/>
    <x v="3"/>
    <n v="656.64"/>
    <n v="9.07"/>
    <x v="580"/>
    <x v="2"/>
    <n v="2023"/>
    <x v="10"/>
    <n v="590.976"/>
    <n v="0.355022877409573"/>
    <x v="2"/>
    <x v="0"/>
  </r>
  <r>
    <x v="590"/>
    <x v="279"/>
    <x v="525"/>
    <x v="0"/>
    <x v="17"/>
    <x v="3"/>
    <x v="1"/>
    <x v="17"/>
    <x v="0"/>
    <x v="579"/>
    <x v="3"/>
    <n v="25.49"/>
    <n v="16.13"/>
    <x v="581"/>
    <x v="1"/>
    <n v="2023"/>
    <x v="10"/>
    <n v="22.940999999999999"/>
    <n v="-0.147334466675385"/>
    <x v="1"/>
    <x v="1"/>
  </r>
  <r>
    <x v="591"/>
    <x v="280"/>
    <x v="548"/>
    <x v="1"/>
    <x v="18"/>
    <x v="4"/>
    <x v="1"/>
    <x v="6"/>
    <x v="3"/>
    <x v="580"/>
    <x v="3"/>
    <n v="7.92"/>
    <n v="11.94"/>
    <x v="582"/>
    <x v="3"/>
    <n v="2023"/>
    <x v="10"/>
    <n v="7.1280000000000001"/>
    <n v="-1.11952861952862"/>
    <x v="1"/>
    <x v="1"/>
  </r>
  <r>
    <x v="592"/>
    <x v="281"/>
    <x v="549"/>
    <x v="1"/>
    <x v="17"/>
    <x v="3"/>
    <x v="0"/>
    <x v="3"/>
    <x v="7"/>
    <x v="581"/>
    <x v="4"/>
    <n v="419.29"/>
    <n v="17.64"/>
    <x v="583"/>
    <x v="2"/>
    <n v="2023"/>
    <x v="11"/>
    <n v="398.32549999999998"/>
    <n v="0.39891997876108898"/>
    <x v="0"/>
    <x v="0"/>
  </r>
  <r>
    <x v="593"/>
    <x v="281"/>
    <x v="550"/>
    <x v="0"/>
    <x v="2"/>
    <x v="0"/>
    <x v="2"/>
    <x v="4"/>
    <x v="1"/>
    <x v="582"/>
    <x v="6"/>
    <n v="1008.57"/>
    <n v="8.15"/>
    <x v="584"/>
    <x v="1"/>
    <n v="2023"/>
    <x v="11"/>
    <n v="756.42750000000001"/>
    <n v="0.25588704799865197"/>
    <x v="2"/>
    <x v="0"/>
  </r>
  <r>
    <x v="594"/>
    <x v="282"/>
    <x v="551"/>
    <x v="0"/>
    <x v="9"/>
    <x v="3"/>
    <x v="3"/>
    <x v="27"/>
    <x v="7"/>
    <x v="583"/>
    <x v="3"/>
    <n v="352.3"/>
    <n v="27.53"/>
    <x v="585"/>
    <x v="1"/>
    <n v="2023"/>
    <x v="11"/>
    <n v="317.07"/>
    <n v="0.40700791623300803"/>
    <x v="0"/>
    <x v="0"/>
  </r>
  <r>
    <x v="595"/>
    <x v="282"/>
    <x v="552"/>
    <x v="2"/>
    <x v="13"/>
    <x v="0"/>
    <x v="2"/>
    <x v="5"/>
    <x v="4"/>
    <x v="584"/>
    <x v="1"/>
    <n v="917.09"/>
    <n v="19.84"/>
    <x v="586"/>
    <x v="1"/>
    <n v="2023"/>
    <x v="11"/>
    <n v="733.67200000000003"/>
    <n v="0.28545453554176797"/>
    <x v="2"/>
    <x v="0"/>
  </r>
  <r>
    <x v="596"/>
    <x v="283"/>
    <x v="553"/>
    <x v="0"/>
    <x v="9"/>
    <x v="3"/>
    <x v="2"/>
    <x v="36"/>
    <x v="1"/>
    <x v="585"/>
    <x v="4"/>
    <n v="427.35"/>
    <n v="18.440000000000001"/>
    <x v="587"/>
    <x v="1"/>
    <n v="2023"/>
    <x v="11"/>
    <n v="405.98250000000002"/>
    <n v="0.34240392135129"/>
    <x v="0"/>
    <x v="0"/>
  </r>
  <r>
    <x v="597"/>
    <x v="283"/>
    <x v="529"/>
    <x v="2"/>
    <x v="10"/>
    <x v="3"/>
    <x v="3"/>
    <x v="26"/>
    <x v="2"/>
    <x v="586"/>
    <x v="4"/>
    <n v="31.58"/>
    <n v="12.84"/>
    <x v="588"/>
    <x v="2"/>
    <n v="2023"/>
    <x v="11"/>
    <n v="30.001000000000001"/>
    <n v="7.0664311189627002E-2"/>
    <x v="1"/>
    <x v="0"/>
  </r>
  <r>
    <x v="598"/>
    <x v="283"/>
    <x v="554"/>
    <x v="2"/>
    <x v="8"/>
    <x v="1"/>
    <x v="2"/>
    <x v="32"/>
    <x v="1"/>
    <x v="587"/>
    <x v="4"/>
    <n v="159.63999999999999"/>
    <n v="12.21"/>
    <x v="589"/>
    <x v="2"/>
    <n v="2023"/>
    <x v="11"/>
    <n v="151.65799999999999"/>
    <n v="0.30733624338973198"/>
    <x v="0"/>
    <x v="0"/>
  </r>
  <r>
    <x v="599"/>
    <x v="283"/>
    <x v="555"/>
    <x v="1"/>
    <x v="2"/>
    <x v="0"/>
    <x v="2"/>
    <x v="32"/>
    <x v="2"/>
    <x v="588"/>
    <x v="1"/>
    <n v="70.319999999999993"/>
    <n v="6.77"/>
    <x v="590"/>
    <x v="1"/>
    <n v="2023"/>
    <x v="11"/>
    <n v="56.256"/>
    <n v="0.19215728100113799"/>
    <x v="1"/>
    <x v="0"/>
  </r>
  <r>
    <x v="600"/>
    <x v="283"/>
    <x v="556"/>
    <x v="2"/>
    <x v="13"/>
    <x v="0"/>
    <x v="2"/>
    <x v="15"/>
    <x v="5"/>
    <x v="589"/>
    <x v="0"/>
    <n v="1168.55"/>
    <n v="8.94"/>
    <x v="591"/>
    <x v="3"/>
    <n v="2023"/>
    <x v="11"/>
    <n v="1168.55"/>
    <n v="0.39234949296136201"/>
    <x v="2"/>
    <x v="0"/>
  </r>
  <r>
    <x v="601"/>
    <x v="284"/>
    <x v="557"/>
    <x v="1"/>
    <x v="9"/>
    <x v="3"/>
    <x v="2"/>
    <x v="21"/>
    <x v="2"/>
    <x v="590"/>
    <x v="0"/>
    <n v="111.88"/>
    <n v="10.95"/>
    <x v="592"/>
    <x v="3"/>
    <n v="2023"/>
    <x v="11"/>
    <n v="111.88"/>
    <n v="0.30210940293171201"/>
    <x v="0"/>
    <x v="0"/>
  </r>
  <r>
    <x v="602"/>
    <x v="285"/>
    <x v="558"/>
    <x v="1"/>
    <x v="0"/>
    <x v="0"/>
    <x v="2"/>
    <x v="14"/>
    <x v="3"/>
    <x v="591"/>
    <x v="1"/>
    <n v="210.57"/>
    <n v="6.52"/>
    <x v="593"/>
    <x v="2"/>
    <n v="2023"/>
    <x v="11"/>
    <n v="168.45599999999999"/>
    <n v="0.27378069050671999"/>
    <x v="0"/>
    <x v="0"/>
  </r>
  <r>
    <x v="603"/>
    <x v="285"/>
    <x v="559"/>
    <x v="1"/>
    <x v="9"/>
    <x v="3"/>
    <x v="2"/>
    <x v="32"/>
    <x v="2"/>
    <x v="592"/>
    <x v="0"/>
    <n v="135"/>
    <n v="13.37"/>
    <x v="594"/>
    <x v="1"/>
    <n v="2023"/>
    <x v="11"/>
    <n v="135"/>
    <n v="0.30096296296296299"/>
    <x v="0"/>
    <x v="0"/>
  </r>
  <r>
    <x v="604"/>
    <x v="285"/>
    <x v="560"/>
    <x v="1"/>
    <x v="13"/>
    <x v="0"/>
    <x v="1"/>
    <x v="6"/>
    <x v="3"/>
    <x v="593"/>
    <x v="0"/>
    <n v="8.8699999999999992"/>
    <n v="7.47"/>
    <x v="595"/>
    <x v="2"/>
    <n v="2023"/>
    <x v="11"/>
    <n v="8.8699999999999992"/>
    <n v="-0.29199549041713602"/>
    <x v="1"/>
    <x v="1"/>
  </r>
  <r>
    <x v="605"/>
    <x v="286"/>
    <x v="561"/>
    <x v="1"/>
    <x v="2"/>
    <x v="0"/>
    <x v="1"/>
    <x v="6"/>
    <x v="1"/>
    <x v="594"/>
    <x v="0"/>
    <n v="59.92"/>
    <n v="10.55"/>
    <x v="596"/>
    <x v="1"/>
    <n v="2023"/>
    <x v="11"/>
    <n v="59.92"/>
    <n v="0.37399866488651501"/>
    <x v="1"/>
    <x v="0"/>
  </r>
  <r>
    <x v="606"/>
    <x v="286"/>
    <x v="562"/>
    <x v="1"/>
    <x v="2"/>
    <x v="0"/>
    <x v="0"/>
    <x v="7"/>
    <x v="1"/>
    <x v="595"/>
    <x v="0"/>
    <n v="132.12"/>
    <n v="7.2"/>
    <x v="597"/>
    <x v="1"/>
    <n v="2023"/>
    <x v="11"/>
    <n v="132.12"/>
    <n v="0.39547381168634599"/>
    <x v="0"/>
    <x v="0"/>
  </r>
  <r>
    <x v="607"/>
    <x v="286"/>
    <x v="563"/>
    <x v="1"/>
    <x v="11"/>
    <x v="2"/>
    <x v="2"/>
    <x v="32"/>
    <x v="0"/>
    <x v="596"/>
    <x v="0"/>
    <n v="198.84"/>
    <n v="16.2"/>
    <x v="598"/>
    <x v="2"/>
    <n v="2023"/>
    <x v="11"/>
    <n v="198.84"/>
    <n v="0.31854757594045502"/>
    <x v="0"/>
    <x v="0"/>
  </r>
  <r>
    <x v="608"/>
    <x v="286"/>
    <x v="564"/>
    <x v="0"/>
    <x v="17"/>
    <x v="3"/>
    <x v="2"/>
    <x v="14"/>
    <x v="0"/>
    <x v="597"/>
    <x v="0"/>
    <n v="649.62"/>
    <n v="16.39"/>
    <x v="599"/>
    <x v="1"/>
    <n v="2023"/>
    <x v="11"/>
    <n v="649.62"/>
    <n v="0.37477294418275298"/>
    <x v="2"/>
    <x v="0"/>
  </r>
  <r>
    <x v="609"/>
    <x v="287"/>
    <x v="565"/>
    <x v="0"/>
    <x v="17"/>
    <x v="3"/>
    <x v="1"/>
    <x v="6"/>
    <x v="1"/>
    <x v="598"/>
    <x v="2"/>
    <n v="59.74"/>
    <n v="18.73"/>
    <x v="600"/>
    <x v="1"/>
    <n v="2023"/>
    <x v="11"/>
    <n v="50.779000000000003"/>
    <n v="0.184722030760748"/>
    <x v="1"/>
    <x v="0"/>
  </r>
  <r>
    <x v="610"/>
    <x v="287"/>
    <x v="566"/>
    <x v="0"/>
    <x v="17"/>
    <x v="3"/>
    <x v="3"/>
    <x v="11"/>
    <x v="2"/>
    <x v="599"/>
    <x v="6"/>
    <n v="102.21"/>
    <n v="10.95"/>
    <x v="601"/>
    <x v="1"/>
    <n v="2023"/>
    <x v="11"/>
    <n v="76.657499999999999"/>
    <n v="0.30160127841372297"/>
    <x v="0"/>
    <x v="0"/>
  </r>
  <r>
    <x v="611"/>
    <x v="287"/>
    <x v="567"/>
    <x v="1"/>
    <x v="13"/>
    <x v="0"/>
    <x v="1"/>
    <x v="38"/>
    <x v="3"/>
    <x v="600"/>
    <x v="0"/>
    <n v="9.23"/>
    <n v="6.44"/>
    <x v="602"/>
    <x v="3"/>
    <n v="2023"/>
    <x v="11"/>
    <n v="9.23"/>
    <n v="-0.14734561213434499"/>
    <x v="1"/>
    <x v="1"/>
  </r>
  <r>
    <x v="612"/>
    <x v="287"/>
    <x v="568"/>
    <x v="2"/>
    <x v="0"/>
    <x v="0"/>
    <x v="1"/>
    <x v="25"/>
    <x v="3"/>
    <x v="601"/>
    <x v="4"/>
    <n v="9.1199999999999992"/>
    <n v="5.52"/>
    <x v="127"/>
    <x v="1"/>
    <n v="2023"/>
    <x v="11"/>
    <n v="8.6639999999999997"/>
    <n v="-8.31024930747922E-2"/>
    <x v="1"/>
    <x v="1"/>
  </r>
  <r>
    <x v="613"/>
    <x v="287"/>
    <x v="569"/>
    <x v="1"/>
    <x v="2"/>
    <x v="0"/>
    <x v="3"/>
    <x v="11"/>
    <x v="2"/>
    <x v="602"/>
    <x v="4"/>
    <n v="109.76"/>
    <n v="9.89"/>
    <x v="603"/>
    <x v="1"/>
    <n v="2023"/>
    <x v="11"/>
    <n v="104.27200000000001"/>
    <n v="0.40375172625441202"/>
    <x v="0"/>
    <x v="0"/>
  </r>
  <r>
    <x v="614"/>
    <x v="287"/>
    <x v="535"/>
    <x v="1"/>
    <x v="2"/>
    <x v="0"/>
    <x v="1"/>
    <x v="6"/>
    <x v="2"/>
    <x v="603"/>
    <x v="3"/>
    <n v="43.25"/>
    <n v="9.26"/>
    <x v="604"/>
    <x v="0"/>
    <n v="2023"/>
    <x v="11"/>
    <n v="38.924999999999997"/>
    <n v="0.31753371868978802"/>
    <x v="1"/>
    <x v="0"/>
  </r>
  <r>
    <x v="615"/>
    <x v="287"/>
    <x v="570"/>
    <x v="0"/>
    <x v="2"/>
    <x v="0"/>
    <x v="3"/>
    <x v="30"/>
    <x v="0"/>
    <x v="604"/>
    <x v="2"/>
    <n v="54.37"/>
    <n v="7.01"/>
    <x v="605"/>
    <x v="1"/>
    <n v="2023"/>
    <x v="11"/>
    <n v="46.214500000000001"/>
    <n v="0.33279598394443299"/>
    <x v="1"/>
    <x v="0"/>
  </r>
  <r>
    <x v="616"/>
    <x v="288"/>
    <x v="571"/>
    <x v="1"/>
    <x v="3"/>
    <x v="1"/>
    <x v="2"/>
    <x v="32"/>
    <x v="6"/>
    <x v="450"/>
    <x v="3"/>
    <n v="425.44"/>
    <n v="12.11"/>
    <x v="606"/>
    <x v="3"/>
    <n v="2023"/>
    <x v="11"/>
    <n v="382.89600000000002"/>
    <n v="0.33873427771509801"/>
    <x v="0"/>
    <x v="0"/>
  </r>
  <r>
    <x v="617"/>
    <x v="288"/>
    <x v="572"/>
    <x v="1"/>
    <x v="7"/>
    <x v="4"/>
    <x v="1"/>
    <x v="10"/>
    <x v="3"/>
    <x v="103"/>
    <x v="4"/>
    <n v="8.7200000000000006"/>
    <n v="11.53"/>
    <x v="607"/>
    <x v="2"/>
    <n v="2023"/>
    <x v="11"/>
    <n v="8.2840000000000007"/>
    <n v="-0.83775953645581802"/>
    <x v="1"/>
    <x v="1"/>
  </r>
  <r>
    <x v="618"/>
    <x v="289"/>
    <x v="443"/>
    <x v="1"/>
    <x v="8"/>
    <x v="1"/>
    <x v="2"/>
    <x v="36"/>
    <x v="5"/>
    <x v="605"/>
    <x v="4"/>
    <n v="726.51"/>
    <n v="18.940000000000001"/>
    <x v="101"/>
    <x v="3"/>
    <n v="2023"/>
    <x v="11"/>
    <n v="690.18449999999996"/>
    <n v="0.360367409004404"/>
    <x v="2"/>
    <x v="0"/>
  </r>
  <r>
    <x v="619"/>
    <x v="289"/>
    <x v="573"/>
    <x v="1"/>
    <x v="9"/>
    <x v="3"/>
    <x v="2"/>
    <x v="34"/>
    <x v="1"/>
    <x v="606"/>
    <x v="4"/>
    <n v="198.4"/>
    <n v="16.48"/>
    <x v="608"/>
    <x v="2"/>
    <n v="2023"/>
    <x v="11"/>
    <n v="188.48"/>
    <n v="0.30040322580645201"/>
    <x v="0"/>
    <x v="0"/>
  </r>
  <r>
    <x v="620"/>
    <x v="289"/>
    <x v="574"/>
    <x v="0"/>
    <x v="0"/>
    <x v="0"/>
    <x v="0"/>
    <x v="28"/>
    <x v="3"/>
    <x v="607"/>
    <x v="2"/>
    <n v="49.38"/>
    <n v="6.23"/>
    <x v="609"/>
    <x v="3"/>
    <n v="2023"/>
    <x v="11"/>
    <n v="41.972999999999999"/>
    <n v="0.26683820551306803"/>
    <x v="1"/>
    <x v="0"/>
  </r>
  <r>
    <x v="621"/>
    <x v="289"/>
    <x v="575"/>
    <x v="0"/>
    <x v="10"/>
    <x v="3"/>
    <x v="1"/>
    <x v="25"/>
    <x v="0"/>
    <x v="608"/>
    <x v="2"/>
    <n v="25.4"/>
    <n v="15"/>
    <x v="610"/>
    <x v="3"/>
    <n v="2023"/>
    <x v="11"/>
    <n v="21.59"/>
    <n v="-0.141269106067624"/>
    <x v="1"/>
    <x v="1"/>
  </r>
  <r>
    <x v="622"/>
    <x v="290"/>
    <x v="576"/>
    <x v="2"/>
    <x v="2"/>
    <x v="0"/>
    <x v="1"/>
    <x v="6"/>
    <x v="3"/>
    <x v="609"/>
    <x v="4"/>
    <n v="14.32"/>
    <n v="6.62"/>
    <x v="611"/>
    <x v="1"/>
    <n v="2023"/>
    <x v="11"/>
    <n v="13.603999999999999"/>
    <n v="6.7627168479858904E-2"/>
    <x v="1"/>
    <x v="0"/>
  </r>
  <r>
    <x v="623"/>
    <x v="290"/>
    <x v="577"/>
    <x v="0"/>
    <x v="2"/>
    <x v="0"/>
    <x v="3"/>
    <x v="24"/>
    <x v="9"/>
    <x v="610"/>
    <x v="3"/>
    <n v="347.31"/>
    <n v="26.11"/>
    <x v="612"/>
    <x v="1"/>
    <n v="2023"/>
    <x v="11"/>
    <n v="312.57900000000001"/>
    <n v="0.41029627710114902"/>
    <x v="0"/>
    <x v="0"/>
  </r>
  <r>
    <x v="624"/>
    <x v="291"/>
    <x v="578"/>
    <x v="1"/>
    <x v="13"/>
    <x v="0"/>
    <x v="1"/>
    <x v="23"/>
    <x v="5"/>
    <x v="611"/>
    <x v="4"/>
    <n v="79.09"/>
    <n v="8.6300000000000008"/>
    <x v="613"/>
    <x v="1"/>
    <n v="2023"/>
    <x v="11"/>
    <n v="75.135499999999993"/>
    <n v="0.439206500256204"/>
    <x v="1"/>
    <x v="0"/>
  </r>
  <r>
    <x v="625"/>
    <x v="291"/>
    <x v="579"/>
    <x v="1"/>
    <x v="13"/>
    <x v="0"/>
    <x v="1"/>
    <x v="12"/>
    <x v="3"/>
    <x v="612"/>
    <x v="3"/>
    <n v="9.73"/>
    <n v="5.77"/>
    <x v="614"/>
    <x v="3"/>
    <n v="2023"/>
    <x v="11"/>
    <n v="8.7569999999999997"/>
    <n v="-0.10277492291880801"/>
    <x v="1"/>
    <x v="1"/>
  </r>
  <r>
    <x v="626"/>
    <x v="291"/>
    <x v="580"/>
    <x v="1"/>
    <x v="4"/>
    <x v="2"/>
    <x v="3"/>
    <x v="27"/>
    <x v="0"/>
    <x v="613"/>
    <x v="0"/>
    <n v="132.33000000000001"/>
    <n v="13.52"/>
    <x v="615"/>
    <x v="0"/>
    <n v="2023"/>
    <x v="11"/>
    <n v="132.33000000000001"/>
    <n v="0.39786896395375199"/>
    <x v="0"/>
    <x v="0"/>
  </r>
  <r>
    <x v="627"/>
    <x v="291"/>
    <x v="581"/>
    <x v="0"/>
    <x v="12"/>
    <x v="4"/>
    <x v="1"/>
    <x v="10"/>
    <x v="0"/>
    <x v="614"/>
    <x v="4"/>
    <n v="17.47"/>
    <n v="16.059999999999999"/>
    <x v="616"/>
    <x v="0"/>
    <n v="2023"/>
    <x v="11"/>
    <n v="16.596499999999999"/>
    <n v="-0.41394269876178702"/>
    <x v="1"/>
    <x v="1"/>
  </r>
  <r>
    <x v="628"/>
    <x v="291"/>
    <x v="582"/>
    <x v="1"/>
    <x v="14"/>
    <x v="1"/>
    <x v="0"/>
    <x v="7"/>
    <x v="5"/>
    <x v="615"/>
    <x v="0"/>
    <n v="151.35"/>
    <n v="13.59"/>
    <x v="617"/>
    <x v="1"/>
    <n v="2023"/>
    <x v="11"/>
    <n v="151.35"/>
    <n v="0.36022464486290101"/>
    <x v="0"/>
    <x v="0"/>
  </r>
  <r>
    <x v="629"/>
    <x v="291"/>
    <x v="583"/>
    <x v="0"/>
    <x v="8"/>
    <x v="1"/>
    <x v="3"/>
    <x v="37"/>
    <x v="0"/>
    <x v="616"/>
    <x v="2"/>
    <n v="110.59"/>
    <n v="14.43"/>
    <x v="618"/>
    <x v="3"/>
    <n v="2023"/>
    <x v="11"/>
    <n v="94.001499999999993"/>
    <n v="0.33095216565693097"/>
    <x v="0"/>
    <x v="0"/>
  </r>
  <r>
    <x v="630"/>
    <x v="291"/>
    <x v="378"/>
    <x v="1"/>
    <x v="10"/>
    <x v="3"/>
    <x v="3"/>
    <x v="13"/>
    <x v="0"/>
    <x v="617"/>
    <x v="0"/>
    <n v="378.21"/>
    <n v="16.14"/>
    <x v="619"/>
    <x v="3"/>
    <n v="2023"/>
    <x v="11"/>
    <n v="378.21"/>
    <n v="0.45731207530208101"/>
    <x v="0"/>
    <x v="0"/>
  </r>
  <r>
    <x v="631"/>
    <x v="291"/>
    <x v="584"/>
    <x v="2"/>
    <x v="0"/>
    <x v="0"/>
    <x v="1"/>
    <x v="17"/>
    <x v="2"/>
    <x v="618"/>
    <x v="0"/>
    <n v="38.64"/>
    <n v="9.4700000000000006"/>
    <x v="620"/>
    <x v="2"/>
    <n v="2023"/>
    <x v="11"/>
    <n v="38.64"/>
    <n v="0.30486542443064202"/>
    <x v="1"/>
    <x v="0"/>
  </r>
  <r>
    <x v="632"/>
    <x v="292"/>
    <x v="585"/>
    <x v="1"/>
    <x v="0"/>
    <x v="0"/>
    <x v="2"/>
    <x v="21"/>
    <x v="0"/>
    <x v="619"/>
    <x v="3"/>
    <n v="127.12"/>
    <n v="11.82"/>
    <x v="621"/>
    <x v="3"/>
    <n v="2023"/>
    <x v="11"/>
    <n v="114.408"/>
    <n v="0.26711418781903401"/>
    <x v="0"/>
    <x v="0"/>
  </r>
  <r>
    <x v="633"/>
    <x v="292"/>
    <x v="586"/>
    <x v="1"/>
    <x v="1"/>
    <x v="1"/>
    <x v="2"/>
    <x v="39"/>
    <x v="5"/>
    <x v="620"/>
    <x v="3"/>
    <n v="492.98"/>
    <n v="16.350000000000001"/>
    <x v="622"/>
    <x v="1"/>
    <n v="2023"/>
    <x v="11"/>
    <n v="443.68200000000002"/>
    <n v="0.333527165853021"/>
    <x v="0"/>
    <x v="0"/>
  </r>
  <r>
    <x v="634"/>
    <x v="293"/>
    <x v="587"/>
    <x v="1"/>
    <x v="19"/>
    <x v="1"/>
    <x v="0"/>
    <x v="3"/>
    <x v="1"/>
    <x v="621"/>
    <x v="4"/>
    <n v="122.51"/>
    <n v="13.12"/>
    <x v="623"/>
    <x v="2"/>
    <n v="2023"/>
    <x v="11"/>
    <n v="116.3845"/>
    <n v="0.33045637520460203"/>
    <x v="0"/>
    <x v="0"/>
  </r>
  <r>
    <x v="635"/>
    <x v="293"/>
    <x v="588"/>
    <x v="1"/>
    <x v="4"/>
    <x v="2"/>
    <x v="3"/>
    <x v="9"/>
    <x v="3"/>
    <x v="622"/>
    <x v="4"/>
    <n v="31.05"/>
    <n v="13.1"/>
    <x v="624"/>
    <x v="1"/>
    <n v="2023"/>
    <x v="11"/>
    <n v="29.497499999999999"/>
    <n v="5.4580896686159799E-2"/>
    <x v="1"/>
    <x v="0"/>
  </r>
  <r>
    <x v="636"/>
    <x v="294"/>
    <x v="589"/>
    <x v="0"/>
    <x v="10"/>
    <x v="3"/>
    <x v="0"/>
    <x v="1"/>
    <x v="7"/>
    <x v="623"/>
    <x v="2"/>
    <n v="579.42999999999995"/>
    <n v="13.75"/>
    <x v="625"/>
    <x v="2"/>
    <n v="2023"/>
    <x v="11"/>
    <n v="492.51549999999997"/>
    <n v="0.38731775954259301"/>
    <x v="2"/>
    <x v="0"/>
  </r>
  <r>
    <x v="637"/>
    <x v="295"/>
    <x v="291"/>
    <x v="0"/>
    <x v="16"/>
    <x v="3"/>
    <x v="0"/>
    <x v="0"/>
    <x v="0"/>
    <x v="624"/>
    <x v="0"/>
    <n v="499.89"/>
    <n v="14.84"/>
    <x v="626"/>
    <x v="3"/>
    <n v="2023"/>
    <x v="11"/>
    <n v="499.89"/>
    <n v="0.420312468743124"/>
    <x v="0"/>
    <x v="0"/>
  </r>
  <r>
    <x v="638"/>
    <x v="296"/>
    <x v="590"/>
    <x v="1"/>
    <x v="13"/>
    <x v="0"/>
    <x v="1"/>
    <x v="19"/>
    <x v="9"/>
    <x v="625"/>
    <x v="2"/>
    <n v="79.3"/>
    <n v="10.95"/>
    <x v="627"/>
    <x v="1"/>
    <n v="2023"/>
    <x v="11"/>
    <n v="67.405000000000001"/>
    <n v="0.39106891180179498"/>
    <x v="1"/>
    <x v="0"/>
  </r>
  <r>
    <x v="639"/>
    <x v="296"/>
    <x v="591"/>
    <x v="1"/>
    <x v="13"/>
    <x v="0"/>
    <x v="3"/>
    <x v="30"/>
    <x v="5"/>
    <x v="626"/>
    <x v="1"/>
    <n v="32.4"/>
    <n v="16.7"/>
    <x v="31"/>
    <x v="0"/>
    <n v="2023"/>
    <x v="11"/>
    <n v="25.92"/>
    <n v="-0.17554012345678999"/>
    <x v="1"/>
    <x v="1"/>
  </r>
  <r>
    <x v="640"/>
    <x v="296"/>
    <x v="592"/>
    <x v="0"/>
    <x v="13"/>
    <x v="0"/>
    <x v="1"/>
    <x v="17"/>
    <x v="0"/>
    <x v="627"/>
    <x v="2"/>
    <n v="45.26"/>
    <n v="10.14"/>
    <x v="628"/>
    <x v="1"/>
    <n v="2023"/>
    <x v="11"/>
    <n v="38.470999999999997"/>
    <n v="0.29008863819500402"/>
    <x v="1"/>
    <x v="0"/>
  </r>
  <r>
    <x v="641"/>
    <x v="296"/>
    <x v="593"/>
    <x v="2"/>
    <x v="14"/>
    <x v="1"/>
    <x v="2"/>
    <x v="8"/>
    <x v="1"/>
    <x v="628"/>
    <x v="4"/>
    <n v="227.81"/>
    <n v="13.86"/>
    <x v="629"/>
    <x v="2"/>
    <n v="2023"/>
    <x v="11"/>
    <n v="216.4195"/>
    <n v="0.32376934610790598"/>
    <x v="0"/>
    <x v="0"/>
  </r>
  <r>
    <x v="642"/>
    <x v="296"/>
    <x v="594"/>
    <x v="0"/>
    <x v="0"/>
    <x v="0"/>
    <x v="1"/>
    <x v="10"/>
    <x v="1"/>
    <x v="629"/>
    <x v="1"/>
    <n v="11.71"/>
    <n v="13.72"/>
    <x v="630"/>
    <x v="1"/>
    <n v="2023"/>
    <x v="11"/>
    <n v="9.3680000000000003"/>
    <n v="-0.91801878736122999"/>
    <x v="1"/>
    <x v="1"/>
  </r>
  <r>
    <x v="643"/>
    <x v="297"/>
    <x v="595"/>
    <x v="1"/>
    <x v="4"/>
    <x v="2"/>
    <x v="3"/>
    <x v="9"/>
    <x v="4"/>
    <x v="630"/>
    <x v="1"/>
    <n v="311.33"/>
    <n v="25.84"/>
    <x v="631"/>
    <x v="2"/>
    <n v="2023"/>
    <x v="11"/>
    <n v="249.06399999999999"/>
    <n v="0.365006584652941"/>
    <x v="0"/>
    <x v="0"/>
  </r>
  <r>
    <x v="644"/>
    <x v="297"/>
    <x v="596"/>
    <x v="1"/>
    <x v="6"/>
    <x v="2"/>
    <x v="2"/>
    <x v="21"/>
    <x v="1"/>
    <x v="631"/>
    <x v="3"/>
    <n v="340.88"/>
    <n v="14.7"/>
    <x v="632"/>
    <x v="1"/>
    <n v="2023"/>
    <x v="11"/>
    <n v="306.79199999999997"/>
    <n v="0.32243344024616"/>
    <x v="0"/>
    <x v="0"/>
  </r>
  <r>
    <x v="645"/>
    <x v="297"/>
    <x v="305"/>
    <x v="2"/>
    <x v="10"/>
    <x v="3"/>
    <x v="0"/>
    <x v="3"/>
    <x v="3"/>
    <x v="88"/>
    <x v="4"/>
    <n v="34.21"/>
    <n v="9.6999999999999993"/>
    <x v="633"/>
    <x v="1"/>
    <n v="2023"/>
    <x v="11"/>
    <n v="32.499499999999998"/>
    <n v="0.14461760950168501"/>
    <x v="1"/>
    <x v="0"/>
  </r>
  <r>
    <x v="646"/>
    <x v="298"/>
    <x v="597"/>
    <x v="1"/>
    <x v="2"/>
    <x v="0"/>
    <x v="1"/>
    <x v="38"/>
    <x v="3"/>
    <x v="632"/>
    <x v="2"/>
    <n v="5.86"/>
    <n v="6.74"/>
    <x v="634"/>
    <x v="0"/>
    <n v="2023"/>
    <x v="11"/>
    <n v="4.9809999999999999"/>
    <n v="-0.79903633808472196"/>
    <x v="1"/>
    <x v="1"/>
  </r>
  <r>
    <x v="647"/>
    <x v="298"/>
    <x v="598"/>
    <x v="2"/>
    <x v="2"/>
    <x v="0"/>
    <x v="0"/>
    <x v="22"/>
    <x v="3"/>
    <x v="633"/>
    <x v="0"/>
    <n v="98.38"/>
    <n v="6.62"/>
    <x v="635"/>
    <x v="2"/>
    <n v="2023"/>
    <x v="11"/>
    <n v="98.38"/>
    <n v="0.38269973571864202"/>
    <x v="1"/>
    <x v="0"/>
  </r>
  <r>
    <x v="648"/>
    <x v="299"/>
    <x v="599"/>
    <x v="2"/>
    <x v="17"/>
    <x v="3"/>
    <x v="0"/>
    <x v="29"/>
    <x v="5"/>
    <x v="331"/>
    <x v="4"/>
    <n v="131.66999999999999"/>
    <n v="17.420000000000002"/>
    <x v="636"/>
    <x v="3"/>
    <n v="2023"/>
    <x v="11"/>
    <n v="125.0865"/>
    <n v="0.30394966683055302"/>
    <x v="0"/>
    <x v="0"/>
  </r>
  <r>
    <x v="649"/>
    <x v="299"/>
    <x v="600"/>
    <x v="1"/>
    <x v="7"/>
    <x v="4"/>
    <x v="2"/>
    <x v="14"/>
    <x v="0"/>
    <x v="634"/>
    <x v="2"/>
    <n v="947.61"/>
    <n v="15.39"/>
    <x v="637"/>
    <x v="1"/>
    <n v="2023"/>
    <x v="11"/>
    <n v="805.46849999999995"/>
    <n v="0.32691532940146001"/>
    <x v="2"/>
    <x v="0"/>
  </r>
  <r>
    <x v="650"/>
    <x v="299"/>
    <x v="432"/>
    <x v="1"/>
    <x v="16"/>
    <x v="3"/>
    <x v="2"/>
    <x v="15"/>
    <x v="2"/>
    <x v="635"/>
    <x v="1"/>
    <n v="461.98"/>
    <n v="11.82"/>
    <x v="638"/>
    <x v="3"/>
    <n v="2023"/>
    <x v="11"/>
    <n v="369.584"/>
    <n v="0.28050456729728601"/>
    <x v="0"/>
    <x v="0"/>
  </r>
  <r>
    <x v="651"/>
    <x v="300"/>
    <x v="601"/>
    <x v="0"/>
    <x v="6"/>
    <x v="2"/>
    <x v="1"/>
    <x v="12"/>
    <x v="8"/>
    <x v="636"/>
    <x v="2"/>
    <n v="120.46"/>
    <n v="22.68"/>
    <x v="639"/>
    <x v="2"/>
    <n v="2023"/>
    <x v="11"/>
    <n v="102.39100000000001"/>
    <n v="0.33215809983299299"/>
    <x v="0"/>
    <x v="0"/>
  </r>
  <r>
    <x v="652"/>
    <x v="300"/>
    <x v="602"/>
    <x v="0"/>
    <x v="17"/>
    <x v="3"/>
    <x v="0"/>
    <x v="18"/>
    <x v="0"/>
    <x v="637"/>
    <x v="3"/>
    <n v="182.87"/>
    <n v="11.07"/>
    <x v="640"/>
    <x v="1"/>
    <n v="2023"/>
    <x v="11"/>
    <n v="164.583"/>
    <n v="0.364861498453668"/>
    <x v="0"/>
    <x v="0"/>
  </r>
  <r>
    <x v="653"/>
    <x v="300"/>
    <x v="603"/>
    <x v="0"/>
    <x v="16"/>
    <x v="3"/>
    <x v="2"/>
    <x v="36"/>
    <x v="1"/>
    <x v="638"/>
    <x v="1"/>
    <n v="533.47"/>
    <n v="15.13"/>
    <x v="641"/>
    <x v="1"/>
    <n v="2023"/>
    <x v="11"/>
    <n v="426.77600000000001"/>
    <n v="0.27705400491124199"/>
    <x v="2"/>
    <x v="0"/>
  </r>
  <r>
    <x v="654"/>
    <x v="301"/>
    <x v="41"/>
    <x v="2"/>
    <x v="2"/>
    <x v="0"/>
    <x v="0"/>
    <x v="29"/>
    <x v="3"/>
    <x v="639"/>
    <x v="3"/>
    <n v="37.119999999999997"/>
    <n v="5.87"/>
    <x v="642"/>
    <x v="2"/>
    <n v="2023"/>
    <x v="11"/>
    <n v="33.408000000000001"/>
    <n v="0.25652538314176199"/>
    <x v="1"/>
    <x v="0"/>
  </r>
  <r>
    <x v="655"/>
    <x v="301"/>
    <x v="604"/>
    <x v="2"/>
    <x v="19"/>
    <x v="1"/>
    <x v="0"/>
    <x v="22"/>
    <x v="5"/>
    <x v="640"/>
    <x v="3"/>
    <n v="364.95"/>
    <n v="17.850000000000001"/>
    <x v="643"/>
    <x v="1"/>
    <n v="2023"/>
    <x v="11"/>
    <n v="328.45499999999998"/>
    <n v="0.377738198535568"/>
    <x v="0"/>
    <x v="0"/>
  </r>
  <r>
    <x v="656"/>
    <x v="302"/>
    <x v="210"/>
    <x v="0"/>
    <x v="8"/>
    <x v="1"/>
    <x v="2"/>
    <x v="5"/>
    <x v="3"/>
    <x v="641"/>
    <x v="1"/>
    <n v="152.6"/>
    <n v="9.08"/>
    <x v="644"/>
    <x v="1"/>
    <n v="2023"/>
    <x v="11"/>
    <n v="122.08"/>
    <n v="0.23812254259502"/>
    <x v="0"/>
    <x v="0"/>
  </r>
  <r>
    <x v="657"/>
    <x v="302"/>
    <x v="605"/>
    <x v="2"/>
    <x v="19"/>
    <x v="1"/>
    <x v="0"/>
    <x v="7"/>
    <x v="3"/>
    <x v="642"/>
    <x v="2"/>
    <n v="58.76"/>
    <n v="7.83"/>
    <x v="645"/>
    <x v="1"/>
    <n v="2023"/>
    <x v="11"/>
    <n v="49.945999999999998"/>
    <n v="0.25847915749008898"/>
    <x v="1"/>
    <x v="0"/>
  </r>
  <r>
    <x v="658"/>
    <x v="303"/>
    <x v="606"/>
    <x v="1"/>
    <x v="17"/>
    <x v="3"/>
    <x v="0"/>
    <x v="28"/>
    <x v="3"/>
    <x v="643"/>
    <x v="1"/>
    <n v="41.26"/>
    <n v="10.55"/>
    <x v="646"/>
    <x v="3"/>
    <n v="2023"/>
    <x v="11"/>
    <n v="33.008000000000003"/>
    <n v="7.11948618516723E-2"/>
    <x v="1"/>
    <x v="0"/>
  </r>
  <r>
    <x v="659"/>
    <x v="303"/>
    <x v="607"/>
    <x v="1"/>
    <x v="9"/>
    <x v="3"/>
    <x v="0"/>
    <x v="3"/>
    <x v="0"/>
    <x v="644"/>
    <x v="4"/>
    <n v="243.22"/>
    <n v="10.71"/>
    <x v="647"/>
    <x v="1"/>
    <n v="2023"/>
    <x v="11"/>
    <n v="231.059"/>
    <n v="0.39686833233070301"/>
    <x v="0"/>
    <x v="0"/>
  </r>
  <r>
    <x v="660"/>
    <x v="303"/>
    <x v="37"/>
    <x v="0"/>
    <x v="7"/>
    <x v="4"/>
    <x v="1"/>
    <x v="2"/>
    <x v="1"/>
    <x v="645"/>
    <x v="4"/>
    <n v="44.54"/>
    <n v="14.16"/>
    <x v="648"/>
    <x v="3"/>
    <n v="2023"/>
    <x v="11"/>
    <n v="42.313000000000002"/>
    <n v="0.21931794011296801"/>
    <x v="1"/>
    <x v="0"/>
  </r>
  <r>
    <x v="661"/>
    <x v="303"/>
    <x v="608"/>
    <x v="0"/>
    <x v="16"/>
    <x v="3"/>
    <x v="0"/>
    <x v="28"/>
    <x v="3"/>
    <x v="646"/>
    <x v="6"/>
    <n v="40.18"/>
    <n v="11.21"/>
    <x v="649"/>
    <x v="0"/>
    <n v="2023"/>
    <x v="11"/>
    <n v="30.135000000000002"/>
    <n v="-1.6260162601626001E-2"/>
    <x v="1"/>
    <x v="1"/>
  </r>
  <r>
    <x v="662"/>
    <x v="303"/>
    <x v="609"/>
    <x v="1"/>
    <x v="16"/>
    <x v="3"/>
    <x v="1"/>
    <x v="10"/>
    <x v="2"/>
    <x v="647"/>
    <x v="0"/>
    <n v="17.86"/>
    <n v="10.039999999999999"/>
    <x v="650"/>
    <x v="1"/>
    <n v="2023"/>
    <x v="11"/>
    <n v="17.86"/>
    <n v="-1.23180291153415E-2"/>
    <x v="1"/>
    <x v="1"/>
  </r>
  <r>
    <x v="663"/>
    <x v="303"/>
    <x v="610"/>
    <x v="0"/>
    <x v="5"/>
    <x v="3"/>
    <x v="3"/>
    <x v="24"/>
    <x v="5"/>
    <x v="648"/>
    <x v="4"/>
    <n v="273.55"/>
    <n v="16.190000000000001"/>
    <x v="500"/>
    <x v="2"/>
    <n v="2023"/>
    <x v="11"/>
    <n v="259.8725"/>
    <n v="0.43629087340907602"/>
    <x v="0"/>
    <x v="0"/>
  </r>
  <r>
    <x v="664"/>
    <x v="303"/>
    <x v="611"/>
    <x v="2"/>
    <x v="13"/>
    <x v="0"/>
    <x v="0"/>
    <x v="29"/>
    <x v="0"/>
    <x v="649"/>
    <x v="2"/>
    <n v="65.989999999999995"/>
    <n v="6.99"/>
    <x v="651"/>
    <x v="1"/>
    <n v="2023"/>
    <x v="11"/>
    <n v="56.091500000000003"/>
    <n v="0.29059661446030099"/>
    <x v="1"/>
    <x v="0"/>
  </r>
  <r>
    <x v="665"/>
    <x v="304"/>
    <x v="612"/>
    <x v="1"/>
    <x v="12"/>
    <x v="4"/>
    <x v="2"/>
    <x v="21"/>
    <x v="2"/>
    <x v="650"/>
    <x v="2"/>
    <n v="145.91"/>
    <n v="13.6"/>
    <x v="652"/>
    <x v="2"/>
    <n v="2023"/>
    <x v="11"/>
    <n v="124.0235"/>
    <n v="0.23632618011909001"/>
    <x v="0"/>
    <x v="0"/>
  </r>
  <r>
    <x v="666"/>
    <x v="304"/>
    <x v="613"/>
    <x v="0"/>
    <x v="10"/>
    <x v="3"/>
    <x v="2"/>
    <x v="5"/>
    <x v="2"/>
    <x v="651"/>
    <x v="2"/>
    <n v="237.44"/>
    <n v="13.84"/>
    <x v="653"/>
    <x v="1"/>
    <n v="2023"/>
    <x v="11"/>
    <n v="201.82400000000001"/>
    <n v="0.27746947835738101"/>
    <x v="0"/>
    <x v="0"/>
  </r>
  <r>
    <x v="667"/>
    <x v="304"/>
    <x v="614"/>
    <x v="1"/>
    <x v="7"/>
    <x v="4"/>
    <x v="1"/>
    <x v="38"/>
    <x v="5"/>
    <x v="652"/>
    <x v="0"/>
    <n v="44.15"/>
    <n v="19.010000000000002"/>
    <x v="654"/>
    <x v="3"/>
    <n v="2023"/>
    <x v="11"/>
    <n v="44.15"/>
    <n v="0.119365798414496"/>
    <x v="1"/>
    <x v="0"/>
  </r>
  <r>
    <x v="668"/>
    <x v="305"/>
    <x v="615"/>
    <x v="1"/>
    <x v="17"/>
    <x v="3"/>
    <x v="2"/>
    <x v="39"/>
    <x v="3"/>
    <x v="653"/>
    <x v="0"/>
    <n v="172.7"/>
    <n v="11.33"/>
    <x v="655"/>
    <x v="3"/>
    <n v="2023"/>
    <x v="11"/>
    <n v="172.7"/>
    <n v="0.33439490445859898"/>
    <x v="0"/>
    <x v="0"/>
  </r>
  <r>
    <x v="669"/>
    <x v="306"/>
    <x v="616"/>
    <x v="1"/>
    <x v="14"/>
    <x v="1"/>
    <x v="2"/>
    <x v="5"/>
    <x v="3"/>
    <x v="654"/>
    <x v="4"/>
    <n v="153.94999999999999"/>
    <n v="9.3800000000000008"/>
    <x v="656"/>
    <x v="2"/>
    <n v="2023"/>
    <x v="11"/>
    <n v="146.2525"/>
    <n v="0.32368677458505002"/>
    <x v="0"/>
    <x v="0"/>
  </r>
  <r>
    <x v="670"/>
    <x v="307"/>
    <x v="617"/>
    <x v="2"/>
    <x v="2"/>
    <x v="0"/>
    <x v="0"/>
    <x v="22"/>
    <x v="0"/>
    <x v="655"/>
    <x v="0"/>
    <n v="407.25"/>
    <n v="8.74"/>
    <x v="657"/>
    <x v="1"/>
    <n v="2024"/>
    <x v="0"/>
    <n v="407.25"/>
    <n v="0.4285328422345"/>
    <x v="0"/>
    <x v="0"/>
  </r>
  <r>
    <x v="671"/>
    <x v="307"/>
    <x v="618"/>
    <x v="1"/>
    <x v="3"/>
    <x v="1"/>
    <x v="3"/>
    <x v="27"/>
    <x v="2"/>
    <x v="656"/>
    <x v="0"/>
    <n v="100.9"/>
    <n v="10.54"/>
    <x v="658"/>
    <x v="2"/>
    <n v="2024"/>
    <x v="0"/>
    <n v="100.9"/>
    <n v="0.395540138751239"/>
    <x v="0"/>
    <x v="0"/>
  </r>
  <r>
    <x v="672"/>
    <x v="308"/>
    <x v="203"/>
    <x v="2"/>
    <x v="13"/>
    <x v="0"/>
    <x v="1"/>
    <x v="20"/>
    <x v="11"/>
    <x v="657"/>
    <x v="3"/>
    <n v="97.42"/>
    <n v="25.84"/>
    <x v="659"/>
    <x v="1"/>
    <n v="2024"/>
    <x v="0"/>
    <n v="87.677999999999997"/>
    <n v="0.260840803850453"/>
    <x v="1"/>
    <x v="0"/>
  </r>
  <r>
    <x v="673"/>
    <x v="309"/>
    <x v="619"/>
    <x v="0"/>
    <x v="7"/>
    <x v="4"/>
    <x v="2"/>
    <x v="14"/>
    <x v="3"/>
    <x v="658"/>
    <x v="3"/>
    <n v="222.26"/>
    <n v="10.51"/>
    <x v="660"/>
    <x v="2"/>
    <n v="2024"/>
    <x v="0"/>
    <n v="200.03399999999999"/>
    <n v="0.31779597468430398"/>
    <x v="0"/>
    <x v="0"/>
  </r>
  <r>
    <x v="674"/>
    <x v="309"/>
    <x v="620"/>
    <x v="1"/>
    <x v="8"/>
    <x v="1"/>
    <x v="1"/>
    <x v="23"/>
    <x v="2"/>
    <x v="659"/>
    <x v="4"/>
    <n v="32.619999999999997"/>
    <n v="10.14"/>
    <x v="661"/>
    <x v="3"/>
    <n v="2024"/>
    <x v="0"/>
    <n v="30.989000000000001"/>
    <n v="0.22685469037400399"/>
    <x v="1"/>
    <x v="0"/>
  </r>
  <r>
    <x v="675"/>
    <x v="309"/>
    <x v="621"/>
    <x v="1"/>
    <x v="3"/>
    <x v="1"/>
    <x v="1"/>
    <x v="23"/>
    <x v="3"/>
    <x v="660"/>
    <x v="0"/>
    <n v="11.89"/>
    <n v="7.53"/>
    <x v="662"/>
    <x v="3"/>
    <n v="2024"/>
    <x v="0"/>
    <n v="11.89"/>
    <n v="-8.3263246425567705E-2"/>
    <x v="1"/>
    <x v="1"/>
  </r>
  <r>
    <x v="676"/>
    <x v="310"/>
    <x v="622"/>
    <x v="0"/>
    <x v="18"/>
    <x v="4"/>
    <x v="1"/>
    <x v="6"/>
    <x v="5"/>
    <x v="661"/>
    <x v="0"/>
    <n v="87.15"/>
    <n v="13.79"/>
    <x v="663"/>
    <x v="1"/>
    <n v="2024"/>
    <x v="0"/>
    <n v="87.15"/>
    <n v="0.39173838209982798"/>
    <x v="1"/>
    <x v="0"/>
  </r>
  <r>
    <x v="677"/>
    <x v="311"/>
    <x v="623"/>
    <x v="1"/>
    <x v="3"/>
    <x v="1"/>
    <x v="3"/>
    <x v="33"/>
    <x v="0"/>
    <x v="662"/>
    <x v="3"/>
    <n v="60.89"/>
    <n v="12.39"/>
    <x v="664"/>
    <x v="1"/>
    <n v="2024"/>
    <x v="0"/>
    <n v="54.801000000000002"/>
    <n v="0.26769584496633297"/>
    <x v="1"/>
    <x v="0"/>
  </r>
  <r>
    <x v="678"/>
    <x v="312"/>
    <x v="624"/>
    <x v="1"/>
    <x v="2"/>
    <x v="0"/>
    <x v="2"/>
    <x v="5"/>
    <x v="2"/>
    <x v="663"/>
    <x v="4"/>
    <n v="306.64"/>
    <n v="8.36"/>
    <x v="665"/>
    <x v="1"/>
    <n v="2024"/>
    <x v="0"/>
    <n v="291.30799999999999"/>
    <n v="0.35910445301879801"/>
    <x v="0"/>
    <x v="0"/>
  </r>
  <r>
    <x v="679"/>
    <x v="312"/>
    <x v="625"/>
    <x v="1"/>
    <x v="13"/>
    <x v="0"/>
    <x v="0"/>
    <x v="29"/>
    <x v="3"/>
    <x v="664"/>
    <x v="0"/>
    <n v="47.57"/>
    <n v="5.87"/>
    <x v="40"/>
    <x v="3"/>
    <n v="2024"/>
    <x v="0"/>
    <n v="47.57"/>
    <n v="0.32667647677107398"/>
    <x v="1"/>
    <x v="0"/>
  </r>
  <r>
    <x v="680"/>
    <x v="312"/>
    <x v="219"/>
    <x v="1"/>
    <x v="0"/>
    <x v="0"/>
    <x v="2"/>
    <x v="14"/>
    <x v="1"/>
    <x v="665"/>
    <x v="4"/>
    <n v="987.47"/>
    <n v="13.35"/>
    <x v="666"/>
    <x v="1"/>
    <n v="2024"/>
    <x v="0"/>
    <n v="938.09649999999999"/>
    <n v="0.37358629949051098"/>
    <x v="2"/>
    <x v="0"/>
  </r>
  <r>
    <x v="681"/>
    <x v="313"/>
    <x v="103"/>
    <x v="0"/>
    <x v="7"/>
    <x v="4"/>
    <x v="3"/>
    <x v="30"/>
    <x v="4"/>
    <x v="666"/>
    <x v="4"/>
    <n v="70.05"/>
    <n v="13.2"/>
    <x v="667"/>
    <x v="3"/>
    <n v="2024"/>
    <x v="0"/>
    <n v="66.547499999999999"/>
    <n v="0.30023667305308199"/>
    <x v="1"/>
    <x v="0"/>
  </r>
  <r>
    <x v="682"/>
    <x v="313"/>
    <x v="626"/>
    <x v="2"/>
    <x v="2"/>
    <x v="0"/>
    <x v="2"/>
    <x v="15"/>
    <x v="0"/>
    <x v="667"/>
    <x v="0"/>
    <n v="577.59"/>
    <n v="10.09"/>
    <x v="668"/>
    <x v="1"/>
    <n v="2024"/>
    <x v="0"/>
    <n v="577.59"/>
    <n v="0.38253778631901503"/>
    <x v="2"/>
    <x v="0"/>
  </r>
  <r>
    <x v="683"/>
    <x v="314"/>
    <x v="627"/>
    <x v="0"/>
    <x v="13"/>
    <x v="0"/>
    <x v="1"/>
    <x v="19"/>
    <x v="1"/>
    <x v="668"/>
    <x v="4"/>
    <n v="24.74"/>
    <n v="14.84"/>
    <x v="669"/>
    <x v="1"/>
    <n v="2024"/>
    <x v="0"/>
    <n v="23.503"/>
    <n v="-7.7436922946006903E-2"/>
    <x v="1"/>
    <x v="1"/>
  </r>
  <r>
    <x v="684"/>
    <x v="314"/>
    <x v="628"/>
    <x v="1"/>
    <x v="1"/>
    <x v="1"/>
    <x v="0"/>
    <x v="35"/>
    <x v="3"/>
    <x v="669"/>
    <x v="4"/>
    <n v="30.42"/>
    <n v="8.2799999999999994"/>
    <x v="670"/>
    <x v="0"/>
    <n v="2024"/>
    <x v="0"/>
    <n v="28.899000000000001"/>
    <n v="0.15675282881760599"/>
    <x v="1"/>
    <x v="0"/>
  </r>
  <r>
    <x v="685"/>
    <x v="314"/>
    <x v="629"/>
    <x v="2"/>
    <x v="2"/>
    <x v="0"/>
    <x v="0"/>
    <x v="0"/>
    <x v="2"/>
    <x v="670"/>
    <x v="2"/>
    <n v="264.98"/>
    <n v="6.43"/>
    <x v="671"/>
    <x v="2"/>
    <n v="2024"/>
    <x v="0"/>
    <n v="225.233"/>
    <n v="0.38666625228097101"/>
    <x v="0"/>
    <x v="0"/>
  </r>
  <r>
    <x v="686"/>
    <x v="315"/>
    <x v="630"/>
    <x v="2"/>
    <x v="5"/>
    <x v="3"/>
    <x v="0"/>
    <x v="35"/>
    <x v="5"/>
    <x v="671"/>
    <x v="0"/>
    <n v="310.5"/>
    <n v="11.64"/>
    <x v="672"/>
    <x v="3"/>
    <n v="2024"/>
    <x v="0"/>
    <n v="310.5"/>
    <n v="0.41249597423510498"/>
    <x v="0"/>
    <x v="0"/>
  </r>
  <r>
    <x v="687"/>
    <x v="316"/>
    <x v="631"/>
    <x v="0"/>
    <x v="19"/>
    <x v="1"/>
    <x v="1"/>
    <x v="17"/>
    <x v="3"/>
    <x v="672"/>
    <x v="3"/>
    <n v="19.48"/>
    <n v="9.4499999999999993"/>
    <x v="673"/>
    <x v="2"/>
    <n v="2024"/>
    <x v="0"/>
    <n v="17.532"/>
    <n v="1.65411818389231E-2"/>
    <x v="1"/>
    <x v="0"/>
  </r>
  <r>
    <x v="688"/>
    <x v="316"/>
    <x v="271"/>
    <x v="2"/>
    <x v="7"/>
    <x v="4"/>
    <x v="3"/>
    <x v="37"/>
    <x v="3"/>
    <x v="673"/>
    <x v="2"/>
    <n v="18.309999999999999"/>
    <n v="12.49"/>
    <x v="674"/>
    <x v="1"/>
    <n v="2024"/>
    <x v="0"/>
    <n v="15.563499999999999"/>
    <n v="-0.318051852089826"/>
    <x v="1"/>
    <x v="1"/>
  </r>
  <r>
    <x v="689"/>
    <x v="316"/>
    <x v="632"/>
    <x v="2"/>
    <x v="15"/>
    <x v="2"/>
    <x v="0"/>
    <x v="22"/>
    <x v="2"/>
    <x v="674"/>
    <x v="0"/>
    <n v="151.34"/>
    <n v="12.13"/>
    <x v="675"/>
    <x v="1"/>
    <n v="2024"/>
    <x v="0"/>
    <n v="151.34"/>
    <n v="0.36982952292850502"/>
    <x v="0"/>
    <x v="0"/>
  </r>
  <r>
    <x v="690"/>
    <x v="316"/>
    <x v="633"/>
    <x v="1"/>
    <x v="2"/>
    <x v="0"/>
    <x v="3"/>
    <x v="27"/>
    <x v="4"/>
    <x v="675"/>
    <x v="1"/>
    <n v="247.06"/>
    <n v="17.98"/>
    <x v="676"/>
    <x v="3"/>
    <n v="2024"/>
    <x v="0"/>
    <n v="197.648"/>
    <n v="0.37779284384360101"/>
    <x v="0"/>
    <x v="0"/>
  </r>
  <r>
    <x v="691"/>
    <x v="317"/>
    <x v="634"/>
    <x v="1"/>
    <x v="8"/>
    <x v="1"/>
    <x v="2"/>
    <x v="39"/>
    <x v="2"/>
    <x v="676"/>
    <x v="4"/>
    <n v="154.19999999999999"/>
    <n v="9.07"/>
    <x v="677"/>
    <x v="1"/>
    <n v="2024"/>
    <x v="0"/>
    <n v="146.49"/>
    <n v="0.32589255239265502"/>
    <x v="0"/>
    <x v="0"/>
  </r>
  <r>
    <x v="692"/>
    <x v="317"/>
    <x v="635"/>
    <x v="1"/>
    <x v="16"/>
    <x v="3"/>
    <x v="1"/>
    <x v="2"/>
    <x v="0"/>
    <x v="677"/>
    <x v="2"/>
    <n v="28.36"/>
    <n v="13.43"/>
    <x v="678"/>
    <x v="2"/>
    <n v="2024"/>
    <x v="0"/>
    <n v="24.106000000000002"/>
    <n v="-3.3186758483365101E-3"/>
    <x v="1"/>
    <x v="1"/>
  </r>
  <r>
    <x v="693"/>
    <x v="318"/>
    <x v="77"/>
    <x v="2"/>
    <x v="0"/>
    <x v="0"/>
    <x v="1"/>
    <x v="6"/>
    <x v="5"/>
    <x v="678"/>
    <x v="0"/>
    <n v="105.15"/>
    <n v="11.25"/>
    <x v="679"/>
    <x v="1"/>
    <n v="2024"/>
    <x v="0"/>
    <n v="105.15"/>
    <n v="0.44298621017593898"/>
    <x v="0"/>
    <x v="0"/>
  </r>
  <r>
    <x v="694"/>
    <x v="318"/>
    <x v="73"/>
    <x v="1"/>
    <x v="15"/>
    <x v="2"/>
    <x v="2"/>
    <x v="21"/>
    <x v="6"/>
    <x v="679"/>
    <x v="3"/>
    <n v="218.42"/>
    <n v="22.52"/>
    <x v="680"/>
    <x v="3"/>
    <n v="2024"/>
    <x v="0"/>
    <n v="196.578"/>
    <n v="0.25582720345104698"/>
    <x v="0"/>
    <x v="0"/>
  </r>
  <r>
    <x v="695"/>
    <x v="319"/>
    <x v="636"/>
    <x v="2"/>
    <x v="2"/>
    <x v="0"/>
    <x v="1"/>
    <x v="38"/>
    <x v="2"/>
    <x v="680"/>
    <x v="3"/>
    <n v="21.31"/>
    <n v="9.8699999999999992"/>
    <x v="681"/>
    <x v="1"/>
    <n v="2024"/>
    <x v="0"/>
    <n v="19.178999999999998"/>
    <n v="4.0669482246206798E-2"/>
    <x v="1"/>
    <x v="0"/>
  </r>
  <r>
    <x v="696"/>
    <x v="319"/>
    <x v="101"/>
    <x v="1"/>
    <x v="9"/>
    <x v="3"/>
    <x v="0"/>
    <x v="18"/>
    <x v="1"/>
    <x v="681"/>
    <x v="1"/>
    <n v="88.16"/>
    <n v="14.39"/>
    <x v="682"/>
    <x v="3"/>
    <n v="2024"/>
    <x v="0"/>
    <n v="70.528000000000006"/>
    <n v="0.186592558983666"/>
    <x v="1"/>
    <x v="0"/>
  </r>
  <r>
    <x v="697"/>
    <x v="320"/>
    <x v="364"/>
    <x v="1"/>
    <x v="16"/>
    <x v="3"/>
    <x v="1"/>
    <x v="10"/>
    <x v="3"/>
    <x v="608"/>
    <x v="2"/>
    <n v="8.4700000000000006"/>
    <n v="9.9"/>
    <x v="683"/>
    <x v="3"/>
    <n v="2024"/>
    <x v="0"/>
    <n v="7.1994999999999996"/>
    <n v="-0.82089033960691704"/>
    <x v="1"/>
    <x v="1"/>
  </r>
  <r>
    <x v="698"/>
    <x v="321"/>
    <x v="637"/>
    <x v="0"/>
    <x v="13"/>
    <x v="0"/>
    <x v="0"/>
    <x v="3"/>
    <x v="0"/>
    <x v="682"/>
    <x v="3"/>
    <n v="91.96"/>
    <n v="12.43"/>
    <x v="684"/>
    <x v="2"/>
    <n v="2024"/>
    <x v="0"/>
    <n v="82.763999999999996"/>
    <n v="0.28188584408680101"/>
    <x v="1"/>
    <x v="0"/>
  </r>
  <r>
    <x v="699"/>
    <x v="321"/>
    <x v="638"/>
    <x v="1"/>
    <x v="13"/>
    <x v="0"/>
    <x v="2"/>
    <x v="21"/>
    <x v="2"/>
    <x v="683"/>
    <x v="1"/>
    <n v="98.69"/>
    <n v="6.34"/>
    <x v="685"/>
    <x v="2"/>
    <n v="2024"/>
    <x v="0"/>
    <n v="78.951999999999998"/>
    <n v="0.232166379572398"/>
    <x v="1"/>
    <x v="0"/>
  </r>
  <r>
    <x v="700"/>
    <x v="321"/>
    <x v="639"/>
    <x v="1"/>
    <x v="5"/>
    <x v="3"/>
    <x v="1"/>
    <x v="19"/>
    <x v="1"/>
    <x v="684"/>
    <x v="3"/>
    <n v="20.84"/>
    <n v="15.81"/>
    <x v="686"/>
    <x v="2"/>
    <n v="2024"/>
    <x v="0"/>
    <n v="18.756"/>
    <n v="-0.28737470676050297"/>
    <x v="1"/>
    <x v="1"/>
  </r>
  <r>
    <x v="701"/>
    <x v="322"/>
    <x v="316"/>
    <x v="2"/>
    <x v="2"/>
    <x v="0"/>
    <x v="0"/>
    <x v="35"/>
    <x v="3"/>
    <x v="685"/>
    <x v="4"/>
    <n v="34.72"/>
    <n v="5.81"/>
    <x v="687"/>
    <x v="1"/>
    <n v="2024"/>
    <x v="0"/>
    <n v="32.984000000000002"/>
    <n v="0.26709919961193301"/>
    <x v="1"/>
    <x v="0"/>
  </r>
  <r>
    <x v="702"/>
    <x v="322"/>
    <x v="640"/>
    <x v="0"/>
    <x v="2"/>
    <x v="0"/>
    <x v="0"/>
    <x v="18"/>
    <x v="1"/>
    <x v="686"/>
    <x v="4"/>
    <n v="135.09"/>
    <n v="11.22"/>
    <x v="688"/>
    <x v="1"/>
    <n v="2024"/>
    <x v="0"/>
    <n v="128.3355"/>
    <n v="0.35578620101219099"/>
    <x v="0"/>
    <x v="0"/>
  </r>
  <r>
    <x v="703"/>
    <x v="323"/>
    <x v="641"/>
    <x v="0"/>
    <x v="9"/>
    <x v="3"/>
    <x v="2"/>
    <x v="4"/>
    <x v="3"/>
    <x v="687"/>
    <x v="6"/>
    <n v="148.25"/>
    <n v="9.65"/>
    <x v="689"/>
    <x v="1"/>
    <n v="2024"/>
    <x v="0"/>
    <n v="111.1875"/>
    <n v="0.17987633501967401"/>
    <x v="0"/>
    <x v="0"/>
  </r>
  <r>
    <x v="704"/>
    <x v="323"/>
    <x v="499"/>
    <x v="1"/>
    <x v="0"/>
    <x v="0"/>
    <x v="0"/>
    <x v="28"/>
    <x v="2"/>
    <x v="688"/>
    <x v="3"/>
    <n v="88.63"/>
    <n v="9.16"/>
    <x v="690"/>
    <x v="1"/>
    <n v="2024"/>
    <x v="0"/>
    <n v="79.766999999999996"/>
    <n v="0.31729913372697999"/>
    <x v="1"/>
    <x v="0"/>
  </r>
  <r>
    <x v="705"/>
    <x v="323"/>
    <x v="642"/>
    <x v="0"/>
    <x v="8"/>
    <x v="1"/>
    <x v="3"/>
    <x v="24"/>
    <x v="0"/>
    <x v="689"/>
    <x v="1"/>
    <n v="178.7"/>
    <n v="12.62"/>
    <x v="691"/>
    <x v="2"/>
    <n v="2024"/>
    <x v="0"/>
    <n v="142.96"/>
    <n v="0.38045607162842798"/>
    <x v="0"/>
    <x v="0"/>
  </r>
  <r>
    <x v="706"/>
    <x v="324"/>
    <x v="643"/>
    <x v="0"/>
    <x v="19"/>
    <x v="1"/>
    <x v="0"/>
    <x v="18"/>
    <x v="5"/>
    <x v="690"/>
    <x v="0"/>
    <n v="183.4"/>
    <n v="16.95"/>
    <x v="692"/>
    <x v="3"/>
    <n v="2024"/>
    <x v="0"/>
    <n v="183.4"/>
    <n v="0.35757906215921498"/>
    <x v="0"/>
    <x v="0"/>
  </r>
  <r>
    <x v="707"/>
    <x v="324"/>
    <x v="644"/>
    <x v="0"/>
    <x v="13"/>
    <x v="0"/>
    <x v="3"/>
    <x v="9"/>
    <x v="2"/>
    <x v="691"/>
    <x v="0"/>
    <n v="123.9"/>
    <n v="8.6999999999999993"/>
    <x v="693"/>
    <x v="2"/>
    <n v="2024"/>
    <x v="0"/>
    <n v="123.9"/>
    <n v="0.42978208232445497"/>
    <x v="0"/>
    <x v="0"/>
  </r>
  <r>
    <x v="708"/>
    <x v="325"/>
    <x v="645"/>
    <x v="1"/>
    <x v="16"/>
    <x v="3"/>
    <x v="1"/>
    <x v="12"/>
    <x v="0"/>
    <x v="692"/>
    <x v="1"/>
    <n v="45.24"/>
    <n v="12.65"/>
    <x v="444"/>
    <x v="1"/>
    <n v="2024"/>
    <x v="0"/>
    <n v="36.192"/>
    <n v="0.19728116710875301"/>
    <x v="1"/>
    <x v="0"/>
  </r>
  <r>
    <x v="709"/>
    <x v="325"/>
    <x v="646"/>
    <x v="0"/>
    <x v="0"/>
    <x v="0"/>
    <x v="3"/>
    <x v="16"/>
    <x v="5"/>
    <x v="693"/>
    <x v="6"/>
    <n v="186.41"/>
    <n v="8.76"/>
    <x v="498"/>
    <x v="2"/>
    <n v="2024"/>
    <x v="0"/>
    <n v="139.8075"/>
    <n v="0.38173917708277399"/>
    <x v="0"/>
    <x v="0"/>
  </r>
  <r>
    <x v="710"/>
    <x v="326"/>
    <x v="647"/>
    <x v="0"/>
    <x v="0"/>
    <x v="0"/>
    <x v="3"/>
    <x v="11"/>
    <x v="0"/>
    <x v="694"/>
    <x v="1"/>
    <n v="141.77000000000001"/>
    <n v="11.25"/>
    <x v="694"/>
    <x v="1"/>
    <n v="2024"/>
    <x v="0"/>
    <n v="113.416"/>
    <n v="0.369612753050716"/>
    <x v="0"/>
    <x v="0"/>
  </r>
  <r>
    <x v="711"/>
    <x v="326"/>
    <x v="648"/>
    <x v="0"/>
    <x v="5"/>
    <x v="3"/>
    <x v="1"/>
    <x v="6"/>
    <x v="2"/>
    <x v="695"/>
    <x v="2"/>
    <n v="36.74"/>
    <n v="13.06"/>
    <x v="695"/>
    <x v="3"/>
    <n v="2024"/>
    <x v="0"/>
    <n v="31.228999999999999"/>
    <n v="0.135451023087515"/>
    <x v="1"/>
    <x v="0"/>
  </r>
  <r>
    <x v="712"/>
    <x v="327"/>
    <x v="649"/>
    <x v="1"/>
    <x v="0"/>
    <x v="0"/>
    <x v="3"/>
    <x v="33"/>
    <x v="2"/>
    <x v="696"/>
    <x v="4"/>
    <n v="75.28"/>
    <n v="6"/>
    <x v="696"/>
    <x v="1"/>
    <n v="2024"/>
    <x v="0"/>
    <n v="71.516000000000005"/>
    <n v="0.41473236758207999"/>
    <x v="1"/>
    <x v="0"/>
  </r>
  <r>
    <x v="713"/>
    <x v="328"/>
    <x v="206"/>
    <x v="0"/>
    <x v="15"/>
    <x v="2"/>
    <x v="0"/>
    <x v="1"/>
    <x v="8"/>
    <x v="697"/>
    <x v="1"/>
    <n v="1444.8"/>
    <n v="37.799999999999997"/>
    <x v="697"/>
    <x v="1"/>
    <n v="2024"/>
    <x v="0"/>
    <n v="1155.8399999999999"/>
    <n v="0.35792151162790697"/>
    <x v="2"/>
    <x v="0"/>
  </r>
  <r>
    <x v="714"/>
    <x v="329"/>
    <x v="209"/>
    <x v="1"/>
    <x v="2"/>
    <x v="0"/>
    <x v="1"/>
    <x v="20"/>
    <x v="5"/>
    <x v="698"/>
    <x v="0"/>
    <n v="43.4"/>
    <n v="13.4"/>
    <x v="698"/>
    <x v="3"/>
    <n v="2024"/>
    <x v="0"/>
    <n v="43.4"/>
    <n v="0.24124423963133601"/>
    <x v="1"/>
    <x v="0"/>
  </r>
  <r>
    <x v="715"/>
    <x v="330"/>
    <x v="650"/>
    <x v="2"/>
    <x v="9"/>
    <x v="3"/>
    <x v="2"/>
    <x v="32"/>
    <x v="2"/>
    <x v="699"/>
    <x v="4"/>
    <n v="56.28"/>
    <n v="10.79"/>
    <x v="699"/>
    <x v="2"/>
    <n v="2024"/>
    <x v="0"/>
    <n v="53.466000000000001"/>
    <n v="0.18609957730146301"/>
    <x v="1"/>
    <x v="0"/>
  </r>
  <r>
    <x v="716"/>
    <x v="330"/>
    <x v="651"/>
    <x v="0"/>
    <x v="0"/>
    <x v="0"/>
    <x v="0"/>
    <x v="1"/>
    <x v="2"/>
    <x v="700"/>
    <x v="2"/>
    <n v="164.85"/>
    <n v="9.27"/>
    <x v="700"/>
    <x v="3"/>
    <n v="2024"/>
    <x v="0"/>
    <n v="140.1225"/>
    <n v="0.349051722599868"/>
    <x v="0"/>
    <x v="0"/>
  </r>
  <r>
    <x v="717"/>
    <x v="330"/>
    <x v="652"/>
    <x v="2"/>
    <x v="12"/>
    <x v="4"/>
    <x v="1"/>
    <x v="2"/>
    <x v="3"/>
    <x v="701"/>
    <x v="0"/>
    <n v="15.66"/>
    <n v="10.77"/>
    <x v="701"/>
    <x v="1"/>
    <n v="2024"/>
    <x v="0"/>
    <n v="15.66"/>
    <n v="-0.13793103448275901"/>
    <x v="1"/>
    <x v="1"/>
  </r>
  <r>
    <x v="718"/>
    <x v="331"/>
    <x v="653"/>
    <x v="0"/>
    <x v="2"/>
    <x v="0"/>
    <x v="2"/>
    <x v="5"/>
    <x v="3"/>
    <x v="702"/>
    <x v="4"/>
    <n v="88.43"/>
    <n v="6.7"/>
    <x v="702"/>
    <x v="3"/>
    <n v="2024"/>
    <x v="1"/>
    <n v="84.008499999999998"/>
    <n v="0.30806406494580901"/>
    <x v="1"/>
    <x v="0"/>
  </r>
  <r>
    <x v="719"/>
    <x v="331"/>
    <x v="654"/>
    <x v="0"/>
    <x v="3"/>
    <x v="1"/>
    <x v="3"/>
    <x v="9"/>
    <x v="2"/>
    <x v="703"/>
    <x v="3"/>
    <n v="68.540000000000006"/>
    <n v="10.11"/>
    <x v="703"/>
    <x v="0"/>
    <n v="2024"/>
    <x v="1"/>
    <n v="61.686"/>
    <n v="0.32989657296631297"/>
    <x v="1"/>
    <x v="0"/>
  </r>
  <r>
    <x v="720"/>
    <x v="332"/>
    <x v="618"/>
    <x v="2"/>
    <x v="10"/>
    <x v="3"/>
    <x v="1"/>
    <x v="38"/>
    <x v="3"/>
    <x v="414"/>
    <x v="4"/>
    <n v="13.22"/>
    <n v="10.039999999999999"/>
    <x v="704"/>
    <x v="2"/>
    <n v="2024"/>
    <x v="1"/>
    <n v="12.558999999999999"/>
    <n v="-0.24524245560952301"/>
    <x v="1"/>
    <x v="1"/>
  </r>
  <r>
    <x v="721"/>
    <x v="332"/>
    <x v="655"/>
    <x v="2"/>
    <x v="1"/>
    <x v="1"/>
    <x v="2"/>
    <x v="36"/>
    <x v="2"/>
    <x v="704"/>
    <x v="0"/>
    <n v="595.6"/>
    <n v="11.67"/>
    <x v="705"/>
    <x v="2"/>
    <n v="2024"/>
    <x v="1"/>
    <n v="595.6"/>
    <n v="0.38040631296171901"/>
    <x v="2"/>
    <x v="0"/>
  </r>
  <r>
    <x v="722"/>
    <x v="333"/>
    <x v="656"/>
    <x v="0"/>
    <x v="14"/>
    <x v="1"/>
    <x v="1"/>
    <x v="20"/>
    <x v="3"/>
    <x v="705"/>
    <x v="0"/>
    <n v="10.39"/>
    <n v="7.64"/>
    <x v="706"/>
    <x v="2"/>
    <n v="2024"/>
    <x v="1"/>
    <n v="10.39"/>
    <n v="-0.18575553416746901"/>
    <x v="1"/>
    <x v="1"/>
  </r>
  <r>
    <x v="723"/>
    <x v="333"/>
    <x v="657"/>
    <x v="0"/>
    <x v="0"/>
    <x v="0"/>
    <x v="2"/>
    <x v="39"/>
    <x v="2"/>
    <x v="706"/>
    <x v="1"/>
    <n v="343.07"/>
    <n v="6.04"/>
    <x v="707"/>
    <x v="1"/>
    <n v="2024"/>
    <x v="1"/>
    <n v="274.45600000000002"/>
    <n v="0.290501938379922"/>
    <x v="0"/>
    <x v="0"/>
  </r>
  <r>
    <x v="724"/>
    <x v="333"/>
    <x v="359"/>
    <x v="0"/>
    <x v="0"/>
    <x v="0"/>
    <x v="0"/>
    <x v="22"/>
    <x v="1"/>
    <x v="707"/>
    <x v="0"/>
    <n v="386.36"/>
    <n v="8.86"/>
    <x v="708"/>
    <x v="2"/>
    <n v="2024"/>
    <x v="1"/>
    <n v="386.36"/>
    <n v="0.427062842944404"/>
    <x v="0"/>
    <x v="0"/>
  </r>
  <r>
    <x v="725"/>
    <x v="334"/>
    <x v="658"/>
    <x v="0"/>
    <x v="16"/>
    <x v="3"/>
    <x v="3"/>
    <x v="24"/>
    <x v="8"/>
    <x v="708"/>
    <x v="0"/>
    <n v="650.04"/>
    <n v="38.1"/>
    <x v="709"/>
    <x v="3"/>
    <n v="2024"/>
    <x v="1"/>
    <n v="650.04"/>
    <n v="0.44138822226324498"/>
    <x v="2"/>
    <x v="0"/>
  </r>
  <r>
    <x v="726"/>
    <x v="334"/>
    <x v="659"/>
    <x v="1"/>
    <x v="1"/>
    <x v="1"/>
    <x v="3"/>
    <x v="13"/>
    <x v="1"/>
    <x v="709"/>
    <x v="4"/>
    <n v="342.15"/>
    <n v="13.31"/>
    <x v="710"/>
    <x v="3"/>
    <n v="2024"/>
    <x v="1"/>
    <n v="325.04250000000002"/>
    <n v="0.45766322865471398"/>
    <x v="0"/>
    <x v="0"/>
  </r>
  <r>
    <x v="727"/>
    <x v="334"/>
    <x v="109"/>
    <x v="1"/>
    <x v="3"/>
    <x v="1"/>
    <x v="0"/>
    <x v="3"/>
    <x v="2"/>
    <x v="710"/>
    <x v="2"/>
    <n v="57.34"/>
    <n v="11.05"/>
    <x v="711"/>
    <x v="1"/>
    <n v="2024"/>
    <x v="1"/>
    <n v="48.738999999999997"/>
    <n v="0.188555366339071"/>
    <x v="1"/>
    <x v="0"/>
  </r>
  <r>
    <x v="728"/>
    <x v="335"/>
    <x v="660"/>
    <x v="1"/>
    <x v="1"/>
    <x v="1"/>
    <x v="0"/>
    <x v="3"/>
    <x v="1"/>
    <x v="711"/>
    <x v="0"/>
    <n v="269.56"/>
    <n v="16.2"/>
    <x v="712"/>
    <x v="2"/>
    <n v="2024"/>
    <x v="1"/>
    <n v="269.56"/>
    <n v="0.38989464312212502"/>
    <x v="0"/>
    <x v="0"/>
  </r>
  <r>
    <x v="729"/>
    <x v="335"/>
    <x v="661"/>
    <x v="1"/>
    <x v="9"/>
    <x v="3"/>
    <x v="2"/>
    <x v="15"/>
    <x v="4"/>
    <x v="712"/>
    <x v="2"/>
    <n v="2264.35"/>
    <n v="18.29"/>
    <x v="713"/>
    <x v="1"/>
    <n v="2024"/>
    <x v="1"/>
    <n v="1924.6975"/>
    <n v="0.33652041424691398"/>
    <x v="2"/>
    <x v="0"/>
  </r>
  <r>
    <x v="730"/>
    <x v="336"/>
    <x v="662"/>
    <x v="2"/>
    <x v="8"/>
    <x v="1"/>
    <x v="0"/>
    <x v="0"/>
    <x v="3"/>
    <x v="713"/>
    <x v="4"/>
    <n v="205.44"/>
    <n v="7.52"/>
    <x v="714"/>
    <x v="2"/>
    <n v="2024"/>
    <x v="1"/>
    <n v="195.16800000000001"/>
    <n v="0.40467699622888997"/>
    <x v="0"/>
    <x v="0"/>
  </r>
  <r>
    <x v="731"/>
    <x v="336"/>
    <x v="630"/>
    <x v="1"/>
    <x v="16"/>
    <x v="3"/>
    <x v="3"/>
    <x v="13"/>
    <x v="2"/>
    <x v="714"/>
    <x v="2"/>
    <n v="151.66"/>
    <n v="13.6"/>
    <x v="715"/>
    <x v="1"/>
    <n v="2024"/>
    <x v="1"/>
    <n v="128.911"/>
    <n v="0.37894361225962098"/>
    <x v="0"/>
    <x v="0"/>
  </r>
  <r>
    <x v="732"/>
    <x v="337"/>
    <x v="663"/>
    <x v="0"/>
    <x v="12"/>
    <x v="4"/>
    <x v="2"/>
    <x v="14"/>
    <x v="7"/>
    <x v="715"/>
    <x v="3"/>
    <n v="1300.0999999999999"/>
    <n v="17.579999999999998"/>
    <x v="716"/>
    <x v="1"/>
    <n v="2024"/>
    <x v="1"/>
    <n v="1170.0899999999999"/>
    <n v="0.35534018750694402"/>
    <x v="2"/>
    <x v="0"/>
  </r>
  <r>
    <x v="733"/>
    <x v="337"/>
    <x v="664"/>
    <x v="0"/>
    <x v="11"/>
    <x v="2"/>
    <x v="0"/>
    <x v="35"/>
    <x v="2"/>
    <x v="716"/>
    <x v="4"/>
    <n v="41.84"/>
    <n v="13.18"/>
    <x v="717"/>
    <x v="0"/>
    <n v="2024"/>
    <x v="1"/>
    <n v="39.747999999999998"/>
    <n v="0.111703733521183"/>
    <x v="1"/>
    <x v="0"/>
  </r>
  <r>
    <x v="734"/>
    <x v="338"/>
    <x v="665"/>
    <x v="1"/>
    <x v="2"/>
    <x v="0"/>
    <x v="1"/>
    <x v="12"/>
    <x v="5"/>
    <x v="717"/>
    <x v="4"/>
    <n v="52.11"/>
    <n v="14.23"/>
    <x v="718"/>
    <x v="2"/>
    <n v="2024"/>
    <x v="1"/>
    <n v="49.5045"/>
    <n v="0.26664242644608099"/>
    <x v="1"/>
    <x v="0"/>
  </r>
  <r>
    <x v="735"/>
    <x v="339"/>
    <x v="666"/>
    <x v="0"/>
    <x v="12"/>
    <x v="4"/>
    <x v="0"/>
    <x v="22"/>
    <x v="3"/>
    <x v="718"/>
    <x v="4"/>
    <n v="74.680000000000007"/>
    <n v="11.74"/>
    <x v="568"/>
    <x v="1"/>
    <n v="2024"/>
    <x v="1"/>
    <n v="70.945999999999998"/>
    <n v="0.27767597891354001"/>
    <x v="1"/>
    <x v="0"/>
  </r>
  <r>
    <x v="736"/>
    <x v="339"/>
    <x v="667"/>
    <x v="1"/>
    <x v="1"/>
    <x v="1"/>
    <x v="1"/>
    <x v="38"/>
    <x v="3"/>
    <x v="719"/>
    <x v="0"/>
    <n v="12.56"/>
    <n v="8.15"/>
    <x v="719"/>
    <x v="2"/>
    <n v="2024"/>
    <x v="1"/>
    <n v="12.56"/>
    <n v="-9.8726114649681507E-2"/>
    <x v="1"/>
    <x v="1"/>
  </r>
  <r>
    <x v="737"/>
    <x v="340"/>
    <x v="638"/>
    <x v="1"/>
    <x v="6"/>
    <x v="2"/>
    <x v="3"/>
    <x v="13"/>
    <x v="1"/>
    <x v="524"/>
    <x v="0"/>
    <n v="435.84"/>
    <n v="18.91"/>
    <x v="720"/>
    <x v="0"/>
    <n v="2024"/>
    <x v="1"/>
    <n v="435.84"/>
    <n v="0.45661251835535999"/>
    <x v="0"/>
    <x v="0"/>
  </r>
  <r>
    <x v="738"/>
    <x v="340"/>
    <x v="668"/>
    <x v="1"/>
    <x v="0"/>
    <x v="0"/>
    <x v="2"/>
    <x v="34"/>
    <x v="1"/>
    <x v="720"/>
    <x v="4"/>
    <n v="154.19999999999999"/>
    <n v="13.86"/>
    <x v="721"/>
    <x v="2"/>
    <n v="2024"/>
    <x v="1"/>
    <n v="146.49"/>
    <n v="0.293194074680866"/>
    <x v="0"/>
    <x v="0"/>
  </r>
  <r>
    <x v="739"/>
    <x v="341"/>
    <x v="424"/>
    <x v="1"/>
    <x v="5"/>
    <x v="3"/>
    <x v="0"/>
    <x v="18"/>
    <x v="3"/>
    <x v="721"/>
    <x v="0"/>
    <n v="28.43"/>
    <n v="11.31"/>
    <x v="722"/>
    <x v="0"/>
    <n v="2024"/>
    <x v="1"/>
    <n v="28.43"/>
    <n v="5.2057685543440001E-2"/>
    <x v="1"/>
    <x v="0"/>
  </r>
  <r>
    <x v="740"/>
    <x v="342"/>
    <x v="537"/>
    <x v="0"/>
    <x v="6"/>
    <x v="2"/>
    <x v="1"/>
    <x v="17"/>
    <x v="3"/>
    <x v="722"/>
    <x v="2"/>
    <n v="17.63"/>
    <n v="13.45"/>
    <x v="723"/>
    <x v="1"/>
    <n v="2024"/>
    <x v="1"/>
    <n v="14.9855"/>
    <n v="-0.34366554335858002"/>
    <x v="1"/>
    <x v="1"/>
  </r>
  <r>
    <x v="741"/>
    <x v="343"/>
    <x v="190"/>
    <x v="1"/>
    <x v="16"/>
    <x v="3"/>
    <x v="3"/>
    <x v="33"/>
    <x v="5"/>
    <x v="723"/>
    <x v="6"/>
    <n v="181.28"/>
    <n v="14.29"/>
    <x v="724"/>
    <x v="1"/>
    <n v="2024"/>
    <x v="1"/>
    <n v="135.96"/>
    <n v="0.33936451897616898"/>
    <x v="0"/>
    <x v="0"/>
  </r>
  <r>
    <x v="742"/>
    <x v="344"/>
    <x v="669"/>
    <x v="1"/>
    <x v="0"/>
    <x v="0"/>
    <x v="2"/>
    <x v="15"/>
    <x v="6"/>
    <x v="724"/>
    <x v="0"/>
    <n v="3007.62"/>
    <n v="13.26"/>
    <x v="725"/>
    <x v="2"/>
    <n v="2024"/>
    <x v="1"/>
    <n v="3007.62"/>
    <n v="0.39559186333379898"/>
    <x v="2"/>
    <x v="0"/>
  </r>
  <r>
    <x v="743"/>
    <x v="344"/>
    <x v="670"/>
    <x v="0"/>
    <x v="10"/>
    <x v="3"/>
    <x v="2"/>
    <x v="21"/>
    <x v="2"/>
    <x v="725"/>
    <x v="1"/>
    <n v="77.31"/>
    <n v="12.19"/>
    <x v="444"/>
    <x v="0"/>
    <n v="2024"/>
    <x v="1"/>
    <n v="61.847999999999999"/>
    <n v="0.115444315095072"/>
    <x v="1"/>
    <x v="0"/>
  </r>
  <r>
    <x v="744"/>
    <x v="344"/>
    <x v="671"/>
    <x v="0"/>
    <x v="3"/>
    <x v="1"/>
    <x v="3"/>
    <x v="27"/>
    <x v="0"/>
    <x v="726"/>
    <x v="4"/>
    <n v="176.76"/>
    <n v="8.7899999999999991"/>
    <x v="726"/>
    <x v="0"/>
    <n v="2024"/>
    <x v="1"/>
    <n v="167.922"/>
    <n v="0.44627862936363299"/>
    <x v="0"/>
    <x v="0"/>
  </r>
  <r>
    <x v="745"/>
    <x v="345"/>
    <x v="672"/>
    <x v="0"/>
    <x v="19"/>
    <x v="1"/>
    <x v="0"/>
    <x v="35"/>
    <x v="3"/>
    <x v="727"/>
    <x v="2"/>
    <n v="53.01"/>
    <n v="7.88"/>
    <x v="727"/>
    <x v="1"/>
    <n v="2024"/>
    <x v="1"/>
    <n v="45.058500000000002"/>
    <n v="0.24035420619860801"/>
    <x v="1"/>
    <x v="0"/>
  </r>
  <r>
    <x v="746"/>
    <x v="345"/>
    <x v="673"/>
    <x v="0"/>
    <x v="2"/>
    <x v="0"/>
    <x v="3"/>
    <x v="24"/>
    <x v="0"/>
    <x v="728"/>
    <x v="0"/>
    <n v="131.16"/>
    <n v="11.64"/>
    <x v="728"/>
    <x v="2"/>
    <n v="2024"/>
    <x v="1"/>
    <n v="131.16"/>
    <n v="0.41125343092406202"/>
    <x v="0"/>
    <x v="0"/>
  </r>
  <r>
    <x v="747"/>
    <x v="345"/>
    <x v="674"/>
    <x v="2"/>
    <x v="8"/>
    <x v="1"/>
    <x v="3"/>
    <x v="30"/>
    <x v="5"/>
    <x v="729"/>
    <x v="0"/>
    <n v="65.349999999999994"/>
    <n v="13.22"/>
    <x v="729"/>
    <x v="3"/>
    <n v="2024"/>
    <x v="1"/>
    <n v="65.349999999999994"/>
    <n v="0.29762815608263199"/>
    <x v="1"/>
    <x v="0"/>
  </r>
  <r>
    <x v="748"/>
    <x v="345"/>
    <x v="675"/>
    <x v="0"/>
    <x v="0"/>
    <x v="0"/>
    <x v="2"/>
    <x v="4"/>
    <x v="3"/>
    <x v="730"/>
    <x v="3"/>
    <n v="221.84"/>
    <n v="6.91"/>
    <x v="730"/>
    <x v="1"/>
    <n v="2024"/>
    <x v="1"/>
    <n v="199.65600000000001"/>
    <n v="0.33577753736426702"/>
    <x v="0"/>
    <x v="0"/>
  </r>
  <r>
    <x v="749"/>
    <x v="346"/>
    <x v="676"/>
    <x v="1"/>
    <x v="13"/>
    <x v="0"/>
    <x v="3"/>
    <x v="30"/>
    <x v="6"/>
    <x v="731"/>
    <x v="4"/>
    <n v="154.68"/>
    <n v="15.24"/>
    <x v="731"/>
    <x v="1"/>
    <n v="2024"/>
    <x v="1"/>
    <n v="146.946"/>
    <n v="0.394906972629401"/>
    <x v="0"/>
    <x v="0"/>
  </r>
  <r>
    <x v="750"/>
    <x v="347"/>
    <x v="241"/>
    <x v="1"/>
    <x v="8"/>
    <x v="1"/>
    <x v="2"/>
    <x v="21"/>
    <x v="3"/>
    <x v="122"/>
    <x v="0"/>
    <n v="61.18"/>
    <n v="8.33"/>
    <x v="732"/>
    <x v="2"/>
    <n v="2024"/>
    <x v="1"/>
    <n v="61.18"/>
    <n v="0.26381170317097102"/>
    <x v="1"/>
    <x v="0"/>
  </r>
  <r>
    <x v="751"/>
    <x v="348"/>
    <x v="677"/>
    <x v="0"/>
    <x v="19"/>
    <x v="1"/>
    <x v="0"/>
    <x v="22"/>
    <x v="1"/>
    <x v="732"/>
    <x v="1"/>
    <n v="250.72"/>
    <n v="12.16"/>
    <x v="733"/>
    <x v="2"/>
    <n v="2024"/>
    <x v="1"/>
    <n v="200.57599999999999"/>
    <n v="0.32999960114869198"/>
    <x v="0"/>
    <x v="0"/>
  </r>
  <r>
    <x v="752"/>
    <x v="348"/>
    <x v="678"/>
    <x v="1"/>
    <x v="15"/>
    <x v="2"/>
    <x v="1"/>
    <x v="17"/>
    <x v="2"/>
    <x v="733"/>
    <x v="2"/>
    <n v="22.66"/>
    <n v="15.68"/>
    <x v="734"/>
    <x v="2"/>
    <n v="2024"/>
    <x v="1"/>
    <n v="19.260999999999999"/>
    <n v="-0.26063028918540099"/>
    <x v="1"/>
    <x v="1"/>
  </r>
  <r>
    <x v="753"/>
    <x v="348"/>
    <x v="397"/>
    <x v="1"/>
    <x v="0"/>
    <x v="0"/>
    <x v="1"/>
    <x v="19"/>
    <x v="3"/>
    <x v="734"/>
    <x v="2"/>
    <n v="12.49"/>
    <n v="7.42"/>
    <x v="735"/>
    <x v="1"/>
    <n v="2024"/>
    <x v="1"/>
    <n v="10.6165"/>
    <n v="-0.14505722224838699"/>
    <x v="1"/>
    <x v="1"/>
  </r>
  <r>
    <x v="754"/>
    <x v="349"/>
    <x v="204"/>
    <x v="0"/>
    <x v="19"/>
    <x v="1"/>
    <x v="1"/>
    <x v="38"/>
    <x v="1"/>
    <x v="735"/>
    <x v="4"/>
    <n v="39.94"/>
    <n v="13.17"/>
    <x v="736"/>
    <x v="1"/>
    <n v="2024"/>
    <x v="2"/>
    <n v="37.942999999999998"/>
    <n v="0.206889281290357"/>
    <x v="1"/>
    <x v="0"/>
  </r>
  <r>
    <x v="755"/>
    <x v="350"/>
    <x v="679"/>
    <x v="2"/>
    <x v="3"/>
    <x v="1"/>
    <x v="2"/>
    <x v="36"/>
    <x v="5"/>
    <x v="736"/>
    <x v="3"/>
    <n v="592.70000000000005"/>
    <n v="10.75"/>
    <x v="737"/>
    <x v="0"/>
    <n v="2024"/>
    <x v="2"/>
    <n v="533.42999999999995"/>
    <n v="0.35022402189603102"/>
    <x v="2"/>
    <x v="0"/>
  </r>
  <r>
    <x v="756"/>
    <x v="351"/>
    <x v="332"/>
    <x v="0"/>
    <x v="10"/>
    <x v="3"/>
    <x v="1"/>
    <x v="19"/>
    <x v="5"/>
    <x v="737"/>
    <x v="0"/>
    <n v="25"/>
    <n v="13.15"/>
    <x v="738"/>
    <x v="0"/>
    <n v="2024"/>
    <x v="2"/>
    <n v="25"/>
    <n v="2.4E-2"/>
    <x v="1"/>
    <x v="0"/>
  </r>
  <r>
    <x v="757"/>
    <x v="352"/>
    <x v="415"/>
    <x v="2"/>
    <x v="13"/>
    <x v="0"/>
    <x v="1"/>
    <x v="25"/>
    <x v="3"/>
    <x v="738"/>
    <x v="3"/>
    <n v="11.63"/>
    <n v="5.83"/>
    <x v="739"/>
    <x v="1"/>
    <n v="2024"/>
    <x v="2"/>
    <n v="10.467000000000001"/>
    <n v="-9.55383586509984E-4"/>
    <x v="1"/>
    <x v="1"/>
  </r>
  <r>
    <x v="758"/>
    <x v="352"/>
    <x v="680"/>
    <x v="1"/>
    <x v="2"/>
    <x v="0"/>
    <x v="1"/>
    <x v="17"/>
    <x v="4"/>
    <x v="739"/>
    <x v="4"/>
    <n v="90.52"/>
    <n v="10.1"/>
    <x v="740"/>
    <x v="2"/>
    <n v="2024"/>
    <x v="2"/>
    <n v="85.994"/>
    <n v="0.43654208433146502"/>
    <x v="1"/>
    <x v="0"/>
  </r>
  <r>
    <x v="759"/>
    <x v="352"/>
    <x v="681"/>
    <x v="1"/>
    <x v="0"/>
    <x v="0"/>
    <x v="3"/>
    <x v="27"/>
    <x v="5"/>
    <x v="740"/>
    <x v="4"/>
    <n v="152.19"/>
    <n v="8.49"/>
    <x v="741"/>
    <x v="3"/>
    <n v="2024"/>
    <x v="2"/>
    <n v="144.5805"/>
    <n v="0.43989334661313201"/>
    <x v="0"/>
    <x v="0"/>
  </r>
  <r>
    <x v="760"/>
    <x v="352"/>
    <x v="682"/>
    <x v="0"/>
    <x v="11"/>
    <x v="2"/>
    <x v="0"/>
    <x v="0"/>
    <x v="0"/>
    <x v="741"/>
    <x v="2"/>
    <n v="478.25"/>
    <n v="15.41"/>
    <x v="742"/>
    <x v="0"/>
    <n v="2024"/>
    <x v="2"/>
    <n v="406.51249999999999"/>
    <n v="0.37730697088035398"/>
    <x v="0"/>
    <x v="0"/>
  </r>
  <r>
    <x v="761"/>
    <x v="353"/>
    <x v="683"/>
    <x v="1"/>
    <x v="5"/>
    <x v="3"/>
    <x v="0"/>
    <x v="3"/>
    <x v="11"/>
    <x v="742"/>
    <x v="4"/>
    <n v="710.18"/>
    <n v="35.32"/>
    <x v="743"/>
    <x v="0"/>
    <n v="2024"/>
    <x v="2"/>
    <n v="674.67100000000005"/>
    <n v="0.39085717334819498"/>
    <x v="2"/>
    <x v="0"/>
  </r>
  <r>
    <x v="762"/>
    <x v="353"/>
    <x v="684"/>
    <x v="0"/>
    <x v="18"/>
    <x v="4"/>
    <x v="2"/>
    <x v="8"/>
    <x v="3"/>
    <x v="743"/>
    <x v="0"/>
    <n v="127.07"/>
    <n v="10.8"/>
    <x v="744"/>
    <x v="1"/>
    <n v="2024"/>
    <x v="2"/>
    <n v="127.07"/>
    <n v="0.31502321555048401"/>
    <x v="0"/>
    <x v="0"/>
  </r>
  <r>
    <x v="763"/>
    <x v="354"/>
    <x v="685"/>
    <x v="0"/>
    <x v="5"/>
    <x v="3"/>
    <x v="3"/>
    <x v="13"/>
    <x v="5"/>
    <x v="744"/>
    <x v="0"/>
    <n v="553.25"/>
    <n v="13.18"/>
    <x v="745"/>
    <x v="1"/>
    <n v="2024"/>
    <x v="2"/>
    <n v="553.25"/>
    <n v="0.47616809760506101"/>
    <x v="2"/>
    <x v="0"/>
  </r>
  <r>
    <x v="764"/>
    <x v="354"/>
    <x v="686"/>
    <x v="1"/>
    <x v="7"/>
    <x v="4"/>
    <x v="0"/>
    <x v="29"/>
    <x v="2"/>
    <x v="745"/>
    <x v="0"/>
    <n v="55.14"/>
    <n v="12.15"/>
    <x v="746"/>
    <x v="2"/>
    <n v="2024"/>
    <x v="2"/>
    <n v="55.14"/>
    <n v="0.229597388465724"/>
    <x v="1"/>
    <x v="0"/>
  </r>
  <r>
    <x v="765"/>
    <x v="354"/>
    <x v="502"/>
    <x v="2"/>
    <x v="5"/>
    <x v="3"/>
    <x v="2"/>
    <x v="32"/>
    <x v="1"/>
    <x v="746"/>
    <x v="3"/>
    <n v="131.08000000000001"/>
    <n v="17.64"/>
    <x v="747"/>
    <x v="3"/>
    <n v="2024"/>
    <x v="2"/>
    <n v="117.97199999999999"/>
    <n v="0.22089987454650301"/>
    <x v="0"/>
    <x v="0"/>
  </r>
  <r>
    <x v="766"/>
    <x v="355"/>
    <x v="687"/>
    <x v="1"/>
    <x v="5"/>
    <x v="3"/>
    <x v="1"/>
    <x v="20"/>
    <x v="1"/>
    <x v="747"/>
    <x v="2"/>
    <n v="26.25"/>
    <n v="14"/>
    <x v="748"/>
    <x v="2"/>
    <n v="2024"/>
    <x v="2"/>
    <n v="22.3125"/>
    <n v="-7.3949579831932802E-2"/>
    <x v="1"/>
    <x v="1"/>
  </r>
  <r>
    <x v="767"/>
    <x v="355"/>
    <x v="688"/>
    <x v="1"/>
    <x v="8"/>
    <x v="1"/>
    <x v="0"/>
    <x v="18"/>
    <x v="2"/>
    <x v="748"/>
    <x v="0"/>
    <n v="115.4"/>
    <n v="9.5500000000000007"/>
    <x v="749"/>
    <x v="3"/>
    <n v="2024"/>
    <x v="2"/>
    <n v="115.4"/>
    <n v="0.36724436741767802"/>
    <x v="0"/>
    <x v="0"/>
  </r>
  <r>
    <x v="768"/>
    <x v="355"/>
    <x v="689"/>
    <x v="1"/>
    <x v="0"/>
    <x v="0"/>
    <x v="0"/>
    <x v="35"/>
    <x v="0"/>
    <x v="749"/>
    <x v="1"/>
    <n v="167.02"/>
    <n v="10.17"/>
    <x v="750"/>
    <x v="0"/>
    <n v="2024"/>
    <x v="2"/>
    <n v="133.61600000000001"/>
    <n v="0.31455813675008998"/>
    <x v="0"/>
    <x v="0"/>
  </r>
  <r>
    <x v="769"/>
    <x v="356"/>
    <x v="276"/>
    <x v="1"/>
    <x v="17"/>
    <x v="3"/>
    <x v="1"/>
    <x v="12"/>
    <x v="3"/>
    <x v="750"/>
    <x v="3"/>
    <n v="9.3800000000000008"/>
    <n v="10.01"/>
    <x v="751"/>
    <x v="1"/>
    <n v="2024"/>
    <x v="2"/>
    <n v="8.4420000000000002"/>
    <n v="-0.63018242122719703"/>
    <x v="1"/>
    <x v="1"/>
  </r>
  <r>
    <x v="770"/>
    <x v="357"/>
    <x v="690"/>
    <x v="1"/>
    <x v="4"/>
    <x v="2"/>
    <x v="1"/>
    <x v="23"/>
    <x v="3"/>
    <x v="751"/>
    <x v="0"/>
    <n v="10.33"/>
    <n v="12.17"/>
    <x v="752"/>
    <x v="1"/>
    <n v="2024"/>
    <x v="2"/>
    <n v="10.33"/>
    <n v="-0.62826718296224604"/>
    <x v="1"/>
    <x v="1"/>
  </r>
  <r>
    <x v="771"/>
    <x v="357"/>
    <x v="489"/>
    <x v="1"/>
    <x v="19"/>
    <x v="1"/>
    <x v="3"/>
    <x v="30"/>
    <x v="3"/>
    <x v="752"/>
    <x v="1"/>
    <n v="19.899999999999999"/>
    <n v="7.99"/>
    <x v="753"/>
    <x v="2"/>
    <n v="2024"/>
    <x v="2"/>
    <n v="15.92"/>
    <n v="-3.3291457286432201E-2"/>
    <x v="1"/>
    <x v="1"/>
  </r>
  <r>
    <x v="772"/>
    <x v="357"/>
    <x v="691"/>
    <x v="1"/>
    <x v="14"/>
    <x v="1"/>
    <x v="0"/>
    <x v="7"/>
    <x v="5"/>
    <x v="753"/>
    <x v="0"/>
    <n v="369.25"/>
    <n v="19.399999999999999"/>
    <x v="754"/>
    <x v="0"/>
    <n v="2024"/>
    <x v="2"/>
    <n v="369.25"/>
    <n v="0.397454299255247"/>
    <x v="0"/>
    <x v="0"/>
  </r>
  <r>
    <x v="773"/>
    <x v="358"/>
    <x v="692"/>
    <x v="0"/>
    <x v="2"/>
    <x v="0"/>
    <x v="1"/>
    <x v="25"/>
    <x v="7"/>
    <x v="754"/>
    <x v="3"/>
    <n v="116.06"/>
    <n v="20.61"/>
    <x v="755"/>
    <x v="1"/>
    <n v="2024"/>
    <x v="2"/>
    <n v="104.45399999999999"/>
    <n v="0.35824382024623302"/>
    <x v="0"/>
    <x v="0"/>
  </r>
  <r>
    <x v="774"/>
    <x v="358"/>
    <x v="693"/>
    <x v="2"/>
    <x v="5"/>
    <x v="3"/>
    <x v="0"/>
    <x v="18"/>
    <x v="1"/>
    <x v="755"/>
    <x v="0"/>
    <n v="298.56"/>
    <n v="12.03"/>
    <x v="756"/>
    <x v="2"/>
    <n v="2024"/>
    <x v="2"/>
    <n v="298.56"/>
    <n v="0.40969989281886399"/>
    <x v="0"/>
    <x v="0"/>
  </r>
  <r>
    <x v="775"/>
    <x v="358"/>
    <x v="694"/>
    <x v="2"/>
    <x v="4"/>
    <x v="2"/>
    <x v="2"/>
    <x v="36"/>
    <x v="1"/>
    <x v="756"/>
    <x v="3"/>
    <n v="430.78"/>
    <n v="18.850000000000001"/>
    <x v="757"/>
    <x v="2"/>
    <n v="2024"/>
    <x v="2"/>
    <n v="387.702"/>
    <n v="0.321767749457057"/>
    <x v="0"/>
    <x v="0"/>
  </r>
  <r>
    <x v="776"/>
    <x v="359"/>
    <x v="695"/>
    <x v="1"/>
    <x v="6"/>
    <x v="2"/>
    <x v="0"/>
    <x v="31"/>
    <x v="0"/>
    <x v="757"/>
    <x v="0"/>
    <n v="561.48"/>
    <n v="15.51"/>
    <x v="758"/>
    <x v="0"/>
    <n v="2024"/>
    <x v="2"/>
    <n v="561.48"/>
    <n v="0.42238370022084498"/>
    <x v="2"/>
    <x v="0"/>
  </r>
  <r>
    <x v="777"/>
    <x v="360"/>
    <x v="696"/>
    <x v="2"/>
    <x v="19"/>
    <x v="1"/>
    <x v="1"/>
    <x v="6"/>
    <x v="2"/>
    <x v="241"/>
    <x v="2"/>
    <n v="17.14"/>
    <n v="9.67"/>
    <x v="759"/>
    <x v="2"/>
    <n v="2024"/>
    <x v="2"/>
    <n v="14.569000000000001"/>
    <n v="-0.10982222527284"/>
    <x v="1"/>
    <x v="1"/>
  </r>
  <r>
    <x v="778"/>
    <x v="360"/>
    <x v="697"/>
    <x v="1"/>
    <x v="7"/>
    <x v="4"/>
    <x v="2"/>
    <x v="8"/>
    <x v="2"/>
    <x v="758"/>
    <x v="4"/>
    <n v="219.07"/>
    <n v="13.43"/>
    <x v="760"/>
    <x v="0"/>
    <n v="2024"/>
    <x v="2"/>
    <n v="208.1165"/>
    <n v="0.32328047031350199"/>
    <x v="0"/>
    <x v="0"/>
  </r>
  <r>
    <x v="779"/>
    <x v="360"/>
    <x v="698"/>
    <x v="1"/>
    <x v="0"/>
    <x v="0"/>
    <x v="2"/>
    <x v="36"/>
    <x v="0"/>
    <x v="759"/>
    <x v="0"/>
    <n v="555.27"/>
    <n v="9.3699999999999992"/>
    <x v="761"/>
    <x v="1"/>
    <n v="2024"/>
    <x v="2"/>
    <n v="555.27"/>
    <n v="0.38312892826912998"/>
    <x v="2"/>
    <x v="0"/>
  </r>
  <r>
    <x v="780"/>
    <x v="361"/>
    <x v="699"/>
    <x v="2"/>
    <x v="16"/>
    <x v="3"/>
    <x v="0"/>
    <x v="28"/>
    <x v="0"/>
    <x v="760"/>
    <x v="4"/>
    <n v="158.15"/>
    <n v="16.399999999999999"/>
    <x v="86"/>
    <x v="0"/>
    <n v="2024"/>
    <x v="2"/>
    <n v="150.24250000000001"/>
    <n v="0.334059936436095"/>
    <x v="0"/>
    <x v="0"/>
  </r>
  <r>
    <x v="781"/>
    <x v="361"/>
    <x v="700"/>
    <x v="1"/>
    <x v="3"/>
    <x v="1"/>
    <x v="2"/>
    <x v="32"/>
    <x v="3"/>
    <x v="551"/>
    <x v="0"/>
    <n v="53.47"/>
    <n v="8.83"/>
    <x v="762"/>
    <x v="2"/>
    <n v="2024"/>
    <x v="2"/>
    <n v="53.47"/>
    <n v="0.23489807368617899"/>
    <x v="1"/>
    <x v="0"/>
  </r>
  <r>
    <x v="782"/>
    <x v="362"/>
    <x v="138"/>
    <x v="0"/>
    <x v="10"/>
    <x v="3"/>
    <x v="3"/>
    <x v="27"/>
    <x v="0"/>
    <x v="761"/>
    <x v="6"/>
    <n v="54.99"/>
    <n v="12.17"/>
    <x v="763"/>
    <x v="2"/>
    <n v="2024"/>
    <x v="2"/>
    <n v="41.2425"/>
    <n v="0.14936048978602201"/>
    <x v="1"/>
    <x v="0"/>
  </r>
  <r>
    <x v="783"/>
    <x v="362"/>
    <x v="701"/>
    <x v="1"/>
    <x v="9"/>
    <x v="3"/>
    <x v="3"/>
    <x v="30"/>
    <x v="11"/>
    <x v="762"/>
    <x v="3"/>
    <n v="149.59"/>
    <n v="21.86"/>
    <x v="764"/>
    <x v="1"/>
    <n v="2024"/>
    <x v="2"/>
    <n v="134.631"/>
    <n v="0.33149868900921797"/>
    <x v="0"/>
    <x v="0"/>
  </r>
  <r>
    <x v="784"/>
    <x v="362"/>
    <x v="702"/>
    <x v="0"/>
    <x v="8"/>
    <x v="1"/>
    <x v="1"/>
    <x v="19"/>
    <x v="2"/>
    <x v="763"/>
    <x v="4"/>
    <n v="7.66"/>
    <n v="10.73"/>
    <x v="765"/>
    <x v="0"/>
    <n v="2024"/>
    <x v="2"/>
    <n v="7.2770000000000001"/>
    <n v="-0.920709083413494"/>
    <x v="1"/>
    <x v="1"/>
  </r>
  <r>
    <x v="785"/>
    <x v="363"/>
    <x v="121"/>
    <x v="1"/>
    <x v="9"/>
    <x v="3"/>
    <x v="3"/>
    <x v="13"/>
    <x v="1"/>
    <x v="764"/>
    <x v="4"/>
    <n v="468.46"/>
    <n v="13.33"/>
    <x v="766"/>
    <x v="2"/>
    <n v="2024"/>
    <x v="2"/>
    <n v="445.03699999999998"/>
    <n v="0.46865766217190902"/>
    <x v="0"/>
    <x v="0"/>
  </r>
  <r>
    <x v="786"/>
    <x v="364"/>
    <x v="380"/>
    <x v="0"/>
    <x v="4"/>
    <x v="2"/>
    <x v="0"/>
    <x v="35"/>
    <x v="2"/>
    <x v="765"/>
    <x v="2"/>
    <n v="36.46"/>
    <n v="13.62"/>
    <x v="767"/>
    <x v="1"/>
    <n v="2024"/>
    <x v="2"/>
    <n v="30.991"/>
    <n v="-2.4523248685102101E-2"/>
    <x v="1"/>
    <x v="1"/>
  </r>
  <r>
    <x v="787"/>
    <x v="364"/>
    <x v="703"/>
    <x v="0"/>
    <x v="19"/>
    <x v="1"/>
    <x v="0"/>
    <x v="7"/>
    <x v="3"/>
    <x v="766"/>
    <x v="4"/>
    <n v="32.69"/>
    <n v="7.58"/>
    <x v="768"/>
    <x v="1"/>
    <n v="2024"/>
    <x v="2"/>
    <n v="31.055499999999999"/>
    <n v="0.198998567081515"/>
    <x v="1"/>
    <x v="0"/>
  </r>
  <r>
    <x v="788"/>
    <x v="364"/>
    <x v="704"/>
    <x v="1"/>
    <x v="0"/>
    <x v="0"/>
    <x v="0"/>
    <x v="22"/>
    <x v="4"/>
    <x v="767"/>
    <x v="2"/>
    <n v="505.77"/>
    <n v="13.35"/>
    <x v="769"/>
    <x v="1"/>
    <n v="2024"/>
    <x v="2"/>
    <n v="429.90449999999998"/>
    <n v="0.38417834658627698"/>
    <x v="2"/>
    <x v="0"/>
  </r>
  <r>
    <x v="789"/>
    <x v="364"/>
    <x v="705"/>
    <x v="0"/>
    <x v="6"/>
    <x v="2"/>
    <x v="2"/>
    <x v="39"/>
    <x v="6"/>
    <x v="768"/>
    <x v="2"/>
    <n v="838.3"/>
    <n v="16.010000000000002"/>
    <x v="770"/>
    <x v="2"/>
    <n v="2024"/>
    <x v="2"/>
    <n v="712.55499999999995"/>
    <n v="0.32355397127239299"/>
    <x v="2"/>
    <x v="0"/>
  </r>
  <r>
    <x v="790"/>
    <x v="365"/>
    <x v="706"/>
    <x v="2"/>
    <x v="2"/>
    <x v="0"/>
    <x v="0"/>
    <x v="28"/>
    <x v="8"/>
    <x v="558"/>
    <x v="4"/>
    <n v="461.36"/>
    <n v="27.85"/>
    <x v="771"/>
    <x v="0"/>
    <n v="2024"/>
    <x v="2"/>
    <n v="438.29199999999997"/>
    <n v="0.37967838792403202"/>
    <x v="0"/>
    <x v="0"/>
  </r>
  <r>
    <x v="791"/>
    <x v="365"/>
    <x v="707"/>
    <x v="1"/>
    <x v="12"/>
    <x v="4"/>
    <x v="2"/>
    <x v="8"/>
    <x v="3"/>
    <x v="769"/>
    <x v="2"/>
    <n v="36.21"/>
    <n v="11.24"/>
    <x v="772"/>
    <x v="3"/>
    <n v="2024"/>
    <x v="2"/>
    <n v="30.778500000000001"/>
    <n v="-1.9169225270887099E-2"/>
    <x v="1"/>
    <x v="1"/>
  </r>
  <r>
    <x v="792"/>
    <x v="366"/>
    <x v="498"/>
    <x v="0"/>
    <x v="9"/>
    <x v="3"/>
    <x v="1"/>
    <x v="20"/>
    <x v="3"/>
    <x v="770"/>
    <x v="3"/>
    <n v="7.06"/>
    <n v="9.6"/>
    <x v="773"/>
    <x v="1"/>
    <n v="2024"/>
    <x v="2"/>
    <n v="6.3540000000000001"/>
    <n v="-0.95530374567201803"/>
    <x v="1"/>
    <x v="1"/>
  </r>
  <r>
    <x v="793"/>
    <x v="366"/>
    <x v="415"/>
    <x v="0"/>
    <x v="14"/>
    <x v="1"/>
    <x v="2"/>
    <x v="39"/>
    <x v="4"/>
    <x v="771"/>
    <x v="3"/>
    <n v="1098.74"/>
    <n v="13.13"/>
    <x v="774"/>
    <x v="1"/>
    <n v="2024"/>
    <x v="2"/>
    <n v="988.86599999999999"/>
    <n v="0.357095905815348"/>
    <x v="2"/>
    <x v="0"/>
  </r>
  <r>
    <x v="794"/>
    <x v="367"/>
    <x v="708"/>
    <x v="2"/>
    <x v="12"/>
    <x v="4"/>
    <x v="3"/>
    <x v="26"/>
    <x v="7"/>
    <x v="772"/>
    <x v="1"/>
    <n v="92.86"/>
    <n v="27.87"/>
    <x v="775"/>
    <x v="2"/>
    <n v="2024"/>
    <x v="2"/>
    <n v="74.287999999999997"/>
    <n v="9.3554813698040099E-2"/>
    <x v="1"/>
    <x v="0"/>
  </r>
  <r>
    <x v="795"/>
    <x v="367"/>
    <x v="25"/>
    <x v="2"/>
    <x v="13"/>
    <x v="0"/>
    <x v="1"/>
    <x v="20"/>
    <x v="6"/>
    <x v="293"/>
    <x v="4"/>
    <n v="124.95"/>
    <n v="9.1199999999999992"/>
    <x v="776"/>
    <x v="0"/>
    <n v="2024"/>
    <x v="2"/>
    <n v="118.7025"/>
    <n v="0.47715928476653802"/>
    <x v="0"/>
    <x v="0"/>
  </r>
  <r>
    <x v="796"/>
    <x v="367"/>
    <x v="321"/>
    <x v="1"/>
    <x v="19"/>
    <x v="1"/>
    <x v="1"/>
    <x v="12"/>
    <x v="3"/>
    <x v="773"/>
    <x v="0"/>
    <n v="18.75"/>
    <n v="9.2200000000000006"/>
    <x v="504"/>
    <x v="2"/>
    <n v="2024"/>
    <x v="2"/>
    <n v="18.75"/>
    <n v="5.8133333333333301E-2"/>
    <x v="1"/>
    <x v="0"/>
  </r>
  <r>
    <x v="797"/>
    <x v="367"/>
    <x v="709"/>
    <x v="1"/>
    <x v="10"/>
    <x v="3"/>
    <x v="0"/>
    <x v="31"/>
    <x v="1"/>
    <x v="774"/>
    <x v="0"/>
    <n v="521.79999999999995"/>
    <n v="18.510000000000002"/>
    <x v="777"/>
    <x v="2"/>
    <n v="2024"/>
    <x v="2"/>
    <n v="521.79999999999995"/>
    <n v="0.41452663855883498"/>
    <x v="2"/>
    <x v="0"/>
  </r>
  <r>
    <x v="798"/>
    <x v="368"/>
    <x v="710"/>
    <x v="2"/>
    <x v="1"/>
    <x v="1"/>
    <x v="0"/>
    <x v="0"/>
    <x v="3"/>
    <x v="775"/>
    <x v="3"/>
    <n v="208"/>
    <n v="8.8699999999999992"/>
    <x v="778"/>
    <x v="2"/>
    <n v="2024"/>
    <x v="3"/>
    <n v="187.2"/>
    <n v="0.38472222222222202"/>
    <x v="0"/>
    <x v="0"/>
  </r>
  <r>
    <x v="799"/>
    <x v="369"/>
    <x v="711"/>
    <x v="0"/>
    <x v="19"/>
    <x v="1"/>
    <x v="3"/>
    <x v="11"/>
    <x v="2"/>
    <x v="776"/>
    <x v="6"/>
    <n v="52.76"/>
    <n v="10.97"/>
    <x v="779"/>
    <x v="3"/>
    <n v="2024"/>
    <x v="3"/>
    <n v="39.57"/>
    <n v="0.16729845842810201"/>
    <x v="1"/>
    <x v="0"/>
  </r>
  <r>
    <x v="800"/>
    <x v="369"/>
    <x v="712"/>
    <x v="1"/>
    <x v="9"/>
    <x v="3"/>
    <x v="0"/>
    <x v="0"/>
    <x v="13"/>
    <x v="777"/>
    <x v="2"/>
    <n v="811.51"/>
    <n v="34.33"/>
    <x v="780"/>
    <x v="1"/>
    <n v="2024"/>
    <x v="3"/>
    <n v="689.7835"/>
    <n v="0.36544799926353699"/>
    <x v="2"/>
    <x v="0"/>
  </r>
  <r>
    <x v="801"/>
    <x v="369"/>
    <x v="713"/>
    <x v="0"/>
    <x v="3"/>
    <x v="1"/>
    <x v="1"/>
    <x v="19"/>
    <x v="2"/>
    <x v="778"/>
    <x v="0"/>
    <n v="18.2"/>
    <n v="9.66"/>
    <x v="781"/>
    <x v="2"/>
    <n v="2024"/>
    <x v="3"/>
    <n v="18.2"/>
    <n v="1.9230769230769201E-2"/>
    <x v="1"/>
    <x v="0"/>
  </r>
  <r>
    <x v="802"/>
    <x v="370"/>
    <x v="714"/>
    <x v="0"/>
    <x v="16"/>
    <x v="3"/>
    <x v="1"/>
    <x v="12"/>
    <x v="0"/>
    <x v="779"/>
    <x v="2"/>
    <n v="37.26"/>
    <n v="14.68"/>
    <x v="782"/>
    <x v="2"/>
    <n v="2024"/>
    <x v="3"/>
    <n v="31.670999999999999"/>
    <n v="9.0303432161914707E-2"/>
    <x v="1"/>
    <x v="0"/>
  </r>
  <r>
    <x v="803"/>
    <x v="370"/>
    <x v="715"/>
    <x v="0"/>
    <x v="9"/>
    <x v="3"/>
    <x v="1"/>
    <x v="23"/>
    <x v="5"/>
    <x v="780"/>
    <x v="3"/>
    <n v="68.36"/>
    <n v="12.71"/>
    <x v="783"/>
    <x v="0"/>
    <n v="2024"/>
    <x v="3"/>
    <n v="61.524000000000001"/>
    <n v="0.348969507834341"/>
    <x v="1"/>
    <x v="0"/>
  </r>
  <r>
    <x v="804"/>
    <x v="370"/>
    <x v="716"/>
    <x v="1"/>
    <x v="17"/>
    <x v="3"/>
    <x v="0"/>
    <x v="22"/>
    <x v="3"/>
    <x v="781"/>
    <x v="3"/>
    <n v="104.88"/>
    <n v="10.52"/>
    <x v="784"/>
    <x v="2"/>
    <n v="2024"/>
    <x v="3"/>
    <n v="94.391999999999996"/>
    <n v="0.32068395626747997"/>
    <x v="0"/>
    <x v="0"/>
  </r>
  <r>
    <x v="805"/>
    <x v="370"/>
    <x v="197"/>
    <x v="1"/>
    <x v="19"/>
    <x v="1"/>
    <x v="3"/>
    <x v="24"/>
    <x v="5"/>
    <x v="782"/>
    <x v="6"/>
    <n v="169.8"/>
    <n v="12.55"/>
    <x v="785"/>
    <x v="1"/>
    <n v="2024"/>
    <x v="3"/>
    <n v="127.35"/>
    <n v="0.34589713388299997"/>
    <x v="0"/>
    <x v="0"/>
  </r>
  <r>
    <x v="806"/>
    <x v="371"/>
    <x v="47"/>
    <x v="0"/>
    <x v="9"/>
    <x v="3"/>
    <x v="3"/>
    <x v="27"/>
    <x v="3"/>
    <x v="783"/>
    <x v="1"/>
    <n v="34.46"/>
    <n v="10.5"/>
    <x v="786"/>
    <x v="3"/>
    <n v="2024"/>
    <x v="3"/>
    <n v="27.568000000000001"/>
    <n v="8.8145676146256499E-2"/>
    <x v="1"/>
    <x v="0"/>
  </r>
  <r>
    <x v="807"/>
    <x v="371"/>
    <x v="717"/>
    <x v="2"/>
    <x v="2"/>
    <x v="0"/>
    <x v="1"/>
    <x v="6"/>
    <x v="5"/>
    <x v="784"/>
    <x v="2"/>
    <n v="100.68"/>
    <n v="14.77"/>
    <x v="787"/>
    <x v="1"/>
    <n v="2024"/>
    <x v="3"/>
    <n v="85.578000000000003"/>
    <n v="0.38105587884736702"/>
    <x v="0"/>
    <x v="0"/>
  </r>
  <r>
    <x v="808"/>
    <x v="371"/>
    <x v="718"/>
    <x v="1"/>
    <x v="2"/>
    <x v="0"/>
    <x v="0"/>
    <x v="3"/>
    <x v="0"/>
    <x v="785"/>
    <x v="1"/>
    <n v="192.86"/>
    <n v="9.0399999999999991"/>
    <x v="788"/>
    <x v="1"/>
    <n v="2024"/>
    <x v="3"/>
    <n v="154.28800000000001"/>
    <n v="0.33204137716478299"/>
    <x v="0"/>
    <x v="0"/>
  </r>
  <r>
    <x v="809"/>
    <x v="372"/>
    <x v="54"/>
    <x v="1"/>
    <x v="19"/>
    <x v="1"/>
    <x v="0"/>
    <x v="28"/>
    <x v="0"/>
    <x v="786"/>
    <x v="2"/>
    <n v="100.8"/>
    <n v="9.02"/>
    <x v="789"/>
    <x v="1"/>
    <n v="2024"/>
    <x v="3"/>
    <n v="85.68"/>
    <n v="0.30999066293183902"/>
    <x v="0"/>
    <x v="0"/>
  </r>
  <r>
    <x v="810"/>
    <x v="372"/>
    <x v="719"/>
    <x v="1"/>
    <x v="2"/>
    <x v="0"/>
    <x v="1"/>
    <x v="2"/>
    <x v="5"/>
    <x v="39"/>
    <x v="2"/>
    <n v="43.56"/>
    <n v="9.7799999999999994"/>
    <x v="790"/>
    <x v="0"/>
    <n v="2024"/>
    <x v="3"/>
    <n v="37.026000000000003"/>
    <n v="0.289526278831092"/>
    <x v="1"/>
    <x v="0"/>
  </r>
  <r>
    <x v="811"/>
    <x v="372"/>
    <x v="350"/>
    <x v="1"/>
    <x v="0"/>
    <x v="0"/>
    <x v="1"/>
    <x v="25"/>
    <x v="2"/>
    <x v="787"/>
    <x v="3"/>
    <n v="25.78"/>
    <n v="7"/>
    <x v="791"/>
    <x v="1"/>
    <n v="2024"/>
    <x v="3"/>
    <n v="23.202000000000002"/>
    <n v="0.253857426083958"/>
    <x v="1"/>
    <x v="0"/>
  </r>
  <r>
    <x v="812"/>
    <x v="372"/>
    <x v="720"/>
    <x v="1"/>
    <x v="14"/>
    <x v="1"/>
    <x v="1"/>
    <x v="10"/>
    <x v="7"/>
    <x v="788"/>
    <x v="0"/>
    <n v="72"/>
    <n v="16.77"/>
    <x v="792"/>
    <x v="1"/>
    <n v="2024"/>
    <x v="3"/>
    <n v="72"/>
    <n v="0.317083333333333"/>
    <x v="1"/>
    <x v="0"/>
  </r>
  <r>
    <x v="813"/>
    <x v="373"/>
    <x v="721"/>
    <x v="1"/>
    <x v="18"/>
    <x v="4"/>
    <x v="3"/>
    <x v="37"/>
    <x v="5"/>
    <x v="789"/>
    <x v="4"/>
    <n v="370.36"/>
    <n v="20.41"/>
    <x v="793"/>
    <x v="1"/>
    <n v="2024"/>
    <x v="3"/>
    <n v="351.84199999999998"/>
    <n v="0.44062391641702803"/>
    <x v="0"/>
    <x v="0"/>
  </r>
  <r>
    <x v="814"/>
    <x v="373"/>
    <x v="722"/>
    <x v="1"/>
    <x v="9"/>
    <x v="3"/>
    <x v="3"/>
    <x v="11"/>
    <x v="0"/>
    <x v="790"/>
    <x v="3"/>
    <n v="189.92"/>
    <n v="14.67"/>
    <x v="794"/>
    <x v="1"/>
    <n v="2024"/>
    <x v="3"/>
    <n v="170.928"/>
    <n v="0.40800805017317199"/>
    <x v="0"/>
    <x v="0"/>
  </r>
  <r>
    <x v="815"/>
    <x v="374"/>
    <x v="723"/>
    <x v="2"/>
    <x v="19"/>
    <x v="1"/>
    <x v="3"/>
    <x v="30"/>
    <x v="4"/>
    <x v="791"/>
    <x v="3"/>
    <n v="158.97999999999999"/>
    <n v="17.71"/>
    <x v="795"/>
    <x v="1"/>
    <n v="2024"/>
    <x v="3"/>
    <n v="143.08199999999999"/>
    <n v="0.37006751373338398"/>
    <x v="0"/>
    <x v="0"/>
  </r>
  <r>
    <x v="816"/>
    <x v="374"/>
    <x v="724"/>
    <x v="1"/>
    <x v="16"/>
    <x v="3"/>
    <x v="3"/>
    <x v="33"/>
    <x v="10"/>
    <x v="792"/>
    <x v="4"/>
    <n v="313.19"/>
    <n v="17.14"/>
    <x v="796"/>
    <x v="1"/>
    <n v="2024"/>
    <x v="3"/>
    <n v="297.53050000000002"/>
    <n v="0.44099680536953401"/>
    <x v="0"/>
    <x v="0"/>
  </r>
  <r>
    <x v="817"/>
    <x v="374"/>
    <x v="725"/>
    <x v="1"/>
    <x v="0"/>
    <x v="0"/>
    <x v="1"/>
    <x v="20"/>
    <x v="3"/>
    <x v="793"/>
    <x v="2"/>
    <n v="11.3"/>
    <n v="5.8"/>
    <x v="797"/>
    <x v="1"/>
    <n v="2024"/>
    <x v="3"/>
    <n v="9.6050000000000004"/>
    <n v="-4.9973971889640798E-2"/>
    <x v="1"/>
    <x v="1"/>
  </r>
  <r>
    <x v="818"/>
    <x v="375"/>
    <x v="726"/>
    <x v="1"/>
    <x v="0"/>
    <x v="0"/>
    <x v="2"/>
    <x v="4"/>
    <x v="5"/>
    <x v="794"/>
    <x v="4"/>
    <n v="878.42"/>
    <n v="7.7"/>
    <x v="798"/>
    <x v="2"/>
    <n v="2024"/>
    <x v="3"/>
    <n v="834.49900000000002"/>
    <n v="0.37858643329710401"/>
    <x v="2"/>
    <x v="0"/>
  </r>
  <r>
    <x v="819"/>
    <x v="375"/>
    <x v="727"/>
    <x v="2"/>
    <x v="0"/>
    <x v="0"/>
    <x v="3"/>
    <x v="16"/>
    <x v="3"/>
    <x v="795"/>
    <x v="3"/>
    <n v="47.96"/>
    <n v="6.39"/>
    <x v="799"/>
    <x v="1"/>
    <n v="2024"/>
    <x v="3"/>
    <n v="43.164000000000001"/>
    <n v="0.34589009359651601"/>
    <x v="1"/>
    <x v="0"/>
  </r>
  <r>
    <x v="820"/>
    <x v="376"/>
    <x v="728"/>
    <x v="0"/>
    <x v="4"/>
    <x v="2"/>
    <x v="1"/>
    <x v="2"/>
    <x v="2"/>
    <x v="233"/>
    <x v="3"/>
    <n v="25.2"/>
    <n v="15.47"/>
    <x v="800"/>
    <x v="2"/>
    <n v="2024"/>
    <x v="3"/>
    <n v="22.68"/>
    <n v="-0.12654320987654299"/>
    <x v="1"/>
    <x v="1"/>
  </r>
  <r>
    <x v="821"/>
    <x v="376"/>
    <x v="30"/>
    <x v="1"/>
    <x v="17"/>
    <x v="3"/>
    <x v="0"/>
    <x v="31"/>
    <x v="1"/>
    <x v="796"/>
    <x v="3"/>
    <n v="157.97"/>
    <n v="14.83"/>
    <x v="801"/>
    <x v="1"/>
    <n v="2024"/>
    <x v="3"/>
    <n v="142.173"/>
    <n v="0.32776968904081599"/>
    <x v="0"/>
    <x v="0"/>
  </r>
  <r>
    <x v="822"/>
    <x v="376"/>
    <x v="729"/>
    <x v="2"/>
    <x v="5"/>
    <x v="3"/>
    <x v="0"/>
    <x v="31"/>
    <x v="3"/>
    <x v="797"/>
    <x v="2"/>
    <n v="169.04"/>
    <n v="10.72"/>
    <x v="802"/>
    <x v="1"/>
    <n v="2024"/>
    <x v="3"/>
    <n v="143.684"/>
    <n v="0.34060855766821602"/>
    <x v="0"/>
    <x v="0"/>
  </r>
  <r>
    <x v="823"/>
    <x v="376"/>
    <x v="730"/>
    <x v="1"/>
    <x v="8"/>
    <x v="1"/>
    <x v="0"/>
    <x v="35"/>
    <x v="0"/>
    <x v="404"/>
    <x v="4"/>
    <n v="151.76"/>
    <n v="11.26"/>
    <x v="803"/>
    <x v="2"/>
    <n v="2024"/>
    <x v="3"/>
    <n v="144.172"/>
    <n v="0.36511944066809099"/>
    <x v="0"/>
    <x v="0"/>
  </r>
  <r>
    <x v="824"/>
    <x v="377"/>
    <x v="731"/>
    <x v="0"/>
    <x v="16"/>
    <x v="3"/>
    <x v="3"/>
    <x v="37"/>
    <x v="1"/>
    <x v="798"/>
    <x v="3"/>
    <n v="151.41999999999999"/>
    <n v="11.14"/>
    <x v="804"/>
    <x v="2"/>
    <n v="2024"/>
    <x v="3"/>
    <n v="136.27799999999999"/>
    <n v="0.41209879804517202"/>
    <x v="0"/>
    <x v="0"/>
  </r>
  <r>
    <x v="825"/>
    <x v="378"/>
    <x v="732"/>
    <x v="1"/>
    <x v="8"/>
    <x v="1"/>
    <x v="0"/>
    <x v="28"/>
    <x v="1"/>
    <x v="799"/>
    <x v="0"/>
    <n v="96.64"/>
    <n v="9.6300000000000008"/>
    <x v="805"/>
    <x v="0"/>
    <n v="2024"/>
    <x v="3"/>
    <n v="96.64"/>
    <n v="0.35037251655629098"/>
    <x v="1"/>
    <x v="0"/>
  </r>
  <r>
    <x v="826"/>
    <x v="379"/>
    <x v="733"/>
    <x v="1"/>
    <x v="9"/>
    <x v="3"/>
    <x v="3"/>
    <x v="16"/>
    <x v="3"/>
    <x v="800"/>
    <x v="1"/>
    <n v="26.44"/>
    <n v="10.63"/>
    <x v="806"/>
    <x v="3"/>
    <n v="2024"/>
    <x v="3"/>
    <n v="21.152000000000001"/>
    <n v="-3.3566565809379702E-2"/>
    <x v="1"/>
    <x v="1"/>
  </r>
  <r>
    <x v="827"/>
    <x v="379"/>
    <x v="734"/>
    <x v="1"/>
    <x v="11"/>
    <x v="2"/>
    <x v="1"/>
    <x v="23"/>
    <x v="2"/>
    <x v="801"/>
    <x v="4"/>
    <n v="19.57"/>
    <n v="12.16"/>
    <x v="807"/>
    <x v="0"/>
    <n v="2024"/>
    <x v="3"/>
    <n v="18.5915"/>
    <n v="-0.100045719818196"/>
    <x v="1"/>
    <x v="1"/>
  </r>
  <r>
    <x v="828"/>
    <x v="379"/>
    <x v="735"/>
    <x v="1"/>
    <x v="10"/>
    <x v="3"/>
    <x v="1"/>
    <x v="38"/>
    <x v="2"/>
    <x v="802"/>
    <x v="4"/>
    <n v="20.079999999999998"/>
    <n v="11.11"/>
    <x v="376"/>
    <x v="2"/>
    <n v="2024"/>
    <x v="3"/>
    <n v="19.076000000000001"/>
    <n v="-2.8307821346194199E-2"/>
    <x v="1"/>
    <x v="1"/>
  </r>
  <r>
    <x v="829"/>
    <x v="380"/>
    <x v="736"/>
    <x v="0"/>
    <x v="18"/>
    <x v="4"/>
    <x v="0"/>
    <x v="31"/>
    <x v="14"/>
    <x v="803"/>
    <x v="3"/>
    <n v="1490.2"/>
    <n v="40.44"/>
    <x v="808"/>
    <x v="1"/>
    <n v="2024"/>
    <x v="3"/>
    <n v="1341.18"/>
    <n v="0.40194455628625497"/>
    <x v="2"/>
    <x v="0"/>
  </r>
  <r>
    <x v="830"/>
    <x v="380"/>
    <x v="737"/>
    <x v="2"/>
    <x v="10"/>
    <x v="3"/>
    <x v="0"/>
    <x v="18"/>
    <x v="10"/>
    <x v="804"/>
    <x v="4"/>
    <n v="331.83"/>
    <n v="21.13"/>
    <x v="809"/>
    <x v="1"/>
    <n v="2024"/>
    <x v="3"/>
    <n v="315.23849999999999"/>
    <n v="0.37619135987514202"/>
    <x v="0"/>
    <x v="0"/>
  </r>
  <r>
    <x v="831"/>
    <x v="381"/>
    <x v="167"/>
    <x v="0"/>
    <x v="15"/>
    <x v="2"/>
    <x v="1"/>
    <x v="17"/>
    <x v="3"/>
    <x v="805"/>
    <x v="4"/>
    <n v="9.0299999999999994"/>
    <n v="13.01"/>
    <x v="810"/>
    <x v="3"/>
    <n v="2024"/>
    <x v="3"/>
    <n v="8.5785"/>
    <n v="-0.96287229702162402"/>
    <x v="1"/>
    <x v="1"/>
  </r>
  <r>
    <x v="832"/>
    <x v="381"/>
    <x v="201"/>
    <x v="0"/>
    <x v="19"/>
    <x v="1"/>
    <x v="1"/>
    <x v="17"/>
    <x v="3"/>
    <x v="806"/>
    <x v="3"/>
    <n v="8.68"/>
    <n v="7.9"/>
    <x v="811"/>
    <x v="0"/>
    <n v="2024"/>
    <x v="3"/>
    <n v="7.8120000000000003"/>
    <n v="-0.45570916538658501"/>
    <x v="1"/>
    <x v="1"/>
  </r>
  <r>
    <x v="833"/>
    <x v="381"/>
    <x v="738"/>
    <x v="0"/>
    <x v="14"/>
    <x v="1"/>
    <x v="1"/>
    <x v="12"/>
    <x v="2"/>
    <x v="807"/>
    <x v="3"/>
    <n v="18.5"/>
    <n v="11.36"/>
    <x v="812"/>
    <x v="0"/>
    <n v="2024"/>
    <x v="3"/>
    <n v="16.649999999999999"/>
    <n v="-0.126726726726727"/>
    <x v="1"/>
    <x v="1"/>
  </r>
  <r>
    <x v="834"/>
    <x v="382"/>
    <x v="739"/>
    <x v="1"/>
    <x v="2"/>
    <x v="0"/>
    <x v="0"/>
    <x v="28"/>
    <x v="0"/>
    <x v="808"/>
    <x v="4"/>
    <n v="58.17"/>
    <n v="10.210000000000001"/>
    <x v="813"/>
    <x v="2"/>
    <n v="2024"/>
    <x v="3"/>
    <n v="55.261499999999998"/>
    <n v="0.25840775223256701"/>
    <x v="1"/>
    <x v="0"/>
  </r>
  <r>
    <x v="835"/>
    <x v="382"/>
    <x v="740"/>
    <x v="1"/>
    <x v="19"/>
    <x v="1"/>
    <x v="1"/>
    <x v="12"/>
    <x v="2"/>
    <x v="809"/>
    <x v="3"/>
    <n v="25.83"/>
    <n v="9.58"/>
    <x v="517"/>
    <x v="1"/>
    <n v="2024"/>
    <x v="3"/>
    <n v="23.247"/>
    <n v="0.143244289585753"/>
    <x v="1"/>
    <x v="0"/>
  </r>
  <r>
    <x v="836"/>
    <x v="382"/>
    <x v="741"/>
    <x v="1"/>
    <x v="5"/>
    <x v="3"/>
    <x v="2"/>
    <x v="15"/>
    <x v="2"/>
    <x v="810"/>
    <x v="6"/>
    <n v="332.61"/>
    <n v="10.29"/>
    <x v="814"/>
    <x v="2"/>
    <n v="2024"/>
    <x v="3"/>
    <n v="249.45750000000001"/>
    <n v="0.225409137829089"/>
    <x v="0"/>
    <x v="0"/>
  </r>
  <r>
    <x v="837"/>
    <x v="383"/>
    <x v="742"/>
    <x v="1"/>
    <x v="16"/>
    <x v="3"/>
    <x v="1"/>
    <x v="6"/>
    <x v="1"/>
    <x v="811"/>
    <x v="6"/>
    <n v="42.36"/>
    <n v="11.69"/>
    <x v="815"/>
    <x v="1"/>
    <n v="2024"/>
    <x v="3"/>
    <n v="31.77"/>
    <n v="0.165250236071766"/>
    <x v="1"/>
    <x v="0"/>
  </r>
  <r>
    <x v="838"/>
    <x v="383"/>
    <x v="743"/>
    <x v="0"/>
    <x v="10"/>
    <x v="3"/>
    <x v="3"/>
    <x v="33"/>
    <x v="1"/>
    <x v="812"/>
    <x v="6"/>
    <n v="148.32"/>
    <n v="14.14"/>
    <x v="816"/>
    <x v="2"/>
    <n v="2024"/>
    <x v="3"/>
    <n v="111.24"/>
    <n v="0.31733189500179798"/>
    <x v="0"/>
    <x v="0"/>
  </r>
  <r>
    <x v="839"/>
    <x v="384"/>
    <x v="744"/>
    <x v="1"/>
    <x v="16"/>
    <x v="3"/>
    <x v="0"/>
    <x v="1"/>
    <x v="6"/>
    <x v="813"/>
    <x v="2"/>
    <n v="398.95"/>
    <n v="24.08"/>
    <x v="817"/>
    <x v="3"/>
    <n v="2024"/>
    <x v="3"/>
    <n v="339.10750000000002"/>
    <n v="0.34422712561650798"/>
    <x v="0"/>
    <x v="0"/>
  </r>
  <r>
    <x v="840"/>
    <x v="384"/>
    <x v="115"/>
    <x v="2"/>
    <x v="19"/>
    <x v="1"/>
    <x v="1"/>
    <x v="12"/>
    <x v="2"/>
    <x v="814"/>
    <x v="2"/>
    <n v="35.049999999999997"/>
    <n v="11.25"/>
    <x v="818"/>
    <x v="2"/>
    <n v="2024"/>
    <x v="3"/>
    <n v="29.7925"/>
    <n v="0.175883192078543"/>
    <x v="1"/>
    <x v="0"/>
  </r>
  <r>
    <x v="841"/>
    <x v="385"/>
    <x v="745"/>
    <x v="2"/>
    <x v="19"/>
    <x v="1"/>
    <x v="3"/>
    <x v="27"/>
    <x v="3"/>
    <x v="815"/>
    <x v="3"/>
    <n v="29.15"/>
    <n v="9.08"/>
    <x v="819"/>
    <x v="3"/>
    <n v="2024"/>
    <x v="3"/>
    <n v="26.234999999999999"/>
    <n v="0.147512864493997"/>
    <x v="1"/>
    <x v="0"/>
  </r>
  <r>
    <x v="842"/>
    <x v="385"/>
    <x v="746"/>
    <x v="0"/>
    <x v="14"/>
    <x v="1"/>
    <x v="1"/>
    <x v="19"/>
    <x v="3"/>
    <x v="816"/>
    <x v="2"/>
    <n v="3.42"/>
    <n v="7.74"/>
    <x v="820"/>
    <x v="3"/>
    <n v="2024"/>
    <x v="3"/>
    <n v="2.907"/>
    <n v="-2.1087031303749599"/>
    <x v="1"/>
    <x v="1"/>
  </r>
  <r>
    <x v="843"/>
    <x v="385"/>
    <x v="747"/>
    <x v="0"/>
    <x v="10"/>
    <x v="3"/>
    <x v="3"/>
    <x v="16"/>
    <x v="9"/>
    <x v="817"/>
    <x v="1"/>
    <n v="314.72000000000003"/>
    <n v="28.72"/>
    <x v="821"/>
    <x v="2"/>
    <n v="2024"/>
    <x v="3"/>
    <n v="251.77600000000001"/>
    <n v="0.35468035078800197"/>
    <x v="0"/>
    <x v="0"/>
  </r>
  <r>
    <x v="844"/>
    <x v="385"/>
    <x v="748"/>
    <x v="2"/>
    <x v="9"/>
    <x v="3"/>
    <x v="0"/>
    <x v="18"/>
    <x v="2"/>
    <x v="818"/>
    <x v="1"/>
    <n v="111.55"/>
    <n v="10.18"/>
    <x v="822"/>
    <x v="1"/>
    <n v="2024"/>
    <x v="3"/>
    <n v="89.24"/>
    <n v="0.27655759748991499"/>
    <x v="0"/>
    <x v="0"/>
  </r>
  <r>
    <x v="845"/>
    <x v="385"/>
    <x v="502"/>
    <x v="2"/>
    <x v="0"/>
    <x v="0"/>
    <x v="3"/>
    <x v="11"/>
    <x v="1"/>
    <x v="819"/>
    <x v="4"/>
    <n v="124.6"/>
    <n v="8.07"/>
    <x v="823"/>
    <x v="1"/>
    <n v="2024"/>
    <x v="3"/>
    <n v="118.37"/>
    <n v="0.43043000760327799"/>
    <x v="0"/>
    <x v="0"/>
  </r>
  <r>
    <x v="846"/>
    <x v="385"/>
    <x v="749"/>
    <x v="0"/>
    <x v="12"/>
    <x v="4"/>
    <x v="2"/>
    <x v="4"/>
    <x v="2"/>
    <x v="820"/>
    <x v="1"/>
    <n v="197.39"/>
    <n v="14.52"/>
    <x v="824"/>
    <x v="1"/>
    <n v="2024"/>
    <x v="3"/>
    <n v="157.91200000000001"/>
    <n v="0.220565884796596"/>
    <x v="0"/>
    <x v="0"/>
  </r>
  <r>
    <x v="847"/>
    <x v="386"/>
    <x v="280"/>
    <x v="0"/>
    <x v="18"/>
    <x v="4"/>
    <x v="2"/>
    <x v="14"/>
    <x v="7"/>
    <x v="821"/>
    <x v="3"/>
    <n v="2616.41"/>
    <n v="27.16"/>
    <x v="825"/>
    <x v="1"/>
    <n v="2024"/>
    <x v="3"/>
    <n v="2354.7689999999998"/>
    <n v="0.35883774586806599"/>
    <x v="2"/>
    <x v="0"/>
  </r>
  <r>
    <x v="848"/>
    <x v="387"/>
    <x v="750"/>
    <x v="1"/>
    <x v="11"/>
    <x v="2"/>
    <x v="3"/>
    <x v="11"/>
    <x v="7"/>
    <x v="822"/>
    <x v="4"/>
    <n v="629.96"/>
    <n v="23.71"/>
    <x v="826"/>
    <x v="2"/>
    <n v="2024"/>
    <x v="3"/>
    <n v="598.46199999999999"/>
    <n v="0.45899321928543502"/>
    <x v="2"/>
    <x v="0"/>
  </r>
  <r>
    <x v="849"/>
    <x v="387"/>
    <x v="751"/>
    <x v="0"/>
    <x v="16"/>
    <x v="3"/>
    <x v="2"/>
    <x v="36"/>
    <x v="3"/>
    <x v="823"/>
    <x v="1"/>
    <n v="151.72999999999999"/>
    <n v="9.52"/>
    <x v="160"/>
    <x v="0"/>
    <n v="2024"/>
    <x v="3"/>
    <n v="121.384"/>
    <n v="0.234050616226191"/>
    <x v="0"/>
    <x v="0"/>
  </r>
  <r>
    <x v="850"/>
    <x v="387"/>
    <x v="752"/>
    <x v="1"/>
    <x v="10"/>
    <x v="3"/>
    <x v="2"/>
    <x v="21"/>
    <x v="1"/>
    <x v="824"/>
    <x v="4"/>
    <n v="315.51"/>
    <n v="17.34"/>
    <x v="827"/>
    <x v="1"/>
    <n v="2024"/>
    <x v="3"/>
    <n v="299.73450000000003"/>
    <n v="0.329958680098554"/>
    <x v="0"/>
    <x v="0"/>
  </r>
  <r>
    <x v="851"/>
    <x v="387"/>
    <x v="753"/>
    <x v="1"/>
    <x v="18"/>
    <x v="4"/>
    <x v="0"/>
    <x v="7"/>
    <x v="0"/>
    <x v="825"/>
    <x v="4"/>
    <n v="227.49"/>
    <n v="13.83"/>
    <x v="828"/>
    <x v="2"/>
    <n v="2024"/>
    <x v="3"/>
    <n v="216.1155"/>
    <n v="0.37924165550365402"/>
    <x v="0"/>
    <x v="0"/>
  </r>
  <r>
    <x v="852"/>
    <x v="388"/>
    <x v="754"/>
    <x v="0"/>
    <x v="18"/>
    <x v="4"/>
    <x v="0"/>
    <x v="22"/>
    <x v="2"/>
    <x v="826"/>
    <x v="1"/>
    <n v="205.58"/>
    <n v="11.38"/>
    <x v="829"/>
    <x v="3"/>
    <n v="2024"/>
    <x v="3"/>
    <n v="164.464"/>
    <n v="0.32140772448681798"/>
    <x v="0"/>
    <x v="0"/>
  </r>
  <r>
    <x v="853"/>
    <x v="388"/>
    <x v="755"/>
    <x v="2"/>
    <x v="2"/>
    <x v="0"/>
    <x v="0"/>
    <x v="18"/>
    <x v="0"/>
    <x v="827"/>
    <x v="1"/>
    <n v="138.1"/>
    <n v="9.7100000000000009"/>
    <x v="830"/>
    <x v="1"/>
    <n v="2024"/>
    <x v="3"/>
    <n v="110.48"/>
    <n v="0.30276973207820401"/>
    <x v="0"/>
    <x v="0"/>
  </r>
  <r>
    <x v="854"/>
    <x v="389"/>
    <x v="756"/>
    <x v="0"/>
    <x v="2"/>
    <x v="0"/>
    <x v="2"/>
    <x v="32"/>
    <x v="3"/>
    <x v="828"/>
    <x v="3"/>
    <n v="67.14"/>
    <n v="6.8"/>
    <x v="831"/>
    <x v="1"/>
    <n v="2024"/>
    <x v="3"/>
    <n v="60.426000000000002"/>
    <n v="0.257836030847648"/>
    <x v="1"/>
    <x v="0"/>
  </r>
  <r>
    <x v="855"/>
    <x v="390"/>
    <x v="757"/>
    <x v="0"/>
    <x v="9"/>
    <x v="3"/>
    <x v="1"/>
    <x v="19"/>
    <x v="3"/>
    <x v="829"/>
    <x v="0"/>
    <n v="12.87"/>
    <n v="11.47"/>
    <x v="832"/>
    <x v="2"/>
    <n v="2024"/>
    <x v="3"/>
    <n v="12.87"/>
    <n v="-0.34110334110334101"/>
    <x v="1"/>
    <x v="1"/>
  </r>
  <r>
    <x v="856"/>
    <x v="390"/>
    <x v="349"/>
    <x v="1"/>
    <x v="15"/>
    <x v="2"/>
    <x v="2"/>
    <x v="36"/>
    <x v="12"/>
    <x v="830"/>
    <x v="4"/>
    <n v="1531.16"/>
    <n v="23.4"/>
    <x v="833"/>
    <x v="1"/>
    <n v="2024"/>
    <x v="3"/>
    <n v="1454.6020000000001"/>
    <n v="0.37172367424216401"/>
    <x v="2"/>
    <x v="0"/>
  </r>
  <r>
    <x v="857"/>
    <x v="390"/>
    <x v="758"/>
    <x v="1"/>
    <x v="8"/>
    <x v="1"/>
    <x v="0"/>
    <x v="3"/>
    <x v="0"/>
    <x v="831"/>
    <x v="3"/>
    <n v="196.59"/>
    <n v="11.86"/>
    <x v="834"/>
    <x v="1"/>
    <n v="2024"/>
    <x v="3"/>
    <n v="176.93100000000001"/>
    <n v="0.36505756481340201"/>
    <x v="0"/>
    <x v="0"/>
  </r>
  <r>
    <x v="858"/>
    <x v="391"/>
    <x v="759"/>
    <x v="0"/>
    <x v="13"/>
    <x v="0"/>
    <x v="3"/>
    <x v="27"/>
    <x v="2"/>
    <x v="832"/>
    <x v="6"/>
    <n v="103.57"/>
    <n v="8.58"/>
    <x v="835"/>
    <x v="1"/>
    <n v="2024"/>
    <x v="3"/>
    <n v="77.677499999999995"/>
    <n v="0.333944836020727"/>
    <x v="0"/>
    <x v="0"/>
  </r>
  <r>
    <x v="859"/>
    <x v="391"/>
    <x v="760"/>
    <x v="2"/>
    <x v="0"/>
    <x v="0"/>
    <x v="1"/>
    <x v="17"/>
    <x v="5"/>
    <x v="197"/>
    <x v="3"/>
    <n v="28.08"/>
    <n v="11.46"/>
    <x v="836"/>
    <x v="1"/>
    <n v="2024"/>
    <x v="3"/>
    <n v="25.271999999999998"/>
    <n v="0.10208926875593501"/>
    <x v="1"/>
    <x v="0"/>
  </r>
  <r>
    <x v="860"/>
    <x v="391"/>
    <x v="484"/>
    <x v="2"/>
    <x v="17"/>
    <x v="3"/>
    <x v="2"/>
    <x v="4"/>
    <x v="3"/>
    <x v="833"/>
    <x v="2"/>
    <n v="116.87"/>
    <n v="10.119999999999999"/>
    <x v="837"/>
    <x v="2"/>
    <n v="2024"/>
    <x v="3"/>
    <n v="99.339500000000001"/>
    <n v="0.24421302704362299"/>
    <x v="0"/>
    <x v="0"/>
  </r>
  <r>
    <x v="861"/>
    <x v="391"/>
    <x v="761"/>
    <x v="1"/>
    <x v="5"/>
    <x v="3"/>
    <x v="2"/>
    <x v="36"/>
    <x v="2"/>
    <x v="834"/>
    <x v="3"/>
    <n v="436.05"/>
    <n v="10.98"/>
    <x v="838"/>
    <x v="1"/>
    <n v="2024"/>
    <x v="3"/>
    <n v="392.44499999999999"/>
    <n v="0.34239192753124598"/>
    <x v="0"/>
    <x v="0"/>
  </r>
  <r>
    <x v="862"/>
    <x v="391"/>
    <x v="762"/>
    <x v="0"/>
    <x v="18"/>
    <x v="4"/>
    <x v="0"/>
    <x v="1"/>
    <x v="3"/>
    <x v="835"/>
    <x v="2"/>
    <n v="109.09"/>
    <n v="11.04"/>
    <x v="839"/>
    <x v="3"/>
    <n v="2024"/>
    <x v="3"/>
    <n v="92.726500000000001"/>
    <n v="0.296139722732984"/>
    <x v="0"/>
    <x v="0"/>
  </r>
  <r>
    <x v="863"/>
    <x v="391"/>
    <x v="763"/>
    <x v="1"/>
    <x v="17"/>
    <x v="3"/>
    <x v="2"/>
    <x v="21"/>
    <x v="1"/>
    <x v="836"/>
    <x v="2"/>
    <n v="118.18"/>
    <n v="17.86"/>
    <x v="302"/>
    <x v="2"/>
    <n v="2024"/>
    <x v="3"/>
    <n v="100.453"/>
    <n v="0.168237882392761"/>
    <x v="0"/>
    <x v="0"/>
  </r>
  <r>
    <x v="864"/>
    <x v="392"/>
    <x v="764"/>
    <x v="0"/>
    <x v="7"/>
    <x v="4"/>
    <x v="0"/>
    <x v="28"/>
    <x v="2"/>
    <x v="837"/>
    <x v="5"/>
    <n v="73.88"/>
    <n v="14.69"/>
    <x v="840"/>
    <x v="1"/>
    <n v="2024"/>
    <x v="3"/>
    <n v="51.716000000000001"/>
    <n v="2.20434681723258E-2"/>
    <x v="1"/>
    <x v="0"/>
  </r>
  <r>
    <x v="865"/>
    <x v="393"/>
    <x v="765"/>
    <x v="2"/>
    <x v="13"/>
    <x v="0"/>
    <x v="0"/>
    <x v="29"/>
    <x v="3"/>
    <x v="838"/>
    <x v="4"/>
    <n v="27.28"/>
    <n v="6.34"/>
    <x v="841"/>
    <x v="3"/>
    <n v="2024"/>
    <x v="3"/>
    <n v="25.916"/>
    <n v="0.19833307609199"/>
    <x v="1"/>
    <x v="0"/>
  </r>
  <r>
    <x v="866"/>
    <x v="394"/>
    <x v="766"/>
    <x v="1"/>
    <x v="13"/>
    <x v="0"/>
    <x v="2"/>
    <x v="4"/>
    <x v="0"/>
    <x v="839"/>
    <x v="4"/>
    <n v="754.02"/>
    <n v="9.64"/>
    <x v="842"/>
    <x v="2"/>
    <n v="2024"/>
    <x v="4"/>
    <n v="716.31899999999996"/>
    <n v="0.37434439125585101"/>
    <x v="2"/>
    <x v="0"/>
  </r>
  <r>
    <x v="867"/>
    <x v="394"/>
    <x v="767"/>
    <x v="0"/>
    <x v="3"/>
    <x v="1"/>
    <x v="3"/>
    <x v="11"/>
    <x v="0"/>
    <x v="840"/>
    <x v="2"/>
    <n v="217.59"/>
    <n v="12.17"/>
    <x v="843"/>
    <x v="1"/>
    <n v="2024"/>
    <x v="4"/>
    <n v="184.95150000000001"/>
    <n v="0.41859622657831902"/>
    <x v="0"/>
    <x v="0"/>
  </r>
  <r>
    <x v="868"/>
    <x v="394"/>
    <x v="765"/>
    <x v="2"/>
    <x v="3"/>
    <x v="1"/>
    <x v="0"/>
    <x v="29"/>
    <x v="9"/>
    <x v="841"/>
    <x v="3"/>
    <n v="353.52"/>
    <n v="31.89"/>
    <x v="844"/>
    <x v="1"/>
    <n v="2024"/>
    <x v="4"/>
    <n v="318.16800000000001"/>
    <n v="0.331868698297755"/>
    <x v="0"/>
    <x v="0"/>
  </r>
  <r>
    <x v="869"/>
    <x v="394"/>
    <x v="768"/>
    <x v="1"/>
    <x v="2"/>
    <x v="0"/>
    <x v="1"/>
    <x v="10"/>
    <x v="2"/>
    <x v="842"/>
    <x v="0"/>
    <n v="12.28"/>
    <n v="9"/>
    <x v="845"/>
    <x v="3"/>
    <n v="2024"/>
    <x v="4"/>
    <n v="12.28"/>
    <n v="-0.18322475570032601"/>
    <x v="1"/>
    <x v="1"/>
  </r>
  <r>
    <x v="870"/>
    <x v="394"/>
    <x v="769"/>
    <x v="1"/>
    <x v="17"/>
    <x v="3"/>
    <x v="0"/>
    <x v="1"/>
    <x v="5"/>
    <x v="843"/>
    <x v="4"/>
    <n v="366.51"/>
    <n v="19.79"/>
    <x v="846"/>
    <x v="1"/>
    <n v="2024"/>
    <x v="4"/>
    <n v="348.18450000000001"/>
    <n v="0.38637561407816801"/>
    <x v="0"/>
    <x v="0"/>
  </r>
  <r>
    <x v="871"/>
    <x v="395"/>
    <x v="770"/>
    <x v="0"/>
    <x v="10"/>
    <x v="3"/>
    <x v="1"/>
    <x v="10"/>
    <x v="0"/>
    <x v="844"/>
    <x v="3"/>
    <n v="15.28"/>
    <n v="12.07"/>
    <x v="847"/>
    <x v="2"/>
    <n v="2024"/>
    <x v="4"/>
    <n v="13.752000000000001"/>
    <n v="-0.32213496218731802"/>
    <x v="1"/>
    <x v="1"/>
  </r>
  <r>
    <x v="872"/>
    <x v="395"/>
    <x v="251"/>
    <x v="1"/>
    <x v="13"/>
    <x v="0"/>
    <x v="2"/>
    <x v="8"/>
    <x v="1"/>
    <x v="845"/>
    <x v="0"/>
    <n v="450.72"/>
    <n v="12.94"/>
    <x v="848"/>
    <x v="3"/>
    <n v="2024"/>
    <x v="4"/>
    <n v="450.72"/>
    <n v="0.37129481718139901"/>
    <x v="0"/>
    <x v="0"/>
  </r>
  <r>
    <x v="873"/>
    <x v="395"/>
    <x v="771"/>
    <x v="1"/>
    <x v="8"/>
    <x v="1"/>
    <x v="0"/>
    <x v="22"/>
    <x v="2"/>
    <x v="846"/>
    <x v="3"/>
    <n v="130.13999999999999"/>
    <n v="11.95"/>
    <x v="849"/>
    <x v="1"/>
    <n v="2024"/>
    <x v="4"/>
    <n v="117.126"/>
    <n v="0.330071888393696"/>
    <x v="0"/>
    <x v="0"/>
  </r>
  <r>
    <x v="874"/>
    <x v="396"/>
    <x v="772"/>
    <x v="1"/>
    <x v="5"/>
    <x v="3"/>
    <x v="0"/>
    <x v="7"/>
    <x v="2"/>
    <x v="847"/>
    <x v="3"/>
    <n v="60.5"/>
    <n v="11.88"/>
    <x v="850"/>
    <x v="1"/>
    <n v="2024"/>
    <x v="4"/>
    <n v="54.45"/>
    <n v="0.21395775941230499"/>
    <x v="1"/>
    <x v="0"/>
  </r>
  <r>
    <x v="875"/>
    <x v="397"/>
    <x v="708"/>
    <x v="0"/>
    <x v="15"/>
    <x v="2"/>
    <x v="1"/>
    <x v="19"/>
    <x v="0"/>
    <x v="848"/>
    <x v="2"/>
    <n v="20.73"/>
    <n v="14.66"/>
    <x v="851"/>
    <x v="2"/>
    <n v="2024"/>
    <x v="4"/>
    <n v="17.6205"/>
    <n v="-0.278652705655345"/>
    <x v="1"/>
    <x v="1"/>
  </r>
  <r>
    <x v="876"/>
    <x v="397"/>
    <x v="773"/>
    <x v="0"/>
    <x v="9"/>
    <x v="3"/>
    <x v="0"/>
    <x v="29"/>
    <x v="0"/>
    <x v="849"/>
    <x v="2"/>
    <n v="95.85"/>
    <n v="10.77"/>
    <x v="852"/>
    <x v="1"/>
    <n v="2024"/>
    <x v="4"/>
    <n v="81.472499999999997"/>
    <n v="0.28304028966829298"/>
    <x v="1"/>
    <x v="0"/>
  </r>
  <r>
    <x v="877"/>
    <x v="398"/>
    <x v="774"/>
    <x v="1"/>
    <x v="10"/>
    <x v="3"/>
    <x v="2"/>
    <x v="8"/>
    <x v="0"/>
    <x v="850"/>
    <x v="0"/>
    <n v="158.63999999999999"/>
    <n v="12.03"/>
    <x v="853"/>
    <x v="1"/>
    <n v="2024"/>
    <x v="4"/>
    <n v="158.63999999999999"/>
    <n v="0.32419314170448799"/>
    <x v="0"/>
    <x v="0"/>
  </r>
  <r>
    <x v="878"/>
    <x v="399"/>
    <x v="526"/>
    <x v="1"/>
    <x v="18"/>
    <x v="4"/>
    <x v="1"/>
    <x v="38"/>
    <x v="3"/>
    <x v="851"/>
    <x v="4"/>
    <n v="9.07"/>
    <n v="11.92"/>
    <x v="854"/>
    <x v="2"/>
    <n v="2024"/>
    <x v="4"/>
    <n v="8.6165000000000003"/>
    <n v="-0.82980328439621598"/>
    <x v="1"/>
    <x v="1"/>
  </r>
  <r>
    <x v="879"/>
    <x v="399"/>
    <x v="775"/>
    <x v="0"/>
    <x v="10"/>
    <x v="3"/>
    <x v="3"/>
    <x v="13"/>
    <x v="9"/>
    <x v="852"/>
    <x v="0"/>
    <n v="993.9"/>
    <n v="21.95"/>
    <x v="855"/>
    <x v="0"/>
    <n v="2024"/>
    <x v="4"/>
    <n v="993.9"/>
    <n v="0.477915283227689"/>
    <x v="2"/>
    <x v="0"/>
  </r>
  <r>
    <x v="880"/>
    <x v="400"/>
    <x v="776"/>
    <x v="1"/>
    <x v="5"/>
    <x v="3"/>
    <x v="0"/>
    <x v="31"/>
    <x v="3"/>
    <x v="853"/>
    <x v="0"/>
    <n v="76.11"/>
    <n v="10.16"/>
    <x v="856"/>
    <x v="2"/>
    <n v="2024"/>
    <x v="4"/>
    <n v="76.11"/>
    <n v="0.31651556957035898"/>
    <x v="1"/>
    <x v="0"/>
  </r>
  <r>
    <x v="881"/>
    <x v="400"/>
    <x v="189"/>
    <x v="1"/>
    <x v="4"/>
    <x v="2"/>
    <x v="0"/>
    <x v="1"/>
    <x v="3"/>
    <x v="854"/>
    <x v="1"/>
    <n v="45.81"/>
    <n v="12.91"/>
    <x v="857"/>
    <x v="1"/>
    <n v="2024"/>
    <x v="4"/>
    <n v="36.648000000000003"/>
    <n v="3.84741322855272E-2"/>
    <x v="1"/>
    <x v="0"/>
  </r>
  <r>
    <x v="882"/>
    <x v="400"/>
    <x v="777"/>
    <x v="0"/>
    <x v="5"/>
    <x v="3"/>
    <x v="3"/>
    <x v="24"/>
    <x v="2"/>
    <x v="855"/>
    <x v="4"/>
    <n v="81.569999999999993"/>
    <n v="13.52"/>
    <x v="858"/>
    <x v="0"/>
    <n v="2024"/>
    <x v="4"/>
    <n v="77.491500000000002"/>
    <n v="0.324164585793281"/>
    <x v="1"/>
    <x v="0"/>
  </r>
  <r>
    <x v="883"/>
    <x v="400"/>
    <x v="778"/>
    <x v="1"/>
    <x v="3"/>
    <x v="1"/>
    <x v="0"/>
    <x v="29"/>
    <x v="1"/>
    <x v="856"/>
    <x v="0"/>
    <n v="148.04"/>
    <n v="12.78"/>
    <x v="859"/>
    <x v="1"/>
    <n v="2024"/>
    <x v="4"/>
    <n v="148.04"/>
    <n v="0.36368549040799802"/>
    <x v="0"/>
    <x v="0"/>
  </r>
  <r>
    <x v="884"/>
    <x v="401"/>
    <x v="779"/>
    <x v="0"/>
    <x v="0"/>
    <x v="0"/>
    <x v="3"/>
    <x v="9"/>
    <x v="5"/>
    <x v="857"/>
    <x v="0"/>
    <n v="286.89999999999998"/>
    <n v="10.15"/>
    <x v="860"/>
    <x v="0"/>
    <n v="2024"/>
    <x v="4"/>
    <n v="286.89999999999998"/>
    <n v="0.46462181944928599"/>
    <x v="0"/>
    <x v="0"/>
  </r>
  <r>
    <x v="885"/>
    <x v="402"/>
    <x v="534"/>
    <x v="1"/>
    <x v="1"/>
    <x v="1"/>
    <x v="3"/>
    <x v="30"/>
    <x v="3"/>
    <x v="858"/>
    <x v="4"/>
    <n v="19.489999999999998"/>
    <n v="7.58"/>
    <x v="861"/>
    <x v="2"/>
    <n v="2024"/>
    <x v="4"/>
    <n v="18.515499999999999"/>
    <n v="8.9114525667683797E-2"/>
    <x v="1"/>
    <x v="0"/>
  </r>
  <r>
    <x v="886"/>
    <x v="402"/>
    <x v="90"/>
    <x v="1"/>
    <x v="11"/>
    <x v="2"/>
    <x v="1"/>
    <x v="25"/>
    <x v="5"/>
    <x v="859"/>
    <x v="4"/>
    <n v="51.68"/>
    <n v="16.95"/>
    <x v="862"/>
    <x v="1"/>
    <n v="2024"/>
    <x v="4"/>
    <n v="49.095999999999997"/>
    <n v="0.20877464559230899"/>
    <x v="1"/>
    <x v="0"/>
  </r>
  <r>
    <x v="887"/>
    <x v="403"/>
    <x v="780"/>
    <x v="1"/>
    <x v="8"/>
    <x v="1"/>
    <x v="3"/>
    <x v="27"/>
    <x v="0"/>
    <x v="860"/>
    <x v="0"/>
    <n v="199.44"/>
    <n v="9.0500000000000007"/>
    <x v="863"/>
    <x v="2"/>
    <n v="2024"/>
    <x v="4"/>
    <n v="199.44"/>
    <n v="0.454622944243883"/>
    <x v="0"/>
    <x v="0"/>
  </r>
  <r>
    <x v="888"/>
    <x v="403"/>
    <x v="781"/>
    <x v="0"/>
    <x v="2"/>
    <x v="0"/>
    <x v="0"/>
    <x v="29"/>
    <x v="7"/>
    <x v="861"/>
    <x v="2"/>
    <n v="219.71"/>
    <n v="18.899999999999999"/>
    <x v="864"/>
    <x v="1"/>
    <n v="2024"/>
    <x v="4"/>
    <n v="186.7535"/>
    <n v="0.31405033908333702"/>
    <x v="0"/>
    <x v="0"/>
  </r>
  <r>
    <x v="889"/>
    <x v="404"/>
    <x v="782"/>
    <x v="0"/>
    <x v="0"/>
    <x v="0"/>
    <x v="1"/>
    <x v="2"/>
    <x v="1"/>
    <x v="862"/>
    <x v="2"/>
    <n v="42.23"/>
    <n v="13.37"/>
    <x v="865"/>
    <x v="1"/>
    <n v="2024"/>
    <x v="4"/>
    <n v="35.895499999999998"/>
    <n v="0.181081194021535"/>
    <x v="1"/>
    <x v="0"/>
  </r>
  <r>
    <x v="890"/>
    <x v="404"/>
    <x v="252"/>
    <x v="1"/>
    <x v="3"/>
    <x v="1"/>
    <x v="0"/>
    <x v="7"/>
    <x v="2"/>
    <x v="863"/>
    <x v="3"/>
    <n v="97.63"/>
    <n v="9.9700000000000006"/>
    <x v="866"/>
    <x v="1"/>
    <n v="2024"/>
    <x v="4"/>
    <n v="87.867000000000004"/>
    <n v="0.318663434508974"/>
    <x v="1"/>
    <x v="0"/>
  </r>
  <r>
    <x v="891"/>
    <x v="404"/>
    <x v="783"/>
    <x v="1"/>
    <x v="0"/>
    <x v="0"/>
    <x v="2"/>
    <x v="34"/>
    <x v="3"/>
    <x v="864"/>
    <x v="2"/>
    <n v="42.31"/>
    <n v="6.63"/>
    <x v="867"/>
    <x v="2"/>
    <n v="2024"/>
    <x v="4"/>
    <n v="35.963500000000003"/>
    <n v="0.16155268536154699"/>
    <x v="1"/>
    <x v="0"/>
  </r>
  <r>
    <x v="892"/>
    <x v="405"/>
    <x v="784"/>
    <x v="1"/>
    <x v="18"/>
    <x v="4"/>
    <x v="0"/>
    <x v="18"/>
    <x v="0"/>
    <x v="468"/>
    <x v="3"/>
    <n v="70.739999999999995"/>
    <n v="15.66"/>
    <x v="868"/>
    <x v="1"/>
    <n v="2024"/>
    <x v="4"/>
    <n v="63.665999999999997"/>
    <n v="0.18612760343040199"/>
    <x v="1"/>
    <x v="0"/>
  </r>
  <r>
    <x v="893"/>
    <x v="405"/>
    <x v="684"/>
    <x v="0"/>
    <x v="2"/>
    <x v="0"/>
    <x v="3"/>
    <x v="13"/>
    <x v="7"/>
    <x v="865"/>
    <x v="2"/>
    <n v="346.39"/>
    <n v="11.7"/>
    <x v="869"/>
    <x v="1"/>
    <n v="2024"/>
    <x v="4"/>
    <n v="294.43150000000003"/>
    <n v="0.444687473996498"/>
    <x v="0"/>
    <x v="0"/>
  </r>
  <r>
    <x v="894"/>
    <x v="406"/>
    <x v="785"/>
    <x v="1"/>
    <x v="3"/>
    <x v="1"/>
    <x v="2"/>
    <x v="34"/>
    <x v="4"/>
    <x v="866"/>
    <x v="1"/>
    <n v="127.58"/>
    <n v="17.7"/>
    <x v="870"/>
    <x v="2"/>
    <n v="2024"/>
    <x v="4"/>
    <n v="102.06399999999999"/>
    <n v="0.139030412290328"/>
    <x v="0"/>
    <x v="0"/>
  </r>
  <r>
    <x v="895"/>
    <x v="406"/>
    <x v="408"/>
    <x v="1"/>
    <x v="8"/>
    <x v="1"/>
    <x v="2"/>
    <x v="36"/>
    <x v="3"/>
    <x v="867"/>
    <x v="4"/>
    <n v="281.77"/>
    <n v="9.0299999999999994"/>
    <x v="871"/>
    <x v="0"/>
    <n v="2024"/>
    <x v="4"/>
    <n v="267.68150000000003"/>
    <n v="0.354077513761691"/>
    <x v="0"/>
    <x v="0"/>
  </r>
  <r>
    <x v="896"/>
    <x v="406"/>
    <x v="786"/>
    <x v="2"/>
    <x v="17"/>
    <x v="3"/>
    <x v="2"/>
    <x v="36"/>
    <x v="4"/>
    <x v="868"/>
    <x v="0"/>
    <n v="909.72"/>
    <n v="15.6"/>
    <x v="872"/>
    <x v="0"/>
    <n v="2024"/>
    <x v="4"/>
    <n v="909.72"/>
    <n v="0.38285406498702901"/>
    <x v="2"/>
    <x v="0"/>
  </r>
  <r>
    <x v="897"/>
    <x v="406"/>
    <x v="787"/>
    <x v="2"/>
    <x v="0"/>
    <x v="0"/>
    <x v="3"/>
    <x v="27"/>
    <x v="0"/>
    <x v="869"/>
    <x v="3"/>
    <n v="92.8"/>
    <n v="11.23"/>
    <x v="283"/>
    <x v="2"/>
    <n v="2024"/>
    <x v="4"/>
    <n v="83.52"/>
    <n v="0.35943486590038298"/>
    <x v="1"/>
    <x v="0"/>
  </r>
  <r>
    <x v="898"/>
    <x v="407"/>
    <x v="788"/>
    <x v="0"/>
    <x v="9"/>
    <x v="3"/>
    <x v="1"/>
    <x v="20"/>
    <x v="2"/>
    <x v="870"/>
    <x v="0"/>
    <n v="20.52"/>
    <n v="12.54"/>
    <x v="873"/>
    <x v="1"/>
    <n v="2024"/>
    <x v="4"/>
    <n v="20.52"/>
    <n v="-6.0916179337232E-2"/>
    <x v="1"/>
    <x v="1"/>
  </r>
  <r>
    <x v="899"/>
    <x v="408"/>
    <x v="789"/>
    <x v="0"/>
    <x v="13"/>
    <x v="0"/>
    <x v="0"/>
    <x v="1"/>
    <x v="5"/>
    <x v="871"/>
    <x v="5"/>
    <n v="449.43"/>
    <n v="13.49"/>
    <x v="874"/>
    <x v="1"/>
    <n v="2024"/>
    <x v="4"/>
    <n v="314.601"/>
    <n v="0.26322230380704398"/>
    <x v="0"/>
    <x v="0"/>
  </r>
  <r>
    <x v="900"/>
    <x v="409"/>
    <x v="247"/>
    <x v="1"/>
    <x v="11"/>
    <x v="2"/>
    <x v="0"/>
    <x v="35"/>
    <x v="0"/>
    <x v="872"/>
    <x v="4"/>
    <n v="60.51"/>
    <n v="18.059999999999999"/>
    <x v="875"/>
    <x v="1"/>
    <n v="2024"/>
    <x v="4"/>
    <n v="57.484499999999997"/>
    <n v="0.129078273273665"/>
    <x v="1"/>
    <x v="0"/>
  </r>
  <r>
    <x v="901"/>
    <x v="409"/>
    <x v="790"/>
    <x v="0"/>
    <x v="17"/>
    <x v="3"/>
    <x v="1"/>
    <x v="2"/>
    <x v="0"/>
    <x v="873"/>
    <x v="4"/>
    <n v="14.99"/>
    <n v="12.25"/>
    <x v="876"/>
    <x v="1"/>
    <n v="2024"/>
    <x v="4"/>
    <n v="14.240500000000001"/>
    <n v="-0.30616902496401099"/>
    <x v="1"/>
    <x v="1"/>
  </r>
  <r>
    <x v="902"/>
    <x v="410"/>
    <x v="791"/>
    <x v="1"/>
    <x v="9"/>
    <x v="3"/>
    <x v="1"/>
    <x v="38"/>
    <x v="1"/>
    <x v="874"/>
    <x v="4"/>
    <n v="35.11"/>
    <n v="18.34"/>
    <x v="877"/>
    <x v="1"/>
    <n v="2024"/>
    <x v="4"/>
    <n v="33.354500000000002"/>
    <n v="4.1973346924702804E-3"/>
    <x v="1"/>
    <x v="0"/>
  </r>
  <r>
    <x v="903"/>
    <x v="411"/>
    <x v="792"/>
    <x v="2"/>
    <x v="1"/>
    <x v="1"/>
    <x v="0"/>
    <x v="3"/>
    <x v="2"/>
    <x v="875"/>
    <x v="0"/>
    <n v="176.46"/>
    <n v="9.65"/>
    <x v="878"/>
    <x v="3"/>
    <n v="2024"/>
    <x v="4"/>
    <n v="176.46"/>
    <n v="0.39533038648985602"/>
    <x v="0"/>
    <x v="0"/>
  </r>
  <r>
    <x v="904"/>
    <x v="412"/>
    <x v="793"/>
    <x v="1"/>
    <x v="8"/>
    <x v="1"/>
    <x v="0"/>
    <x v="31"/>
    <x v="2"/>
    <x v="876"/>
    <x v="0"/>
    <n v="223.56"/>
    <n v="9"/>
    <x v="879"/>
    <x v="0"/>
    <n v="2024"/>
    <x v="4"/>
    <n v="223.56"/>
    <n v="0.409733404902487"/>
    <x v="0"/>
    <x v="0"/>
  </r>
  <r>
    <x v="905"/>
    <x v="412"/>
    <x v="794"/>
    <x v="1"/>
    <x v="2"/>
    <x v="0"/>
    <x v="2"/>
    <x v="14"/>
    <x v="13"/>
    <x v="877"/>
    <x v="0"/>
    <n v="2620.2800000000002"/>
    <n v="30.62"/>
    <x v="880"/>
    <x v="1"/>
    <n v="2024"/>
    <x v="4"/>
    <n v="2620.2800000000002"/>
    <n v="0.38831346268337702"/>
    <x v="2"/>
    <x v="0"/>
  </r>
  <r>
    <x v="906"/>
    <x v="412"/>
    <x v="795"/>
    <x v="1"/>
    <x v="0"/>
    <x v="0"/>
    <x v="3"/>
    <x v="33"/>
    <x v="3"/>
    <x v="878"/>
    <x v="1"/>
    <n v="38.74"/>
    <n v="6.96"/>
    <x v="881"/>
    <x v="1"/>
    <n v="2024"/>
    <x v="4"/>
    <n v="30.992000000000001"/>
    <n v="0.24425658234383099"/>
    <x v="1"/>
    <x v="0"/>
  </r>
  <r>
    <x v="907"/>
    <x v="412"/>
    <x v="796"/>
    <x v="1"/>
    <x v="3"/>
    <x v="1"/>
    <x v="1"/>
    <x v="2"/>
    <x v="0"/>
    <x v="879"/>
    <x v="3"/>
    <n v="26.97"/>
    <n v="8.52"/>
    <x v="882"/>
    <x v="2"/>
    <n v="2024"/>
    <x v="4"/>
    <n v="24.273"/>
    <n v="0.20434227330779101"/>
    <x v="1"/>
    <x v="0"/>
  </r>
  <r>
    <x v="908"/>
    <x v="413"/>
    <x v="797"/>
    <x v="0"/>
    <x v="17"/>
    <x v="3"/>
    <x v="3"/>
    <x v="33"/>
    <x v="3"/>
    <x v="880"/>
    <x v="0"/>
    <n v="51.37"/>
    <n v="11.26"/>
    <x v="883"/>
    <x v="2"/>
    <n v="2024"/>
    <x v="4"/>
    <n v="51.37"/>
    <n v="0.28070858477710697"/>
    <x v="1"/>
    <x v="0"/>
  </r>
  <r>
    <x v="909"/>
    <x v="413"/>
    <x v="758"/>
    <x v="1"/>
    <x v="17"/>
    <x v="3"/>
    <x v="1"/>
    <x v="25"/>
    <x v="2"/>
    <x v="881"/>
    <x v="3"/>
    <n v="25.54"/>
    <n v="10.01"/>
    <x v="884"/>
    <x v="1"/>
    <n v="2024"/>
    <x v="4"/>
    <n v="22.986000000000001"/>
    <n v="0.120073087966588"/>
    <x v="1"/>
    <x v="0"/>
  </r>
  <r>
    <x v="910"/>
    <x v="413"/>
    <x v="798"/>
    <x v="0"/>
    <x v="17"/>
    <x v="3"/>
    <x v="3"/>
    <x v="13"/>
    <x v="1"/>
    <x v="882"/>
    <x v="4"/>
    <n v="224.54"/>
    <n v="11.63"/>
    <x v="885"/>
    <x v="0"/>
    <n v="2024"/>
    <x v="4"/>
    <n v="213.31299999999999"/>
    <n v="0.44408920225208998"/>
    <x v="0"/>
    <x v="0"/>
  </r>
  <r>
    <x v="911"/>
    <x v="414"/>
    <x v="167"/>
    <x v="1"/>
    <x v="5"/>
    <x v="3"/>
    <x v="2"/>
    <x v="39"/>
    <x v="3"/>
    <x v="883"/>
    <x v="0"/>
    <n v="114"/>
    <n v="9.5299999999999994"/>
    <x v="886"/>
    <x v="3"/>
    <n v="2024"/>
    <x v="4"/>
    <n v="114"/>
    <n v="0.31640350877193002"/>
    <x v="0"/>
    <x v="0"/>
  </r>
  <r>
    <x v="912"/>
    <x v="414"/>
    <x v="799"/>
    <x v="0"/>
    <x v="3"/>
    <x v="1"/>
    <x v="0"/>
    <x v="29"/>
    <x v="3"/>
    <x v="884"/>
    <x v="0"/>
    <n v="38.44"/>
    <n v="8.19"/>
    <x v="887"/>
    <x v="2"/>
    <n v="2024"/>
    <x v="4"/>
    <n v="38.44"/>
    <n v="0.236992715920916"/>
    <x v="1"/>
    <x v="0"/>
  </r>
  <r>
    <x v="913"/>
    <x v="414"/>
    <x v="800"/>
    <x v="0"/>
    <x v="11"/>
    <x v="2"/>
    <x v="0"/>
    <x v="0"/>
    <x v="7"/>
    <x v="885"/>
    <x v="3"/>
    <n v="1233.43"/>
    <n v="22.94"/>
    <x v="888"/>
    <x v="0"/>
    <n v="2024"/>
    <x v="4"/>
    <n v="1110.087"/>
    <n v="0.41143622076467901"/>
    <x v="2"/>
    <x v="0"/>
  </r>
  <r>
    <x v="914"/>
    <x v="415"/>
    <x v="801"/>
    <x v="1"/>
    <x v="19"/>
    <x v="1"/>
    <x v="0"/>
    <x v="1"/>
    <x v="4"/>
    <x v="886"/>
    <x v="3"/>
    <n v="945.27"/>
    <n v="21.41"/>
    <x v="889"/>
    <x v="0"/>
    <n v="2024"/>
    <x v="4"/>
    <n v="850.74300000000005"/>
    <n v="0.40692665117432603"/>
    <x v="2"/>
    <x v="0"/>
  </r>
  <r>
    <x v="915"/>
    <x v="415"/>
    <x v="802"/>
    <x v="2"/>
    <x v="7"/>
    <x v="4"/>
    <x v="1"/>
    <x v="2"/>
    <x v="5"/>
    <x v="887"/>
    <x v="2"/>
    <n v="47.56"/>
    <n v="22.11"/>
    <x v="890"/>
    <x v="2"/>
    <n v="2024"/>
    <x v="4"/>
    <n v="40.426000000000002"/>
    <n v="6.6788700341364497E-3"/>
    <x v="1"/>
    <x v="0"/>
  </r>
  <r>
    <x v="916"/>
    <x v="415"/>
    <x v="803"/>
    <x v="1"/>
    <x v="15"/>
    <x v="2"/>
    <x v="0"/>
    <x v="35"/>
    <x v="2"/>
    <x v="888"/>
    <x v="0"/>
    <n v="63.84"/>
    <n v="13.33"/>
    <x v="891"/>
    <x v="3"/>
    <n v="2024"/>
    <x v="4"/>
    <n v="63.84"/>
    <n v="0.24122807017543901"/>
    <x v="1"/>
    <x v="0"/>
  </r>
  <r>
    <x v="917"/>
    <x v="415"/>
    <x v="804"/>
    <x v="0"/>
    <x v="19"/>
    <x v="1"/>
    <x v="2"/>
    <x v="32"/>
    <x v="0"/>
    <x v="889"/>
    <x v="0"/>
    <n v="106.47"/>
    <n v="13.63"/>
    <x v="892"/>
    <x v="3"/>
    <n v="2024"/>
    <x v="4"/>
    <n v="106.47"/>
    <n v="0.27200150277073398"/>
    <x v="0"/>
    <x v="0"/>
  </r>
  <r>
    <x v="918"/>
    <x v="415"/>
    <x v="805"/>
    <x v="0"/>
    <x v="5"/>
    <x v="3"/>
    <x v="0"/>
    <x v="31"/>
    <x v="2"/>
    <x v="890"/>
    <x v="4"/>
    <n v="136.65"/>
    <n v="13.71"/>
    <x v="893"/>
    <x v="2"/>
    <n v="2024"/>
    <x v="4"/>
    <n v="129.8175"/>
    <n v="0.337627823675544"/>
    <x v="0"/>
    <x v="0"/>
  </r>
  <r>
    <x v="919"/>
    <x v="415"/>
    <x v="106"/>
    <x v="2"/>
    <x v="9"/>
    <x v="3"/>
    <x v="1"/>
    <x v="12"/>
    <x v="10"/>
    <x v="891"/>
    <x v="0"/>
    <n v="186.21"/>
    <n v="22.07"/>
    <x v="894"/>
    <x v="1"/>
    <n v="2024"/>
    <x v="4"/>
    <n v="186.21"/>
    <n v="0.43150206755813297"/>
    <x v="0"/>
    <x v="0"/>
  </r>
  <r>
    <x v="920"/>
    <x v="415"/>
    <x v="806"/>
    <x v="1"/>
    <x v="1"/>
    <x v="1"/>
    <x v="0"/>
    <x v="22"/>
    <x v="12"/>
    <x v="892"/>
    <x v="3"/>
    <n v="1928.48"/>
    <n v="22.72"/>
    <x v="895"/>
    <x v="0"/>
    <n v="2024"/>
    <x v="4"/>
    <n v="1735.6320000000001"/>
    <n v="0.41901163380255702"/>
    <x v="2"/>
    <x v="0"/>
  </r>
  <r>
    <x v="921"/>
    <x v="416"/>
    <x v="807"/>
    <x v="0"/>
    <x v="14"/>
    <x v="1"/>
    <x v="3"/>
    <x v="9"/>
    <x v="0"/>
    <x v="893"/>
    <x v="3"/>
    <n v="135.88999999999999"/>
    <n v="11.44"/>
    <x v="896"/>
    <x v="2"/>
    <n v="2024"/>
    <x v="4"/>
    <n v="122.301"/>
    <n v="0.400242025821539"/>
    <x v="0"/>
    <x v="0"/>
  </r>
  <r>
    <x v="922"/>
    <x v="416"/>
    <x v="808"/>
    <x v="1"/>
    <x v="2"/>
    <x v="0"/>
    <x v="1"/>
    <x v="6"/>
    <x v="3"/>
    <x v="894"/>
    <x v="3"/>
    <n v="20.92"/>
    <n v="7.37"/>
    <x v="897"/>
    <x v="2"/>
    <n v="2024"/>
    <x v="4"/>
    <n v="18.827999999999999"/>
    <n v="0.16411727214786501"/>
    <x v="1"/>
    <x v="0"/>
  </r>
  <r>
    <x v="923"/>
    <x v="416"/>
    <x v="329"/>
    <x v="1"/>
    <x v="12"/>
    <x v="4"/>
    <x v="3"/>
    <x v="37"/>
    <x v="4"/>
    <x v="895"/>
    <x v="0"/>
    <n v="479.7"/>
    <n v="23.09"/>
    <x v="898"/>
    <x v="1"/>
    <n v="2024"/>
    <x v="4"/>
    <n v="479.7"/>
    <n v="0.45186574942672503"/>
    <x v="0"/>
    <x v="0"/>
  </r>
  <r>
    <x v="924"/>
    <x v="417"/>
    <x v="809"/>
    <x v="1"/>
    <x v="6"/>
    <x v="2"/>
    <x v="1"/>
    <x v="20"/>
    <x v="3"/>
    <x v="896"/>
    <x v="0"/>
    <n v="14.73"/>
    <n v="12.36"/>
    <x v="899"/>
    <x v="1"/>
    <n v="2024"/>
    <x v="4"/>
    <n v="14.73"/>
    <n v="-0.28920570264765799"/>
    <x v="1"/>
    <x v="1"/>
  </r>
  <r>
    <x v="925"/>
    <x v="417"/>
    <x v="810"/>
    <x v="0"/>
    <x v="7"/>
    <x v="4"/>
    <x v="1"/>
    <x v="17"/>
    <x v="1"/>
    <x v="897"/>
    <x v="3"/>
    <n v="55.26"/>
    <n v="13.12"/>
    <x v="900"/>
    <x v="0"/>
    <n v="2024"/>
    <x v="4"/>
    <n v="49.734000000000002"/>
    <n v="0.29175212128523798"/>
    <x v="1"/>
    <x v="0"/>
  </r>
  <r>
    <x v="926"/>
    <x v="418"/>
    <x v="811"/>
    <x v="1"/>
    <x v="13"/>
    <x v="0"/>
    <x v="0"/>
    <x v="0"/>
    <x v="3"/>
    <x v="898"/>
    <x v="3"/>
    <n v="154.78"/>
    <n v="7.29"/>
    <x v="901"/>
    <x v="1"/>
    <n v="2024"/>
    <x v="4"/>
    <n v="139.30199999999999"/>
    <n v="0.37975047020143299"/>
    <x v="0"/>
    <x v="0"/>
  </r>
  <r>
    <x v="927"/>
    <x v="419"/>
    <x v="222"/>
    <x v="1"/>
    <x v="15"/>
    <x v="2"/>
    <x v="2"/>
    <x v="32"/>
    <x v="3"/>
    <x v="899"/>
    <x v="0"/>
    <n v="67.180000000000007"/>
    <n v="12.09"/>
    <x v="902"/>
    <x v="2"/>
    <n v="2024"/>
    <x v="4"/>
    <n v="67.180000000000007"/>
    <n v="0.22000595415302199"/>
    <x v="1"/>
    <x v="0"/>
  </r>
  <r>
    <x v="928"/>
    <x v="419"/>
    <x v="812"/>
    <x v="1"/>
    <x v="0"/>
    <x v="0"/>
    <x v="0"/>
    <x v="35"/>
    <x v="5"/>
    <x v="900"/>
    <x v="2"/>
    <n v="118.7"/>
    <n v="14.98"/>
    <x v="903"/>
    <x v="2"/>
    <n v="2024"/>
    <x v="4"/>
    <n v="100.895"/>
    <n v="0.266712919371624"/>
    <x v="0"/>
    <x v="0"/>
  </r>
  <r>
    <x v="929"/>
    <x v="420"/>
    <x v="432"/>
    <x v="1"/>
    <x v="10"/>
    <x v="3"/>
    <x v="1"/>
    <x v="17"/>
    <x v="2"/>
    <x v="901"/>
    <x v="2"/>
    <n v="14.65"/>
    <n v="10.07"/>
    <x v="904"/>
    <x v="1"/>
    <n v="2024"/>
    <x v="5"/>
    <n v="12.452500000000001"/>
    <n v="-0.25537040754868501"/>
    <x v="1"/>
    <x v="1"/>
  </r>
  <r>
    <x v="930"/>
    <x v="421"/>
    <x v="813"/>
    <x v="2"/>
    <x v="14"/>
    <x v="1"/>
    <x v="2"/>
    <x v="21"/>
    <x v="6"/>
    <x v="902"/>
    <x v="2"/>
    <n v="461.9"/>
    <n v="11.64"/>
    <x v="905"/>
    <x v="1"/>
    <n v="2024"/>
    <x v="5"/>
    <n v="392.61500000000001"/>
    <n v="0.31636590553086402"/>
    <x v="0"/>
    <x v="0"/>
  </r>
  <r>
    <x v="931"/>
    <x v="422"/>
    <x v="814"/>
    <x v="1"/>
    <x v="17"/>
    <x v="3"/>
    <x v="1"/>
    <x v="17"/>
    <x v="2"/>
    <x v="903"/>
    <x v="3"/>
    <n v="33.520000000000003"/>
    <n v="12.51"/>
    <x v="906"/>
    <x v="3"/>
    <n v="2024"/>
    <x v="5"/>
    <n v="30.167999999999999"/>
    <n v="0.14087775125961299"/>
    <x v="1"/>
    <x v="0"/>
  </r>
  <r>
    <x v="932"/>
    <x v="422"/>
    <x v="815"/>
    <x v="2"/>
    <x v="9"/>
    <x v="3"/>
    <x v="2"/>
    <x v="4"/>
    <x v="2"/>
    <x v="904"/>
    <x v="4"/>
    <n v="390.41"/>
    <n v="12.79"/>
    <x v="907"/>
    <x v="1"/>
    <n v="2024"/>
    <x v="5"/>
    <n v="370.8895"/>
    <n v="0.35331277914311399"/>
    <x v="0"/>
    <x v="0"/>
  </r>
  <r>
    <x v="933"/>
    <x v="423"/>
    <x v="166"/>
    <x v="1"/>
    <x v="0"/>
    <x v="0"/>
    <x v="2"/>
    <x v="4"/>
    <x v="2"/>
    <x v="905"/>
    <x v="4"/>
    <n v="403.67"/>
    <n v="8.24"/>
    <x v="908"/>
    <x v="0"/>
    <n v="2024"/>
    <x v="5"/>
    <n v="383.48649999999998"/>
    <n v="0.36632319521026202"/>
    <x v="0"/>
    <x v="0"/>
  </r>
  <r>
    <x v="934"/>
    <x v="423"/>
    <x v="816"/>
    <x v="1"/>
    <x v="2"/>
    <x v="0"/>
    <x v="2"/>
    <x v="36"/>
    <x v="2"/>
    <x v="906"/>
    <x v="0"/>
    <n v="465.3"/>
    <n v="6.74"/>
    <x v="909"/>
    <x v="1"/>
    <n v="2024"/>
    <x v="5"/>
    <n v="465.3"/>
    <n v="0.385514721684934"/>
    <x v="0"/>
    <x v="0"/>
  </r>
  <r>
    <x v="935"/>
    <x v="424"/>
    <x v="817"/>
    <x v="2"/>
    <x v="10"/>
    <x v="3"/>
    <x v="3"/>
    <x v="26"/>
    <x v="3"/>
    <x v="526"/>
    <x v="4"/>
    <n v="32.28"/>
    <n v="9.6300000000000008"/>
    <x v="178"/>
    <x v="0"/>
    <n v="2024"/>
    <x v="5"/>
    <n v="30.666"/>
    <n v="0.18456922976586401"/>
    <x v="1"/>
    <x v="0"/>
  </r>
  <r>
    <x v="936"/>
    <x v="425"/>
    <x v="818"/>
    <x v="2"/>
    <x v="12"/>
    <x v="4"/>
    <x v="3"/>
    <x v="37"/>
    <x v="3"/>
    <x v="907"/>
    <x v="1"/>
    <n v="38.26"/>
    <n v="10.96"/>
    <x v="312"/>
    <x v="1"/>
    <n v="2024"/>
    <x v="5"/>
    <n v="30.608000000000001"/>
    <n v="0.110428646105593"/>
    <x v="1"/>
    <x v="0"/>
  </r>
  <r>
    <x v="937"/>
    <x v="426"/>
    <x v="819"/>
    <x v="0"/>
    <x v="3"/>
    <x v="1"/>
    <x v="1"/>
    <x v="38"/>
    <x v="3"/>
    <x v="908"/>
    <x v="0"/>
    <n v="10.5"/>
    <n v="8.64"/>
    <x v="800"/>
    <x v="1"/>
    <n v="2024"/>
    <x v="5"/>
    <n v="10.5"/>
    <n v="-0.27333333333333298"/>
    <x v="1"/>
    <x v="1"/>
  </r>
  <r>
    <x v="938"/>
    <x v="427"/>
    <x v="820"/>
    <x v="2"/>
    <x v="12"/>
    <x v="4"/>
    <x v="2"/>
    <x v="32"/>
    <x v="0"/>
    <x v="909"/>
    <x v="2"/>
    <n v="67.22"/>
    <n v="14.59"/>
    <x v="910"/>
    <x v="2"/>
    <n v="2024"/>
    <x v="5"/>
    <n v="57.137"/>
    <n v="9.0659292577489198E-2"/>
    <x v="1"/>
    <x v="0"/>
  </r>
  <r>
    <x v="939"/>
    <x v="427"/>
    <x v="821"/>
    <x v="1"/>
    <x v="13"/>
    <x v="0"/>
    <x v="3"/>
    <x v="27"/>
    <x v="0"/>
    <x v="910"/>
    <x v="4"/>
    <n v="182"/>
    <n v="10.77"/>
    <x v="911"/>
    <x v="2"/>
    <n v="2024"/>
    <x v="5"/>
    <n v="172.9"/>
    <n v="0.43632157316367798"/>
    <x v="0"/>
    <x v="0"/>
  </r>
  <r>
    <x v="940"/>
    <x v="427"/>
    <x v="43"/>
    <x v="1"/>
    <x v="0"/>
    <x v="0"/>
    <x v="3"/>
    <x v="24"/>
    <x v="0"/>
    <x v="406"/>
    <x v="3"/>
    <n v="79.569999999999993"/>
    <n v="12.1"/>
    <x v="912"/>
    <x v="1"/>
    <n v="2024"/>
    <x v="5"/>
    <n v="71.613"/>
    <n v="0.324801362881041"/>
    <x v="1"/>
    <x v="0"/>
  </r>
  <r>
    <x v="941"/>
    <x v="428"/>
    <x v="822"/>
    <x v="1"/>
    <x v="0"/>
    <x v="0"/>
    <x v="3"/>
    <x v="27"/>
    <x v="3"/>
    <x v="911"/>
    <x v="4"/>
    <n v="25.21"/>
    <n v="6.91"/>
    <x v="913"/>
    <x v="0"/>
    <n v="2024"/>
    <x v="5"/>
    <n v="23.9495"/>
    <n v="0.210025261487714"/>
    <x v="1"/>
    <x v="0"/>
  </r>
  <r>
    <x v="942"/>
    <x v="429"/>
    <x v="823"/>
    <x v="1"/>
    <x v="10"/>
    <x v="3"/>
    <x v="3"/>
    <x v="16"/>
    <x v="5"/>
    <x v="912"/>
    <x v="3"/>
    <n v="223.29"/>
    <n v="20.46"/>
    <x v="914"/>
    <x v="0"/>
    <n v="2024"/>
    <x v="5"/>
    <n v="200.96100000000001"/>
    <n v="0.392016361383552"/>
    <x v="0"/>
    <x v="0"/>
  </r>
  <r>
    <x v="943"/>
    <x v="429"/>
    <x v="586"/>
    <x v="1"/>
    <x v="7"/>
    <x v="4"/>
    <x v="0"/>
    <x v="29"/>
    <x v="0"/>
    <x v="613"/>
    <x v="0"/>
    <n v="132.33000000000001"/>
    <n v="13.19"/>
    <x v="915"/>
    <x v="1"/>
    <n v="2024"/>
    <x v="5"/>
    <n v="132.33000000000001"/>
    <n v="0.35033628051084398"/>
    <x v="0"/>
    <x v="0"/>
  </r>
  <r>
    <x v="944"/>
    <x v="429"/>
    <x v="824"/>
    <x v="0"/>
    <x v="5"/>
    <x v="3"/>
    <x v="0"/>
    <x v="35"/>
    <x v="1"/>
    <x v="213"/>
    <x v="2"/>
    <n v="224.13"/>
    <n v="12.79"/>
    <x v="916"/>
    <x v="2"/>
    <n v="2024"/>
    <x v="5"/>
    <n v="190.51050000000001"/>
    <n v="0.34811729537217101"/>
    <x v="0"/>
    <x v="0"/>
  </r>
  <r>
    <x v="945"/>
    <x v="430"/>
    <x v="413"/>
    <x v="0"/>
    <x v="15"/>
    <x v="2"/>
    <x v="0"/>
    <x v="31"/>
    <x v="2"/>
    <x v="913"/>
    <x v="2"/>
    <n v="318.66000000000003"/>
    <n v="15.26"/>
    <x v="917"/>
    <x v="0"/>
    <n v="2024"/>
    <x v="5"/>
    <n v="270.86099999999999"/>
    <n v="0.358892568513001"/>
    <x v="0"/>
    <x v="0"/>
  </r>
  <r>
    <x v="946"/>
    <x v="431"/>
    <x v="825"/>
    <x v="2"/>
    <x v="0"/>
    <x v="0"/>
    <x v="3"/>
    <x v="27"/>
    <x v="3"/>
    <x v="914"/>
    <x v="4"/>
    <n v="39.61"/>
    <n v="5.53"/>
    <x v="918"/>
    <x v="2"/>
    <n v="2024"/>
    <x v="5"/>
    <n v="37.6295"/>
    <n v="0.35158585684104199"/>
    <x v="1"/>
    <x v="0"/>
  </r>
  <r>
    <x v="947"/>
    <x v="431"/>
    <x v="826"/>
    <x v="2"/>
    <x v="13"/>
    <x v="0"/>
    <x v="1"/>
    <x v="10"/>
    <x v="2"/>
    <x v="915"/>
    <x v="4"/>
    <n v="6.93"/>
    <n v="9.09"/>
    <x v="919"/>
    <x v="2"/>
    <n v="2024"/>
    <x v="5"/>
    <n v="6.5834999999999999"/>
    <n v="-0.82782714361661702"/>
    <x v="1"/>
    <x v="1"/>
  </r>
  <r>
    <x v="948"/>
    <x v="431"/>
    <x v="359"/>
    <x v="0"/>
    <x v="2"/>
    <x v="0"/>
    <x v="0"/>
    <x v="31"/>
    <x v="5"/>
    <x v="916"/>
    <x v="4"/>
    <n v="907.2"/>
    <n v="14.34"/>
    <x v="920"/>
    <x v="3"/>
    <n v="2024"/>
    <x v="5"/>
    <n v="861.84"/>
    <n v="0.42657569850552302"/>
    <x v="2"/>
    <x v="0"/>
  </r>
  <r>
    <x v="949"/>
    <x v="432"/>
    <x v="827"/>
    <x v="1"/>
    <x v="3"/>
    <x v="1"/>
    <x v="2"/>
    <x v="21"/>
    <x v="2"/>
    <x v="917"/>
    <x v="0"/>
    <n v="101.1"/>
    <n v="11.26"/>
    <x v="921"/>
    <x v="2"/>
    <n v="2024"/>
    <x v="5"/>
    <n v="101.1"/>
    <n v="0.28862512363996001"/>
    <x v="0"/>
    <x v="0"/>
  </r>
  <r>
    <x v="950"/>
    <x v="433"/>
    <x v="828"/>
    <x v="0"/>
    <x v="13"/>
    <x v="0"/>
    <x v="3"/>
    <x v="37"/>
    <x v="5"/>
    <x v="918"/>
    <x v="4"/>
    <n v="291.83999999999997"/>
    <n v="10.220000000000001"/>
    <x v="922"/>
    <x v="1"/>
    <n v="2024"/>
    <x v="5"/>
    <n v="277.24799999999999"/>
    <n v="0.46175265466297299"/>
    <x v="0"/>
    <x v="0"/>
  </r>
  <r>
    <x v="951"/>
    <x v="433"/>
    <x v="829"/>
    <x v="0"/>
    <x v="12"/>
    <x v="4"/>
    <x v="2"/>
    <x v="5"/>
    <x v="4"/>
    <x v="919"/>
    <x v="3"/>
    <n v="456.08"/>
    <n v="22.68"/>
    <x v="923"/>
    <x v="1"/>
    <n v="2024"/>
    <x v="5"/>
    <n v="410.47199999999998"/>
    <n v="0.31510066460075198"/>
    <x v="0"/>
    <x v="0"/>
  </r>
  <r>
    <x v="952"/>
    <x v="433"/>
    <x v="830"/>
    <x v="0"/>
    <x v="13"/>
    <x v="0"/>
    <x v="0"/>
    <x v="7"/>
    <x v="1"/>
    <x v="920"/>
    <x v="3"/>
    <n v="192.38"/>
    <n v="10.74"/>
    <x v="924"/>
    <x v="1"/>
    <n v="2024"/>
    <x v="5"/>
    <n v="173.142"/>
    <n v="0.37004308602187802"/>
    <x v="0"/>
    <x v="0"/>
  </r>
  <r>
    <x v="953"/>
    <x v="434"/>
    <x v="831"/>
    <x v="1"/>
    <x v="2"/>
    <x v="0"/>
    <x v="3"/>
    <x v="37"/>
    <x v="2"/>
    <x v="921"/>
    <x v="4"/>
    <n v="74.88"/>
    <n v="8.06"/>
    <x v="925"/>
    <x v="2"/>
    <n v="2024"/>
    <x v="5"/>
    <n v="71.135999999999996"/>
    <n v="0.38531826360773702"/>
    <x v="1"/>
    <x v="0"/>
  </r>
  <r>
    <x v="954"/>
    <x v="434"/>
    <x v="832"/>
    <x v="1"/>
    <x v="12"/>
    <x v="4"/>
    <x v="0"/>
    <x v="0"/>
    <x v="3"/>
    <x v="922"/>
    <x v="4"/>
    <n v="203.59"/>
    <n v="11.22"/>
    <x v="926"/>
    <x v="1"/>
    <n v="2024"/>
    <x v="5"/>
    <n v="193.41050000000001"/>
    <n v="0.38519108321419998"/>
    <x v="0"/>
    <x v="0"/>
  </r>
  <r>
    <x v="955"/>
    <x v="435"/>
    <x v="833"/>
    <x v="1"/>
    <x v="13"/>
    <x v="0"/>
    <x v="0"/>
    <x v="22"/>
    <x v="4"/>
    <x v="923"/>
    <x v="4"/>
    <n v="503.48"/>
    <n v="13.32"/>
    <x v="927"/>
    <x v="2"/>
    <n v="2024"/>
    <x v="5"/>
    <n v="478.30599999999998"/>
    <n v="0.415361714049165"/>
    <x v="2"/>
    <x v="0"/>
  </r>
  <r>
    <x v="956"/>
    <x v="435"/>
    <x v="834"/>
    <x v="0"/>
    <x v="13"/>
    <x v="0"/>
    <x v="3"/>
    <x v="24"/>
    <x v="2"/>
    <x v="924"/>
    <x v="4"/>
    <n v="139.56"/>
    <n v="6.29"/>
    <x v="928"/>
    <x v="0"/>
    <n v="2024"/>
    <x v="5"/>
    <n v="132.58199999999999"/>
    <n v="0.45119246956600401"/>
    <x v="0"/>
    <x v="0"/>
  </r>
  <r>
    <x v="957"/>
    <x v="436"/>
    <x v="835"/>
    <x v="2"/>
    <x v="17"/>
    <x v="3"/>
    <x v="3"/>
    <x v="11"/>
    <x v="3"/>
    <x v="925"/>
    <x v="3"/>
    <n v="42.59"/>
    <n v="10.74"/>
    <x v="929"/>
    <x v="0"/>
    <n v="2024"/>
    <x v="5"/>
    <n v="38.331000000000003"/>
    <n v="0.213665179619629"/>
    <x v="1"/>
    <x v="0"/>
  </r>
  <r>
    <x v="958"/>
    <x v="436"/>
    <x v="836"/>
    <x v="2"/>
    <x v="4"/>
    <x v="2"/>
    <x v="3"/>
    <x v="27"/>
    <x v="2"/>
    <x v="926"/>
    <x v="4"/>
    <n v="64.87"/>
    <n v="13.94"/>
    <x v="930"/>
    <x v="2"/>
    <n v="2024"/>
    <x v="5"/>
    <n v="61.6265"/>
    <n v="0.272447729467031"/>
    <x v="1"/>
    <x v="0"/>
  </r>
  <r>
    <x v="959"/>
    <x v="437"/>
    <x v="837"/>
    <x v="0"/>
    <x v="1"/>
    <x v="1"/>
    <x v="2"/>
    <x v="5"/>
    <x v="3"/>
    <x v="927"/>
    <x v="0"/>
    <n v="141.5"/>
    <n v="7.9"/>
    <x v="931"/>
    <x v="1"/>
    <n v="2024"/>
    <x v="5"/>
    <n v="141.5"/>
    <n v="0.34416961130742002"/>
    <x v="0"/>
    <x v="0"/>
  </r>
  <r>
    <x v="960"/>
    <x v="438"/>
    <x v="645"/>
    <x v="1"/>
    <x v="17"/>
    <x v="3"/>
    <x v="2"/>
    <x v="34"/>
    <x v="10"/>
    <x v="928"/>
    <x v="4"/>
    <n v="474.52"/>
    <n v="19.93"/>
    <x v="932"/>
    <x v="0"/>
    <n v="2024"/>
    <x v="5"/>
    <n v="450.79399999999998"/>
    <n v="0.34359374792033598"/>
    <x v="0"/>
    <x v="0"/>
  </r>
  <r>
    <x v="961"/>
    <x v="438"/>
    <x v="838"/>
    <x v="1"/>
    <x v="1"/>
    <x v="1"/>
    <x v="1"/>
    <x v="38"/>
    <x v="0"/>
    <x v="929"/>
    <x v="2"/>
    <n v="20.68"/>
    <n v="14.26"/>
    <x v="933"/>
    <x v="2"/>
    <n v="2024"/>
    <x v="5"/>
    <n v="17.577999999999999"/>
    <n v="-0.25770849926043898"/>
    <x v="1"/>
    <x v="1"/>
  </r>
  <r>
    <x v="962"/>
    <x v="439"/>
    <x v="656"/>
    <x v="1"/>
    <x v="12"/>
    <x v="4"/>
    <x v="2"/>
    <x v="4"/>
    <x v="6"/>
    <x v="930"/>
    <x v="2"/>
    <n v="1804.58"/>
    <n v="18.54"/>
    <x v="934"/>
    <x v="2"/>
    <n v="2024"/>
    <x v="5"/>
    <n v="1533.893"/>
    <n v="0.33393463559713799"/>
    <x v="2"/>
    <x v="0"/>
  </r>
  <r>
    <x v="963"/>
    <x v="439"/>
    <x v="839"/>
    <x v="0"/>
    <x v="6"/>
    <x v="2"/>
    <x v="0"/>
    <x v="3"/>
    <x v="3"/>
    <x v="931"/>
    <x v="1"/>
    <n v="54.71"/>
    <n v="12.38"/>
    <x v="935"/>
    <x v="3"/>
    <n v="2024"/>
    <x v="5"/>
    <n v="43.768000000000001"/>
    <n v="0.107841345275087"/>
    <x v="1"/>
    <x v="0"/>
  </r>
  <r>
    <x v="964"/>
    <x v="439"/>
    <x v="418"/>
    <x v="1"/>
    <x v="5"/>
    <x v="3"/>
    <x v="1"/>
    <x v="2"/>
    <x v="2"/>
    <x v="932"/>
    <x v="3"/>
    <n v="17.5"/>
    <n v="12.92"/>
    <x v="936"/>
    <x v="2"/>
    <n v="2024"/>
    <x v="5"/>
    <n v="15.75"/>
    <n v="-0.26476190476190498"/>
    <x v="1"/>
    <x v="1"/>
  </r>
  <r>
    <x v="965"/>
    <x v="440"/>
    <x v="301"/>
    <x v="2"/>
    <x v="19"/>
    <x v="1"/>
    <x v="1"/>
    <x v="19"/>
    <x v="2"/>
    <x v="61"/>
    <x v="4"/>
    <n v="27.61"/>
    <n v="11.77"/>
    <x v="884"/>
    <x v="0"/>
    <n v="2024"/>
    <x v="5"/>
    <n v="26.229500000000002"/>
    <n v="0.10522503288282301"/>
    <x v="1"/>
    <x v="0"/>
  </r>
  <r>
    <x v="966"/>
    <x v="441"/>
    <x v="499"/>
    <x v="0"/>
    <x v="18"/>
    <x v="4"/>
    <x v="2"/>
    <x v="8"/>
    <x v="3"/>
    <x v="933"/>
    <x v="3"/>
    <n v="70.27"/>
    <n v="11.96"/>
    <x v="937"/>
    <x v="1"/>
    <n v="2024"/>
    <x v="5"/>
    <n v="63.243000000000002"/>
    <n v="0.18120582515061001"/>
    <x v="1"/>
    <x v="0"/>
  </r>
  <r>
    <x v="967"/>
    <x v="441"/>
    <x v="840"/>
    <x v="2"/>
    <x v="2"/>
    <x v="0"/>
    <x v="1"/>
    <x v="23"/>
    <x v="5"/>
    <x v="934"/>
    <x v="0"/>
    <n v="47.7"/>
    <n v="11.65"/>
    <x v="938"/>
    <x v="1"/>
    <n v="2024"/>
    <x v="5"/>
    <n v="47.7"/>
    <n v="0.305870020964361"/>
    <x v="1"/>
    <x v="0"/>
  </r>
  <r>
    <x v="968"/>
    <x v="442"/>
    <x v="841"/>
    <x v="1"/>
    <x v="19"/>
    <x v="1"/>
    <x v="2"/>
    <x v="36"/>
    <x v="0"/>
    <x v="935"/>
    <x v="0"/>
    <n v="367.5"/>
    <n v="9.35"/>
    <x v="939"/>
    <x v="1"/>
    <n v="2024"/>
    <x v="5"/>
    <n v="367.5"/>
    <n v="0.37455782312925201"/>
    <x v="0"/>
    <x v="0"/>
  </r>
  <r>
    <x v="969"/>
    <x v="442"/>
    <x v="842"/>
    <x v="1"/>
    <x v="9"/>
    <x v="3"/>
    <x v="2"/>
    <x v="32"/>
    <x v="2"/>
    <x v="936"/>
    <x v="0"/>
    <n v="66.680000000000007"/>
    <n v="11.35"/>
    <x v="940"/>
    <x v="1"/>
    <n v="2024"/>
    <x v="5"/>
    <n v="66.680000000000007"/>
    <n v="0.22975404919016201"/>
    <x v="1"/>
    <x v="0"/>
  </r>
  <r>
    <x v="970"/>
    <x v="443"/>
    <x v="843"/>
    <x v="1"/>
    <x v="2"/>
    <x v="0"/>
    <x v="1"/>
    <x v="2"/>
    <x v="7"/>
    <x v="937"/>
    <x v="0"/>
    <n v="112.4"/>
    <n v="18.760000000000002"/>
    <x v="941"/>
    <x v="2"/>
    <n v="2024"/>
    <x v="5"/>
    <n v="112.4"/>
    <n v="0.383096085409253"/>
    <x v="0"/>
    <x v="0"/>
  </r>
  <r>
    <x v="971"/>
    <x v="444"/>
    <x v="844"/>
    <x v="0"/>
    <x v="1"/>
    <x v="1"/>
    <x v="3"/>
    <x v="37"/>
    <x v="0"/>
    <x v="938"/>
    <x v="1"/>
    <n v="54.94"/>
    <n v="11.77"/>
    <x v="340"/>
    <x v="1"/>
    <n v="2024"/>
    <x v="5"/>
    <n v="43.951999999999998"/>
    <n v="0.20090098289042599"/>
    <x v="1"/>
    <x v="0"/>
  </r>
  <r>
    <x v="972"/>
    <x v="444"/>
    <x v="845"/>
    <x v="1"/>
    <x v="2"/>
    <x v="0"/>
    <x v="3"/>
    <x v="16"/>
    <x v="3"/>
    <x v="939"/>
    <x v="3"/>
    <n v="47.55"/>
    <n v="6.13"/>
    <x v="942"/>
    <x v="1"/>
    <n v="2024"/>
    <x v="5"/>
    <n v="42.795000000000002"/>
    <n v="0.35050823694356797"/>
    <x v="1"/>
    <x v="0"/>
  </r>
  <r>
    <x v="973"/>
    <x v="445"/>
    <x v="846"/>
    <x v="0"/>
    <x v="19"/>
    <x v="1"/>
    <x v="0"/>
    <x v="35"/>
    <x v="2"/>
    <x v="940"/>
    <x v="3"/>
    <n v="51.14"/>
    <n v="9.34"/>
    <x v="943"/>
    <x v="1"/>
    <n v="2024"/>
    <x v="6"/>
    <n v="46.026000000000003"/>
    <n v="0.229218267935515"/>
    <x v="1"/>
    <x v="0"/>
  </r>
  <r>
    <x v="974"/>
    <x v="445"/>
    <x v="847"/>
    <x v="1"/>
    <x v="3"/>
    <x v="1"/>
    <x v="3"/>
    <x v="30"/>
    <x v="3"/>
    <x v="941"/>
    <x v="4"/>
    <n v="22.69"/>
    <n v="9.01"/>
    <x v="944"/>
    <x v="1"/>
    <n v="2024"/>
    <x v="6"/>
    <n v="21.555499999999999"/>
    <n v="8.0721857530560603E-2"/>
    <x v="1"/>
    <x v="0"/>
  </r>
  <r>
    <x v="975"/>
    <x v="446"/>
    <x v="848"/>
    <x v="1"/>
    <x v="10"/>
    <x v="3"/>
    <x v="3"/>
    <x v="30"/>
    <x v="4"/>
    <x v="942"/>
    <x v="1"/>
    <n v="123.84"/>
    <n v="23.22"/>
    <x v="945"/>
    <x v="3"/>
    <n v="2024"/>
    <x v="6"/>
    <n v="99.072000000000003"/>
    <n v="0.234375"/>
    <x v="0"/>
    <x v="0"/>
  </r>
  <r>
    <x v="976"/>
    <x v="446"/>
    <x v="190"/>
    <x v="1"/>
    <x v="2"/>
    <x v="0"/>
    <x v="2"/>
    <x v="4"/>
    <x v="6"/>
    <x v="943"/>
    <x v="0"/>
    <n v="1099.28"/>
    <n v="10.119999999999999"/>
    <x v="946"/>
    <x v="1"/>
    <n v="2024"/>
    <x v="6"/>
    <n v="1099.28"/>
    <n v="0.39079215486500202"/>
    <x v="2"/>
    <x v="0"/>
  </r>
  <r>
    <x v="977"/>
    <x v="447"/>
    <x v="849"/>
    <x v="1"/>
    <x v="1"/>
    <x v="1"/>
    <x v="1"/>
    <x v="17"/>
    <x v="2"/>
    <x v="944"/>
    <x v="0"/>
    <n v="42.3"/>
    <n v="9.48"/>
    <x v="947"/>
    <x v="2"/>
    <n v="2024"/>
    <x v="6"/>
    <n v="42.3"/>
    <n v="0.325768321513002"/>
    <x v="1"/>
    <x v="0"/>
  </r>
  <r>
    <x v="978"/>
    <x v="447"/>
    <x v="850"/>
    <x v="0"/>
    <x v="10"/>
    <x v="3"/>
    <x v="1"/>
    <x v="20"/>
    <x v="2"/>
    <x v="945"/>
    <x v="3"/>
    <n v="30.08"/>
    <n v="13.99"/>
    <x v="948"/>
    <x v="1"/>
    <n v="2024"/>
    <x v="6"/>
    <n v="27.071999999999999"/>
    <n v="3.8785460992907798E-2"/>
    <x v="1"/>
    <x v="0"/>
  </r>
  <r>
    <x v="979"/>
    <x v="448"/>
    <x v="851"/>
    <x v="1"/>
    <x v="1"/>
    <x v="1"/>
    <x v="1"/>
    <x v="38"/>
    <x v="1"/>
    <x v="946"/>
    <x v="4"/>
    <n v="16.8"/>
    <n v="13.49"/>
    <x v="949"/>
    <x v="1"/>
    <n v="2024"/>
    <x v="6"/>
    <n v="15.96"/>
    <n v="-0.29135338345864698"/>
    <x v="1"/>
    <x v="1"/>
  </r>
  <r>
    <x v="980"/>
    <x v="449"/>
    <x v="852"/>
    <x v="2"/>
    <x v="19"/>
    <x v="1"/>
    <x v="1"/>
    <x v="23"/>
    <x v="3"/>
    <x v="947"/>
    <x v="0"/>
    <n v="15.39"/>
    <n v="9.15"/>
    <x v="950"/>
    <x v="3"/>
    <n v="2024"/>
    <x v="6"/>
    <n v="15.39"/>
    <n v="-4.4834307992202699E-2"/>
    <x v="1"/>
    <x v="1"/>
  </r>
  <r>
    <x v="981"/>
    <x v="449"/>
    <x v="853"/>
    <x v="1"/>
    <x v="0"/>
    <x v="0"/>
    <x v="1"/>
    <x v="12"/>
    <x v="5"/>
    <x v="948"/>
    <x v="2"/>
    <n v="35.450000000000003"/>
    <n v="7.59"/>
    <x v="951"/>
    <x v="0"/>
    <n v="2024"/>
    <x v="6"/>
    <n v="30.1325"/>
    <n v="0.30199950219862298"/>
    <x v="1"/>
    <x v="0"/>
  </r>
  <r>
    <x v="982"/>
    <x v="449"/>
    <x v="854"/>
    <x v="0"/>
    <x v="8"/>
    <x v="1"/>
    <x v="0"/>
    <x v="35"/>
    <x v="3"/>
    <x v="949"/>
    <x v="0"/>
    <n v="47.66"/>
    <n v="8.77"/>
    <x v="952"/>
    <x v="0"/>
    <n v="2024"/>
    <x v="6"/>
    <n v="47.66"/>
    <n v="0.26605119597146498"/>
    <x v="1"/>
    <x v="0"/>
  </r>
  <r>
    <x v="983"/>
    <x v="449"/>
    <x v="855"/>
    <x v="1"/>
    <x v="14"/>
    <x v="1"/>
    <x v="0"/>
    <x v="35"/>
    <x v="2"/>
    <x v="950"/>
    <x v="0"/>
    <n v="105.62"/>
    <n v="10.99"/>
    <x v="953"/>
    <x v="1"/>
    <n v="2024"/>
    <x v="6"/>
    <n v="105.62"/>
    <n v="0.34595720507479599"/>
    <x v="0"/>
    <x v="0"/>
  </r>
  <r>
    <x v="984"/>
    <x v="449"/>
    <x v="403"/>
    <x v="0"/>
    <x v="0"/>
    <x v="0"/>
    <x v="2"/>
    <x v="34"/>
    <x v="3"/>
    <x v="951"/>
    <x v="4"/>
    <n v="30.05"/>
    <n v="5.84"/>
    <x v="954"/>
    <x v="2"/>
    <n v="2024"/>
    <x v="6"/>
    <n v="28.547499999999999"/>
    <n v="0.18320343287503299"/>
    <x v="1"/>
    <x v="0"/>
  </r>
  <r>
    <x v="985"/>
    <x v="450"/>
    <x v="856"/>
    <x v="1"/>
    <x v="2"/>
    <x v="0"/>
    <x v="1"/>
    <x v="20"/>
    <x v="6"/>
    <x v="952"/>
    <x v="4"/>
    <n v="78.87"/>
    <n v="17.149999999999999"/>
    <x v="955"/>
    <x v="1"/>
    <n v="2024"/>
    <x v="6"/>
    <n v="74.926500000000004"/>
    <n v="0.32511861624391902"/>
    <x v="1"/>
    <x v="0"/>
  </r>
  <r>
    <x v="986"/>
    <x v="450"/>
    <x v="857"/>
    <x v="0"/>
    <x v="1"/>
    <x v="1"/>
    <x v="0"/>
    <x v="28"/>
    <x v="3"/>
    <x v="99"/>
    <x v="1"/>
    <n v="19.73"/>
    <n v="8.64"/>
    <x v="956"/>
    <x v="1"/>
    <n v="2024"/>
    <x v="6"/>
    <n v="15.784000000000001"/>
    <n v="-0.15648758236188501"/>
    <x v="1"/>
    <x v="1"/>
  </r>
  <r>
    <x v="987"/>
    <x v="450"/>
    <x v="49"/>
    <x v="1"/>
    <x v="2"/>
    <x v="0"/>
    <x v="1"/>
    <x v="20"/>
    <x v="7"/>
    <x v="953"/>
    <x v="3"/>
    <n v="139.38999999999999"/>
    <n v="9.27"/>
    <x v="957"/>
    <x v="1"/>
    <n v="2024"/>
    <x v="6"/>
    <n v="125.45099999999999"/>
    <n v="0.481622306717364"/>
    <x v="0"/>
    <x v="0"/>
  </r>
  <r>
    <x v="988"/>
    <x v="451"/>
    <x v="858"/>
    <x v="0"/>
    <x v="13"/>
    <x v="0"/>
    <x v="0"/>
    <x v="35"/>
    <x v="0"/>
    <x v="954"/>
    <x v="3"/>
    <n v="113.48"/>
    <n v="6.85"/>
    <x v="958"/>
    <x v="0"/>
    <n v="2024"/>
    <x v="6"/>
    <n v="102.13200000000001"/>
    <n v="0.36501782007597999"/>
    <x v="0"/>
    <x v="0"/>
  </r>
  <r>
    <x v="989"/>
    <x v="451"/>
    <x v="859"/>
    <x v="1"/>
    <x v="12"/>
    <x v="4"/>
    <x v="0"/>
    <x v="29"/>
    <x v="5"/>
    <x v="955"/>
    <x v="2"/>
    <n v="73.52"/>
    <n v="16.43"/>
    <x v="959"/>
    <x v="0"/>
    <n v="2024"/>
    <x v="6"/>
    <n v="62.491999999999997"/>
    <n v="0.152179478973309"/>
    <x v="1"/>
    <x v="0"/>
  </r>
  <r>
    <x v="990"/>
    <x v="452"/>
    <x v="860"/>
    <x v="1"/>
    <x v="8"/>
    <x v="1"/>
    <x v="2"/>
    <x v="15"/>
    <x v="9"/>
    <x v="956"/>
    <x v="4"/>
    <n v="2901.11"/>
    <n v="14.57"/>
    <x v="960"/>
    <x v="1"/>
    <n v="2024"/>
    <x v="6"/>
    <n v="2756.0545000000002"/>
    <n v="0.38252509157565601"/>
    <x v="2"/>
    <x v="0"/>
  </r>
  <r>
    <x v="991"/>
    <x v="453"/>
    <x v="861"/>
    <x v="1"/>
    <x v="19"/>
    <x v="1"/>
    <x v="3"/>
    <x v="11"/>
    <x v="0"/>
    <x v="957"/>
    <x v="1"/>
    <n v="143.57"/>
    <n v="9.58"/>
    <x v="326"/>
    <x v="3"/>
    <n v="2024"/>
    <x v="6"/>
    <n v="114.85599999999999"/>
    <n v="0.38535209305565199"/>
    <x v="0"/>
    <x v="0"/>
  </r>
  <r>
    <x v="992"/>
    <x v="453"/>
    <x v="862"/>
    <x v="0"/>
    <x v="13"/>
    <x v="0"/>
    <x v="1"/>
    <x v="17"/>
    <x v="3"/>
    <x v="958"/>
    <x v="1"/>
    <n v="15.86"/>
    <n v="6.8"/>
    <x v="877"/>
    <x v="1"/>
    <n v="2024"/>
    <x v="6"/>
    <n v="12.688000000000001"/>
    <n v="1.1034047919293801E-2"/>
    <x v="1"/>
    <x v="0"/>
  </r>
  <r>
    <x v="993"/>
    <x v="453"/>
    <x v="863"/>
    <x v="2"/>
    <x v="0"/>
    <x v="0"/>
    <x v="3"/>
    <x v="24"/>
    <x v="2"/>
    <x v="959"/>
    <x v="3"/>
    <n v="156.11000000000001"/>
    <n v="9.75"/>
    <x v="961"/>
    <x v="1"/>
    <n v="2024"/>
    <x v="6"/>
    <n v="140.499"/>
    <n v="0.42441583214115403"/>
    <x v="0"/>
    <x v="0"/>
  </r>
  <r>
    <x v="994"/>
    <x v="454"/>
    <x v="451"/>
    <x v="1"/>
    <x v="14"/>
    <x v="1"/>
    <x v="3"/>
    <x v="9"/>
    <x v="11"/>
    <x v="960"/>
    <x v="4"/>
    <n v="198.55"/>
    <n v="16.190000000000001"/>
    <x v="962"/>
    <x v="2"/>
    <n v="2024"/>
    <x v="6"/>
    <n v="188.6225"/>
    <n v="0.41278214422987702"/>
    <x v="0"/>
    <x v="0"/>
  </r>
  <r>
    <x v="995"/>
    <x v="454"/>
    <x v="740"/>
    <x v="2"/>
    <x v="13"/>
    <x v="0"/>
    <x v="3"/>
    <x v="24"/>
    <x v="5"/>
    <x v="961"/>
    <x v="2"/>
    <n v="121.08"/>
    <n v="15.04"/>
    <x v="963"/>
    <x v="2"/>
    <n v="2024"/>
    <x v="6"/>
    <n v="102.91800000000001"/>
    <n v="0.33832760061408101"/>
    <x v="0"/>
    <x v="0"/>
  </r>
  <r>
    <x v="996"/>
    <x v="455"/>
    <x v="241"/>
    <x v="0"/>
    <x v="0"/>
    <x v="0"/>
    <x v="2"/>
    <x v="36"/>
    <x v="2"/>
    <x v="962"/>
    <x v="4"/>
    <n v="364.78"/>
    <n v="9.02"/>
    <x v="964"/>
    <x v="1"/>
    <n v="2024"/>
    <x v="6"/>
    <n v="346.541"/>
    <n v="0.36177537434243001"/>
    <x v="0"/>
    <x v="0"/>
  </r>
  <r>
    <x v="997"/>
    <x v="455"/>
    <x v="172"/>
    <x v="1"/>
    <x v="10"/>
    <x v="3"/>
    <x v="1"/>
    <x v="23"/>
    <x v="0"/>
    <x v="963"/>
    <x v="0"/>
    <n v="28.26"/>
    <n v="15.8"/>
    <x v="965"/>
    <x v="2"/>
    <n v="2024"/>
    <x v="6"/>
    <n v="28.26"/>
    <n v="-9.2002830856333997E-3"/>
    <x v="1"/>
    <x v="1"/>
  </r>
  <r>
    <x v="998"/>
    <x v="455"/>
    <x v="174"/>
    <x v="1"/>
    <x v="10"/>
    <x v="3"/>
    <x v="0"/>
    <x v="1"/>
    <x v="2"/>
    <x v="964"/>
    <x v="2"/>
    <n v="120.26"/>
    <n v="13.36"/>
    <x v="398"/>
    <x v="2"/>
    <n v="2024"/>
    <x v="6"/>
    <n v="102.221"/>
    <n v="0.284579489537375"/>
    <x v="0"/>
    <x v="0"/>
  </r>
  <r>
    <x v="999"/>
    <x v="456"/>
    <x v="833"/>
    <x v="0"/>
    <x v="0"/>
    <x v="0"/>
    <x v="0"/>
    <x v="22"/>
    <x v="2"/>
    <x v="965"/>
    <x v="3"/>
    <n v="235.93"/>
    <n v="8.58"/>
    <x v="966"/>
    <x v="1"/>
    <n v="2024"/>
    <x v="6"/>
    <n v="212.33699999999999"/>
    <n v="0.39168868355491498"/>
    <x v="0"/>
    <x v="0"/>
  </r>
  <r>
    <x v="1000"/>
    <x v="457"/>
    <x v="604"/>
    <x v="1"/>
    <x v="10"/>
    <x v="3"/>
    <x v="0"/>
    <x v="3"/>
    <x v="0"/>
    <x v="966"/>
    <x v="3"/>
    <n v="136.35"/>
    <n v="10.6"/>
    <x v="967"/>
    <x v="2"/>
    <n v="2024"/>
    <x v="6"/>
    <n v="122.715"/>
    <n v="0.34567901234567899"/>
    <x v="0"/>
    <x v="0"/>
  </r>
  <r>
    <x v="1001"/>
    <x v="458"/>
    <x v="560"/>
    <x v="1"/>
    <x v="8"/>
    <x v="1"/>
    <x v="3"/>
    <x v="11"/>
    <x v="4"/>
    <x v="967"/>
    <x v="4"/>
    <n v="389.08"/>
    <n v="18.45"/>
    <x v="968"/>
    <x v="1"/>
    <n v="2024"/>
    <x v="6"/>
    <n v="369.62599999999998"/>
    <n v="0.44869679081017"/>
    <x v="0"/>
    <x v="0"/>
  </r>
  <r>
    <x v="1002"/>
    <x v="458"/>
    <x v="864"/>
    <x v="1"/>
    <x v="8"/>
    <x v="1"/>
    <x v="2"/>
    <x v="21"/>
    <x v="3"/>
    <x v="968"/>
    <x v="2"/>
    <n v="81.42"/>
    <n v="8.9700000000000006"/>
    <x v="969"/>
    <x v="3"/>
    <n v="2024"/>
    <x v="6"/>
    <n v="69.206999999999994"/>
    <n v="0.216452092996373"/>
    <x v="1"/>
    <x v="0"/>
  </r>
  <r>
    <x v="1003"/>
    <x v="459"/>
    <x v="865"/>
    <x v="2"/>
    <x v="2"/>
    <x v="0"/>
    <x v="0"/>
    <x v="1"/>
    <x v="2"/>
    <x v="969"/>
    <x v="3"/>
    <n v="270.49"/>
    <n v="6.15"/>
    <x v="970"/>
    <x v="1"/>
    <n v="2024"/>
    <x v="6"/>
    <n v="243.441"/>
    <n v="0.40683368865556802"/>
    <x v="0"/>
    <x v="0"/>
  </r>
  <r>
    <x v="1004"/>
    <x v="459"/>
    <x v="866"/>
    <x v="0"/>
    <x v="11"/>
    <x v="2"/>
    <x v="3"/>
    <x v="33"/>
    <x v="3"/>
    <x v="970"/>
    <x v="1"/>
    <n v="20.12"/>
    <n v="13.22"/>
    <x v="971"/>
    <x v="0"/>
    <n v="2024"/>
    <x v="6"/>
    <n v="16.096"/>
    <n v="-0.35226143141153099"/>
    <x v="1"/>
    <x v="1"/>
  </r>
  <r>
    <x v="1005"/>
    <x v="459"/>
    <x v="867"/>
    <x v="0"/>
    <x v="13"/>
    <x v="0"/>
    <x v="2"/>
    <x v="5"/>
    <x v="0"/>
    <x v="971"/>
    <x v="6"/>
    <n v="345.35"/>
    <n v="8.01"/>
    <x v="972"/>
    <x v="1"/>
    <n v="2024"/>
    <x v="6"/>
    <n v="259.01249999999999"/>
    <n v="0.23574151826649301"/>
    <x v="0"/>
    <x v="0"/>
  </r>
  <r>
    <x v="1006"/>
    <x v="460"/>
    <x v="868"/>
    <x v="1"/>
    <x v="2"/>
    <x v="0"/>
    <x v="0"/>
    <x v="22"/>
    <x v="3"/>
    <x v="758"/>
    <x v="3"/>
    <n v="103.77"/>
    <n v="6.68"/>
    <x v="973"/>
    <x v="2"/>
    <n v="2024"/>
    <x v="6"/>
    <n v="93.393000000000001"/>
    <n v="0.36051952501793499"/>
    <x v="0"/>
    <x v="0"/>
  </r>
  <r>
    <x v="1007"/>
    <x v="461"/>
    <x v="869"/>
    <x v="1"/>
    <x v="19"/>
    <x v="1"/>
    <x v="2"/>
    <x v="15"/>
    <x v="1"/>
    <x v="972"/>
    <x v="4"/>
    <n v="1616.1"/>
    <n v="12.36"/>
    <x v="974"/>
    <x v="2"/>
    <n v="2024"/>
    <x v="6"/>
    <n v="1535.2950000000001"/>
    <n v="0.379757636154615"/>
    <x v="2"/>
    <x v="0"/>
  </r>
  <r>
    <x v="1008"/>
    <x v="461"/>
    <x v="870"/>
    <x v="2"/>
    <x v="0"/>
    <x v="0"/>
    <x v="0"/>
    <x v="18"/>
    <x v="3"/>
    <x v="973"/>
    <x v="0"/>
    <n v="44.59"/>
    <n v="7.24"/>
    <x v="360"/>
    <x v="0"/>
    <n v="2024"/>
    <x v="6"/>
    <n v="44.59"/>
    <n v="0.28773267548777798"/>
    <x v="1"/>
    <x v="0"/>
  </r>
  <r>
    <x v="1009"/>
    <x v="462"/>
    <x v="871"/>
    <x v="1"/>
    <x v="0"/>
    <x v="0"/>
    <x v="3"/>
    <x v="33"/>
    <x v="3"/>
    <x v="974"/>
    <x v="3"/>
    <n v="21.38"/>
    <n v="6.5"/>
    <x v="975"/>
    <x v="0"/>
    <n v="2024"/>
    <x v="6"/>
    <n v="19.242000000000001"/>
    <n v="0.155908949173683"/>
    <x v="1"/>
    <x v="0"/>
  </r>
  <r>
    <x v="1010"/>
    <x v="463"/>
    <x v="872"/>
    <x v="0"/>
    <x v="9"/>
    <x v="3"/>
    <x v="0"/>
    <x v="0"/>
    <x v="0"/>
    <x v="975"/>
    <x v="3"/>
    <n v="583.16999999999996"/>
    <n v="14.33"/>
    <x v="976"/>
    <x v="2"/>
    <n v="2024"/>
    <x v="6"/>
    <n v="524.85299999999995"/>
    <n v="0.40479905802195998"/>
    <x v="2"/>
    <x v="0"/>
  </r>
  <r>
    <x v="1011"/>
    <x v="464"/>
    <x v="587"/>
    <x v="0"/>
    <x v="19"/>
    <x v="1"/>
    <x v="1"/>
    <x v="19"/>
    <x v="4"/>
    <x v="976"/>
    <x v="4"/>
    <n v="77.58"/>
    <n v="20.53"/>
    <x v="977"/>
    <x v="2"/>
    <n v="2024"/>
    <x v="6"/>
    <n v="73.700999999999993"/>
    <n v="0.27543723965753503"/>
    <x v="1"/>
    <x v="0"/>
  </r>
  <r>
    <x v="1012"/>
    <x v="465"/>
    <x v="873"/>
    <x v="1"/>
    <x v="10"/>
    <x v="3"/>
    <x v="2"/>
    <x v="34"/>
    <x v="1"/>
    <x v="977"/>
    <x v="3"/>
    <n v="156.1"/>
    <n v="16.059999999999999"/>
    <x v="978"/>
    <x v="2"/>
    <n v="2024"/>
    <x v="6"/>
    <n v="140.49"/>
    <n v="0.25610363726955698"/>
    <x v="0"/>
    <x v="0"/>
  </r>
  <r>
    <x v="1013"/>
    <x v="466"/>
    <x v="306"/>
    <x v="1"/>
    <x v="1"/>
    <x v="1"/>
    <x v="3"/>
    <x v="11"/>
    <x v="3"/>
    <x v="978"/>
    <x v="6"/>
    <n v="63.32"/>
    <n v="8.2899999999999991"/>
    <x v="979"/>
    <x v="3"/>
    <n v="2024"/>
    <x v="6"/>
    <n v="47.49"/>
    <n v="0.26974099810486402"/>
    <x v="1"/>
    <x v="0"/>
  </r>
  <r>
    <x v="1014"/>
    <x v="466"/>
    <x v="205"/>
    <x v="1"/>
    <x v="13"/>
    <x v="0"/>
    <x v="0"/>
    <x v="0"/>
    <x v="5"/>
    <x v="979"/>
    <x v="0"/>
    <n v="710.05"/>
    <n v="12.04"/>
    <x v="980"/>
    <x v="1"/>
    <n v="2024"/>
    <x v="6"/>
    <n v="710.05"/>
    <n v="0.43303992676572101"/>
    <x v="2"/>
    <x v="0"/>
  </r>
  <r>
    <x v="1015"/>
    <x v="467"/>
    <x v="384"/>
    <x v="1"/>
    <x v="16"/>
    <x v="3"/>
    <x v="2"/>
    <x v="8"/>
    <x v="0"/>
    <x v="980"/>
    <x v="4"/>
    <n v="146.88999999999999"/>
    <n v="16.14"/>
    <x v="981"/>
    <x v="1"/>
    <n v="2024"/>
    <x v="6"/>
    <n v="139.5455"/>
    <n v="0.27216929245299898"/>
    <x v="0"/>
    <x v="0"/>
  </r>
  <r>
    <x v="1016"/>
    <x v="467"/>
    <x v="874"/>
    <x v="1"/>
    <x v="8"/>
    <x v="1"/>
    <x v="0"/>
    <x v="3"/>
    <x v="1"/>
    <x v="981"/>
    <x v="0"/>
    <n v="335.32"/>
    <n v="12.06"/>
    <x v="982"/>
    <x v="0"/>
    <n v="2024"/>
    <x v="6"/>
    <n v="335.32"/>
    <n v="0.41402242633901998"/>
    <x v="0"/>
    <x v="0"/>
  </r>
  <r>
    <x v="1017"/>
    <x v="467"/>
    <x v="334"/>
    <x v="0"/>
    <x v="0"/>
    <x v="0"/>
    <x v="0"/>
    <x v="29"/>
    <x v="5"/>
    <x v="982"/>
    <x v="3"/>
    <n v="85.91"/>
    <n v="15.16"/>
    <x v="983"/>
    <x v="1"/>
    <n v="2024"/>
    <x v="6"/>
    <n v="77.319000000000003"/>
    <n v="0.23603512720030001"/>
    <x v="1"/>
    <x v="0"/>
  </r>
  <r>
    <x v="1018"/>
    <x v="467"/>
    <x v="21"/>
    <x v="1"/>
    <x v="13"/>
    <x v="0"/>
    <x v="0"/>
    <x v="28"/>
    <x v="3"/>
    <x v="983"/>
    <x v="1"/>
    <n v="33.840000000000003"/>
    <n v="5.91"/>
    <x v="984"/>
    <x v="1"/>
    <n v="2024"/>
    <x v="6"/>
    <n v="27.071999999999999"/>
    <n v="0.17250295508274199"/>
    <x v="1"/>
    <x v="0"/>
  </r>
  <r>
    <x v="1019"/>
    <x v="468"/>
    <x v="875"/>
    <x v="2"/>
    <x v="18"/>
    <x v="4"/>
    <x v="2"/>
    <x v="8"/>
    <x v="3"/>
    <x v="167"/>
    <x v="2"/>
    <n v="50"/>
    <n v="11.29"/>
    <x v="985"/>
    <x v="0"/>
    <n v="2024"/>
    <x v="6"/>
    <n v="42.5"/>
    <n v="8.0470588235294099E-2"/>
    <x v="1"/>
    <x v="0"/>
  </r>
  <r>
    <x v="1020"/>
    <x v="468"/>
    <x v="680"/>
    <x v="1"/>
    <x v="14"/>
    <x v="1"/>
    <x v="2"/>
    <x v="36"/>
    <x v="11"/>
    <x v="984"/>
    <x v="4"/>
    <n v="3094.04"/>
    <n v="23.46"/>
    <x v="986"/>
    <x v="3"/>
    <n v="2024"/>
    <x v="6"/>
    <n v="2939.3380000000002"/>
    <n v="0.37983042440168502"/>
    <x v="2"/>
    <x v="0"/>
  </r>
  <r>
    <x v="1021"/>
    <x v="469"/>
    <x v="876"/>
    <x v="1"/>
    <x v="13"/>
    <x v="0"/>
    <x v="2"/>
    <x v="36"/>
    <x v="3"/>
    <x v="985"/>
    <x v="6"/>
    <n v="198.38"/>
    <n v="7.24"/>
    <x v="987"/>
    <x v="1"/>
    <n v="2024"/>
    <x v="6"/>
    <n v="148.785"/>
    <n v="0.21803273179419999"/>
    <x v="0"/>
    <x v="0"/>
  </r>
  <r>
    <x v="1022"/>
    <x v="469"/>
    <x v="877"/>
    <x v="1"/>
    <x v="0"/>
    <x v="0"/>
    <x v="2"/>
    <x v="21"/>
    <x v="3"/>
    <x v="264"/>
    <x v="0"/>
    <n v="43.48"/>
    <n v="6.89"/>
    <x v="988"/>
    <x v="3"/>
    <n v="2024"/>
    <x v="6"/>
    <n v="43.48"/>
    <n v="0.24149034038638501"/>
    <x v="1"/>
    <x v="0"/>
  </r>
  <r>
    <x v="1023"/>
    <x v="470"/>
    <x v="878"/>
    <x v="1"/>
    <x v="19"/>
    <x v="1"/>
    <x v="0"/>
    <x v="7"/>
    <x v="2"/>
    <x v="986"/>
    <x v="0"/>
    <n v="103"/>
    <n v="9.3000000000000007"/>
    <x v="989"/>
    <x v="1"/>
    <n v="2024"/>
    <x v="7"/>
    <n v="103"/>
    <n v="0.35970873786407798"/>
    <x v="0"/>
    <x v="0"/>
  </r>
  <r>
    <x v="1024"/>
    <x v="471"/>
    <x v="879"/>
    <x v="2"/>
    <x v="8"/>
    <x v="1"/>
    <x v="1"/>
    <x v="23"/>
    <x v="1"/>
    <x v="987"/>
    <x v="2"/>
    <n v="49.44"/>
    <n v="12.57"/>
    <x v="990"/>
    <x v="2"/>
    <n v="2024"/>
    <x v="7"/>
    <n v="42.024000000000001"/>
    <n v="0.25461640967066401"/>
    <x v="1"/>
    <x v="0"/>
  </r>
  <r>
    <x v="1025"/>
    <x v="472"/>
    <x v="880"/>
    <x v="1"/>
    <x v="8"/>
    <x v="1"/>
    <x v="2"/>
    <x v="8"/>
    <x v="0"/>
    <x v="988"/>
    <x v="0"/>
    <n v="225.15"/>
    <n v="12.4"/>
    <x v="991"/>
    <x v="2"/>
    <n v="2024"/>
    <x v="7"/>
    <n v="225.15"/>
    <n v="0.34492560515212101"/>
    <x v="0"/>
    <x v="0"/>
  </r>
  <r>
    <x v="1026"/>
    <x v="472"/>
    <x v="881"/>
    <x v="1"/>
    <x v="17"/>
    <x v="3"/>
    <x v="3"/>
    <x v="11"/>
    <x v="1"/>
    <x v="989"/>
    <x v="4"/>
    <n v="150.4"/>
    <n v="11.02"/>
    <x v="992"/>
    <x v="2"/>
    <n v="2024"/>
    <x v="7"/>
    <n v="142.88"/>
    <n v="0.42147256438969799"/>
    <x v="0"/>
    <x v="0"/>
  </r>
  <r>
    <x v="1027"/>
    <x v="473"/>
    <x v="527"/>
    <x v="1"/>
    <x v="0"/>
    <x v="0"/>
    <x v="0"/>
    <x v="22"/>
    <x v="6"/>
    <x v="990"/>
    <x v="4"/>
    <n v="680.89"/>
    <n v="13.51"/>
    <x v="993"/>
    <x v="2"/>
    <n v="2024"/>
    <x v="7"/>
    <n v="646.84550000000002"/>
    <n v="0.42232650609766897"/>
    <x v="2"/>
    <x v="0"/>
  </r>
  <r>
    <x v="1028"/>
    <x v="474"/>
    <x v="882"/>
    <x v="0"/>
    <x v="12"/>
    <x v="4"/>
    <x v="3"/>
    <x v="37"/>
    <x v="2"/>
    <x v="863"/>
    <x v="2"/>
    <n v="92.21"/>
    <n v="12.61"/>
    <x v="994"/>
    <x v="1"/>
    <n v="2024"/>
    <x v="7"/>
    <n v="78.378500000000003"/>
    <n v="0.32355811861671202"/>
    <x v="1"/>
    <x v="0"/>
  </r>
  <r>
    <x v="1029"/>
    <x v="474"/>
    <x v="883"/>
    <x v="0"/>
    <x v="0"/>
    <x v="0"/>
    <x v="1"/>
    <x v="23"/>
    <x v="2"/>
    <x v="991"/>
    <x v="0"/>
    <n v="15.84"/>
    <n v="8.07"/>
    <x v="995"/>
    <x v="2"/>
    <n v="2024"/>
    <x v="7"/>
    <n v="15.84"/>
    <n v="4.0404040404040401E-2"/>
    <x v="1"/>
    <x v="0"/>
  </r>
  <r>
    <x v="1030"/>
    <x v="475"/>
    <x v="884"/>
    <x v="1"/>
    <x v="2"/>
    <x v="0"/>
    <x v="1"/>
    <x v="6"/>
    <x v="1"/>
    <x v="992"/>
    <x v="4"/>
    <n v="85.16"/>
    <n v="11.14"/>
    <x v="996"/>
    <x v="2"/>
    <n v="2024"/>
    <x v="7"/>
    <n v="80.902000000000001"/>
    <n v="0.41630614817927902"/>
    <x v="1"/>
    <x v="0"/>
  </r>
  <r>
    <x v="1031"/>
    <x v="475"/>
    <x v="885"/>
    <x v="1"/>
    <x v="9"/>
    <x v="3"/>
    <x v="1"/>
    <x v="19"/>
    <x v="2"/>
    <x v="441"/>
    <x v="3"/>
    <n v="13.5"/>
    <n v="11.22"/>
    <x v="997"/>
    <x v="2"/>
    <n v="2024"/>
    <x v="7"/>
    <n v="12.15"/>
    <n v="-0.36790123456790103"/>
    <x v="1"/>
    <x v="1"/>
  </r>
  <r>
    <x v="1032"/>
    <x v="475"/>
    <x v="287"/>
    <x v="1"/>
    <x v="10"/>
    <x v="3"/>
    <x v="0"/>
    <x v="28"/>
    <x v="3"/>
    <x v="993"/>
    <x v="0"/>
    <n v="34.53"/>
    <n v="10.15"/>
    <x v="998"/>
    <x v="2"/>
    <n v="2024"/>
    <x v="7"/>
    <n v="34.53"/>
    <n v="0.156096148276861"/>
    <x v="1"/>
    <x v="0"/>
  </r>
  <r>
    <x v="1033"/>
    <x v="476"/>
    <x v="886"/>
    <x v="2"/>
    <x v="13"/>
    <x v="0"/>
    <x v="2"/>
    <x v="21"/>
    <x v="0"/>
    <x v="994"/>
    <x v="0"/>
    <n v="228.99"/>
    <n v="7.81"/>
    <x v="999"/>
    <x v="1"/>
    <n v="2024"/>
    <x v="7"/>
    <n v="228.99"/>
    <n v="0.36591117516048699"/>
    <x v="0"/>
    <x v="0"/>
  </r>
  <r>
    <x v="1034"/>
    <x v="476"/>
    <x v="887"/>
    <x v="0"/>
    <x v="2"/>
    <x v="0"/>
    <x v="0"/>
    <x v="28"/>
    <x v="1"/>
    <x v="602"/>
    <x v="2"/>
    <n v="196.42"/>
    <n v="8.23"/>
    <x v="1000"/>
    <x v="1"/>
    <n v="2024"/>
    <x v="7"/>
    <n v="166.95699999999999"/>
    <n v="0.36596249333660802"/>
    <x v="0"/>
    <x v="0"/>
  </r>
  <r>
    <x v="1035"/>
    <x v="477"/>
    <x v="888"/>
    <x v="0"/>
    <x v="13"/>
    <x v="0"/>
    <x v="1"/>
    <x v="23"/>
    <x v="2"/>
    <x v="284"/>
    <x v="4"/>
    <n v="20.25"/>
    <n v="8.06"/>
    <x v="1001"/>
    <x v="1"/>
    <n v="2024"/>
    <x v="7"/>
    <n v="19.237500000000001"/>
    <n v="0.13515269655620499"/>
    <x v="1"/>
    <x v="0"/>
  </r>
  <r>
    <x v="1036"/>
    <x v="477"/>
    <x v="889"/>
    <x v="1"/>
    <x v="16"/>
    <x v="3"/>
    <x v="3"/>
    <x v="11"/>
    <x v="0"/>
    <x v="995"/>
    <x v="4"/>
    <n v="115.85"/>
    <n v="13.02"/>
    <x v="1002"/>
    <x v="2"/>
    <n v="2024"/>
    <x v="7"/>
    <n v="110.0575"/>
    <n v="0.38034663698521198"/>
    <x v="0"/>
    <x v="0"/>
  </r>
  <r>
    <x v="1037"/>
    <x v="478"/>
    <x v="858"/>
    <x v="0"/>
    <x v="0"/>
    <x v="0"/>
    <x v="1"/>
    <x v="20"/>
    <x v="1"/>
    <x v="627"/>
    <x v="4"/>
    <n v="67.45"/>
    <n v="13.03"/>
    <x v="1003"/>
    <x v="1"/>
    <n v="2024"/>
    <x v="7"/>
    <n v="64.077500000000001"/>
    <n v="0.35066911162264403"/>
    <x v="1"/>
    <x v="0"/>
  </r>
  <r>
    <x v="1038"/>
    <x v="478"/>
    <x v="752"/>
    <x v="2"/>
    <x v="3"/>
    <x v="1"/>
    <x v="3"/>
    <x v="9"/>
    <x v="6"/>
    <x v="996"/>
    <x v="4"/>
    <n v="151.94999999999999"/>
    <n v="10.55"/>
    <x v="1004"/>
    <x v="3"/>
    <n v="2024"/>
    <x v="7"/>
    <n v="144.35249999999999"/>
    <n v="0.42548622296115401"/>
    <x v="0"/>
    <x v="0"/>
  </r>
  <r>
    <x v="1039"/>
    <x v="479"/>
    <x v="86"/>
    <x v="1"/>
    <x v="19"/>
    <x v="1"/>
    <x v="0"/>
    <x v="18"/>
    <x v="1"/>
    <x v="997"/>
    <x v="1"/>
    <n v="189.89"/>
    <n v="12.93"/>
    <x v="1005"/>
    <x v="0"/>
    <n v="2024"/>
    <x v="7"/>
    <n v="151.91200000000001"/>
    <n v="0.30550581915845998"/>
    <x v="0"/>
    <x v="0"/>
  </r>
  <r>
    <x v="1040"/>
    <x v="479"/>
    <x v="890"/>
    <x v="2"/>
    <x v="16"/>
    <x v="3"/>
    <x v="2"/>
    <x v="4"/>
    <x v="0"/>
    <x v="998"/>
    <x v="4"/>
    <n v="478.14"/>
    <n v="12.09"/>
    <x v="1006"/>
    <x v="0"/>
    <n v="2024"/>
    <x v="7"/>
    <n v="454.233"/>
    <n v="0.36118027532125602"/>
    <x v="0"/>
    <x v="0"/>
  </r>
  <r>
    <x v="1041"/>
    <x v="480"/>
    <x v="891"/>
    <x v="1"/>
    <x v="6"/>
    <x v="2"/>
    <x v="0"/>
    <x v="29"/>
    <x v="0"/>
    <x v="99"/>
    <x v="3"/>
    <n v="66.58"/>
    <n v="14.37"/>
    <x v="1007"/>
    <x v="2"/>
    <n v="2024"/>
    <x v="7"/>
    <n v="59.921999999999997"/>
    <n v="0.192249924902373"/>
    <x v="1"/>
    <x v="0"/>
  </r>
  <r>
    <x v="1042"/>
    <x v="481"/>
    <x v="892"/>
    <x v="0"/>
    <x v="17"/>
    <x v="3"/>
    <x v="0"/>
    <x v="0"/>
    <x v="1"/>
    <x v="999"/>
    <x v="3"/>
    <n v="530.21"/>
    <n v="12.2"/>
    <x v="1008"/>
    <x v="0"/>
    <n v="2024"/>
    <x v="7"/>
    <n v="477.18900000000002"/>
    <n v="0.40652655446793601"/>
    <x v="2"/>
    <x v="0"/>
  </r>
  <r>
    <x v="1043"/>
    <x v="481"/>
    <x v="893"/>
    <x v="1"/>
    <x v="2"/>
    <x v="0"/>
    <x v="0"/>
    <x v="3"/>
    <x v="1"/>
    <x v="1000"/>
    <x v="4"/>
    <n v="242.48"/>
    <n v="12.73"/>
    <x v="1009"/>
    <x v="2"/>
    <n v="2024"/>
    <x v="7"/>
    <n v="230.35599999999999"/>
    <n v="0.38796471548386002"/>
    <x v="0"/>
    <x v="0"/>
  </r>
  <r>
    <x v="1044"/>
    <x v="481"/>
    <x v="670"/>
    <x v="2"/>
    <x v="2"/>
    <x v="0"/>
    <x v="1"/>
    <x v="17"/>
    <x v="3"/>
    <x v="154"/>
    <x v="3"/>
    <n v="8.69"/>
    <n v="5.86"/>
    <x v="1010"/>
    <x v="2"/>
    <n v="2024"/>
    <x v="7"/>
    <n v="7.8209999999999997"/>
    <n v="-0.19306993990538299"/>
    <x v="1"/>
    <x v="1"/>
  </r>
  <r>
    <x v="1045"/>
    <x v="482"/>
    <x v="894"/>
    <x v="1"/>
    <x v="13"/>
    <x v="0"/>
    <x v="2"/>
    <x v="14"/>
    <x v="1"/>
    <x v="1001"/>
    <x v="1"/>
    <n v="1111.23"/>
    <n v="11"/>
    <x v="1011"/>
    <x v="2"/>
    <n v="2024"/>
    <x v="7"/>
    <n v="888.98400000000004"/>
    <n v="0.30012913618242798"/>
    <x v="2"/>
    <x v="0"/>
  </r>
  <r>
    <x v="1046"/>
    <x v="482"/>
    <x v="895"/>
    <x v="2"/>
    <x v="0"/>
    <x v="0"/>
    <x v="2"/>
    <x v="34"/>
    <x v="3"/>
    <x v="1002"/>
    <x v="4"/>
    <n v="51.09"/>
    <n v="6.42"/>
    <x v="1012"/>
    <x v="3"/>
    <n v="2024"/>
    <x v="7"/>
    <n v="48.535499999999999"/>
    <n v="0.25548309999897001"/>
    <x v="1"/>
    <x v="0"/>
  </r>
  <r>
    <x v="1047"/>
    <x v="482"/>
    <x v="896"/>
    <x v="0"/>
    <x v="8"/>
    <x v="1"/>
    <x v="0"/>
    <x v="31"/>
    <x v="0"/>
    <x v="1003"/>
    <x v="0"/>
    <n v="313.98"/>
    <n v="9.5500000000000007"/>
    <x v="1013"/>
    <x v="1"/>
    <n v="2024"/>
    <x v="7"/>
    <n v="313.98"/>
    <n v="0.41958086502324998"/>
    <x v="0"/>
    <x v="0"/>
  </r>
  <r>
    <x v="1048"/>
    <x v="482"/>
    <x v="897"/>
    <x v="0"/>
    <x v="2"/>
    <x v="0"/>
    <x v="1"/>
    <x v="25"/>
    <x v="5"/>
    <x v="647"/>
    <x v="1"/>
    <n v="35.72"/>
    <n v="9.26"/>
    <x v="1014"/>
    <x v="2"/>
    <n v="2024"/>
    <x v="7"/>
    <n v="28.576000000000001"/>
    <n v="0.22291433370660699"/>
    <x v="1"/>
    <x v="0"/>
  </r>
  <r>
    <x v="1049"/>
    <x v="483"/>
    <x v="898"/>
    <x v="1"/>
    <x v="16"/>
    <x v="3"/>
    <x v="1"/>
    <x v="25"/>
    <x v="2"/>
    <x v="1004"/>
    <x v="0"/>
    <n v="35.880000000000003"/>
    <n v="12.85"/>
    <x v="1015"/>
    <x v="0"/>
    <n v="2024"/>
    <x v="7"/>
    <n v="35.880000000000003"/>
    <n v="0.1917502787068"/>
    <x v="1"/>
    <x v="0"/>
  </r>
  <r>
    <x v="1050"/>
    <x v="483"/>
    <x v="899"/>
    <x v="2"/>
    <x v="0"/>
    <x v="0"/>
    <x v="2"/>
    <x v="4"/>
    <x v="0"/>
    <x v="1005"/>
    <x v="3"/>
    <n v="825.44"/>
    <n v="9.9600000000000009"/>
    <x v="1016"/>
    <x v="2"/>
    <n v="2024"/>
    <x v="7"/>
    <n v="742.89599999999996"/>
    <n v="0.35695440546186802"/>
    <x v="2"/>
    <x v="0"/>
  </r>
  <r>
    <x v="1051"/>
    <x v="484"/>
    <x v="900"/>
    <x v="2"/>
    <x v="3"/>
    <x v="1"/>
    <x v="1"/>
    <x v="20"/>
    <x v="9"/>
    <x v="1006"/>
    <x v="3"/>
    <n v="123.84"/>
    <n v="17.98"/>
    <x v="1017"/>
    <x v="1"/>
    <n v="2024"/>
    <x v="7"/>
    <n v="111.456"/>
    <n v="0.39423629055412002"/>
    <x v="0"/>
    <x v="0"/>
  </r>
  <r>
    <x v="1052"/>
    <x v="484"/>
    <x v="901"/>
    <x v="1"/>
    <x v="9"/>
    <x v="3"/>
    <x v="3"/>
    <x v="26"/>
    <x v="0"/>
    <x v="1007"/>
    <x v="4"/>
    <n v="58.34"/>
    <n v="11.67"/>
    <x v="1018"/>
    <x v="2"/>
    <n v="2024"/>
    <x v="7"/>
    <n v="55.423000000000002"/>
    <n v="0.28814751998267901"/>
    <x v="1"/>
    <x v="0"/>
  </r>
  <r>
    <x v="1053"/>
    <x v="484"/>
    <x v="902"/>
    <x v="1"/>
    <x v="16"/>
    <x v="3"/>
    <x v="1"/>
    <x v="10"/>
    <x v="0"/>
    <x v="1008"/>
    <x v="0"/>
    <n v="12.33"/>
    <n v="14.51"/>
    <x v="1019"/>
    <x v="2"/>
    <n v="2024"/>
    <x v="7"/>
    <n v="12.33"/>
    <n v="-0.62692619626926205"/>
    <x v="1"/>
    <x v="1"/>
  </r>
  <r>
    <x v="1054"/>
    <x v="484"/>
    <x v="903"/>
    <x v="1"/>
    <x v="12"/>
    <x v="4"/>
    <x v="3"/>
    <x v="11"/>
    <x v="4"/>
    <x v="1009"/>
    <x v="2"/>
    <n v="499.8"/>
    <n v="20.34"/>
    <x v="1020"/>
    <x v="1"/>
    <n v="2024"/>
    <x v="7"/>
    <n v="424.83"/>
    <n v="0.43655109102464501"/>
    <x v="0"/>
    <x v="0"/>
  </r>
  <r>
    <x v="1055"/>
    <x v="484"/>
    <x v="904"/>
    <x v="1"/>
    <x v="0"/>
    <x v="0"/>
    <x v="0"/>
    <x v="35"/>
    <x v="3"/>
    <x v="1010"/>
    <x v="3"/>
    <n v="59.85"/>
    <n v="6.99"/>
    <x v="1021"/>
    <x v="1"/>
    <n v="2024"/>
    <x v="7"/>
    <n v="53.865000000000002"/>
    <n v="0.30223707416689899"/>
    <x v="1"/>
    <x v="0"/>
  </r>
  <r>
    <x v="1056"/>
    <x v="485"/>
    <x v="905"/>
    <x v="0"/>
    <x v="14"/>
    <x v="1"/>
    <x v="0"/>
    <x v="31"/>
    <x v="2"/>
    <x v="1011"/>
    <x v="3"/>
    <n v="219.01"/>
    <n v="10.65"/>
    <x v="1022"/>
    <x v="3"/>
    <n v="2024"/>
    <x v="7"/>
    <n v="197.10900000000001"/>
    <n v="0.37806492854207602"/>
    <x v="0"/>
    <x v="0"/>
  </r>
  <r>
    <x v="1057"/>
    <x v="485"/>
    <x v="906"/>
    <x v="1"/>
    <x v="7"/>
    <x v="4"/>
    <x v="0"/>
    <x v="18"/>
    <x v="1"/>
    <x v="1012"/>
    <x v="0"/>
    <n v="254.28"/>
    <n v="18.63"/>
    <x v="1023"/>
    <x v="1"/>
    <n v="2024"/>
    <x v="7"/>
    <n v="254.28"/>
    <n v="0.37675003932672602"/>
    <x v="0"/>
    <x v="0"/>
  </r>
  <r>
    <x v="1058"/>
    <x v="486"/>
    <x v="907"/>
    <x v="0"/>
    <x v="2"/>
    <x v="0"/>
    <x v="1"/>
    <x v="19"/>
    <x v="1"/>
    <x v="1013"/>
    <x v="4"/>
    <n v="40.200000000000003"/>
    <n v="14.1"/>
    <x v="1024"/>
    <x v="3"/>
    <n v="2024"/>
    <x v="7"/>
    <n v="38.19"/>
    <n v="0.184865147944488"/>
    <x v="1"/>
    <x v="0"/>
  </r>
  <r>
    <x v="1059"/>
    <x v="487"/>
    <x v="908"/>
    <x v="1"/>
    <x v="2"/>
    <x v="0"/>
    <x v="3"/>
    <x v="9"/>
    <x v="2"/>
    <x v="1014"/>
    <x v="4"/>
    <n v="108.66"/>
    <n v="7.96"/>
    <x v="1025"/>
    <x v="2"/>
    <n v="2024"/>
    <x v="7"/>
    <n v="103.227"/>
    <n v="0.42149825142646802"/>
    <x v="0"/>
    <x v="0"/>
  </r>
  <r>
    <x v="1060"/>
    <x v="487"/>
    <x v="909"/>
    <x v="0"/>
    <x v="16"/>
    <x v="3"/>
    <x v="1"/>
    <x v="10"/>
    <x v="2"/>
    <x v="103"/>
    <x v="2"/>
    <n v="15.61"/>
    <n v="12.05"/>
    <x v="1026"/>
    <x v="2"/>
    <n v="2024"/>
    <x v="7"/>
    <n v="13.2685"/>
    <n v="-0.35422240645136999"/>
    <x v="1"/>
    <x v="1"/>
  </r>
  <r>
    <x v="1061"/>
    <x v="488"/>
    <x v="910"/>
    <x v="1"/>
    <x v="1"/>
    <x v="1"/>
    <x v="3"/>
    <x v="26"/>
    <x v="2"/>
    <x v="669"/>
    <x v="3"/>
    <n v="57.64"/>
    <n v="10.01"/>
    <x v="1027"/>
    <x v="1"/>
    <n v="2024"/>
    <x v="7"/>
    <n v="51.875999999999998"/>
    <n v="0.30090986197856401"/>
    <x v="1"/>
    <x v="0"/>
  </r>
  <r>
    <x v="1062"/>
    <x v="489"/>
    <x v="911"/>
    <x v="1"/>
    <x v="12"/>
    <x v="4"/>
    <x v="1"/>
    <x v="2"/>
    <x v="7"/>
    <x v="601"/>
    <x v="2"/>
    <n v="65.28"/>
    <n v="27.55"/>
    <x v="1028"/>
    <x v="2"/>
    <n v="2024"/>
    <x v="7"/>
    <n v="55.488"/>
    <n v="5.7129469434832797E-2"/>
    <x v="1"/>
    <x v="0"/>
  </r>
  <r>
    <x v="1063"/>
    <x v="490"/>
    <x v="912"/>
    <x v="0"/>
    <x v="16"/>
    <x v="3"/>
    <x v="1"/>
    <x v="17"/>
    <x v="1"/>
    <x v="1015"/>
    <x v="4"/>
    <n v="37.81"/>
    <n v="12.01"/>
    <x v="1029"/>
    <x v="2"/>
    <n v="2024"/>
    <x v="7"/>
    <n v="35.919499999999999"/>
    <n v="0.21965784601678801"/>
    <x v="1"/>
    <x v="0"/>
  </r>
  <r>
    <x v="1064"/>
    <x v="490"/>
    <x v="913"/>
    <x v="2"/>
    <x v="5"/>
    <x v="3"/>
    <x v="0"/>
    <x v="18"/>
    <x v="1"/>
    <x v="1016"/>
    <x v="0"/>
    <n v="133.68"/>
    <n v="13.19"/>
    <x v="1030"/>
    <x v="2"/>
    <n v="2024"/>
    <x v="7"/>
    <n v="133.68"/>
    <n v="0.35136146020347098"/>
    <x v="0"/>
    <x v="0"/>
  </r>
  <r>
    <x v="1065"/>
    <x v="490"/>
    <x v="914"/>
    <x v="0"/>
    <x v="13"/>
    <x v="0"/>
    <x v="0"/>
    <x v="1"/>
    <x v="3"/>
    <x v="1017"/>
    <x v="3"/>
    <n v="119.17"/>
    <n v="6.65"/>
    <x v="1031"/>
    <x v="1"/>
    <n v="2024"/>
    <x v="7"/>
    <n v="107.253"/>
    <n v="0.37005957875304202"/>
    <x v="0"/>
    <x v="0"/>
  </r>
  <r>
    <x v="1066"/>
    <x v="491"/>
    <x v="353"/>
    <x v="1"/>
    <x v="9"/>
    <x v="3"/>
    <x v="0"/>
    <x v="22"/>
    <x v="3"/>
    <x v="1018"/>
    <x v="0"/>
    <n v="145.65"/>
    <n v="10.25"/>
    <x v="1032"/>
    <x v="3"/>
    <n v="2024"/>
    <x v="7"/>
    <n v="145.65"/>
    <n v="0.37960865087538598"/>
    <x v="0"/>
    <x v="0"/>
  </r>
  <r>
    <x v="1067"/>
    <x v="491"/>
    <x v="915"/>
    <x v="0"/>
    <x v="8"/>
    <x v="1"/>
    <x v="3"/>
    <x v="30"/>
    <x v="3"/>
    <x v="1019"/>
    <x v="4"/>
    <n v="19.03"/>
    <n v="7.96"/>
    <x v="1033"/>
    <x v="1"/>
    <n v="2024"/>
    <x v="7"/>
    <n v="18.078499999999998"/>
    <n v="5.8633183062754099E-2"/>
    <x v="1"/>
    <x v="0"/>
  </r>
  <r>
    <x v="1068"/>
    <x v="491"/>
    <x v="916"/>
    <x v="0"/>
    <x v="0"/>
    <x v="0"/>
    <x v="3"/>
    <x v="37"/>
    <x v="0"/>
    <x v="1020"/>
    <x v="0"/>
    <n v="224.97"/>
    <n v="11.37"/>
    <x v="1034"/>
    <x v="1"/>
    <n v="2024"/>
    <x v="7"/>
    <n v="224.97"/>
    <n v="0.449482153175979"/>
    <x v="0"/>
    <x v="0"/>
  </r>
  <r>
    <x v="1069"/>
    <x v="492"/>
    <x v="595"/>
    <x v="1"/>
    <x v="0"/>
    <x v="0"/>
    <x v="3"/>
    <x v="27"/>
    <x v="0"/>
    <x v="1021"/>
    <x v="3"/>
    <n v="122.53"/>
    <n v="9.66"/>
    <x v="1035"/>
    <x v="2"/>
    <n v="2024"/>
    <x v="7"/>
    <n v="110.277"/>
    <n v="0.406249716622686"/>
    <x v="0"/>
    <x v="0"/>
  </r>
  <r>
    <x v="1070"/>
    <x v="492"/>
    <x v="28"/>
    <x v="1"/>
    <x v="16"/>
    <x v="3"/>
    <x v="2"/>
    <x v="21"/>
    <x v="1"/>
    <x v="1022"/>
    <x v="4"/>
    <n v="346.37"/>
    <n v="13.75"/>
    <x v="1036"/>
    <x v="3"/>
    <n v="2024"/>
    <x v="7"/>
    <n v="329.05149999999998"/>
    <n v="0.34602486236956798"/>
    <x v="0"/>
    <x v="0"/>
  </r>
  <r>
    <x v="1071"/>
    <x v="492"/>
    <x v="917"/>
    <x v="1"/>
    <x v="0"/>
    <x v="0"/>
    <x v="0"/>
    <x v="18"/>
    <x v="2"/>
    <x v="1023"/>
    <x v="1"/>
    <n v="103.74"/>
    <n v="6.94"/>
    <x v="1037"/>
    <x v="2"/>
    <n v="2024"/>
    <x v="7"/>
    <n v="82.992000000000004"/>
    <n v="0.30701754385964902"/>
    <x v="0"/>
    <x v="0"/>
  </r>
  <r>
    <x v="1072"/>
    <x v="493"/>
    <x v="918"/>
    <x v="1"/>
    <x v="2"/>
    <x v="0"/>
    <x v="2"/>
    <x v="4"/>
    <x v="0"/>
    <x v="1024"/>
    <x v="2"/>
    <n v="708.42"/>
    <n v="9.76"/>
    <x v="1038"/>
    <x v="2"/>
    <n v="2024"/>
    <x v="7"/>
    <n v="602.15700000000004"/>
    <n v="0.329814317528485"/>
    <x v="2"/>
    <x v="0"/>
  </r>
  <r>
    <x v="1073"/>
    <x v="493"/>
    <x v="919"/>
    <x v="1"/>
    <x v="5"/>
    <x v="3"/>
    <x v="1"/>
    <x v="23"/>
    <x v="1"/>
    <x v="1025"/>
    <x v="2"/>
    <n v="52.05"/>
    <n v="17.07"/>
    <x v="875"/>
    <x v="3"/>
    <n v="2024"/>
    <x v="7"/>
    <n v="44.2425"/>
    <n v="0.16771204158896999"/>
    <x v="1"/>
    <x v="0"/>
  </r>
  <r>
    <x v="1074"/>
    <x v="494"/>
    <x v="920"/>
    <x v="1"/>
    <x v="13"/>
    <x v="0"/>
    <x v="3"/>
    <x v="24"/>
    <x v="2"/>
    <x v="1026"/>
    <x v="4"/>
    <n v="109.65"/>
    <n v="6.72"/>
    <x v="474"/>
    <x v="1"/>
    <n v="2024"/>
    <x v="7"/>
    <n v="104.1675"/>
    <n v="0.434108527131783"/>
    <x v="0"/>
    <x v="0"/>
  </r>
  <r>
    <x v="1075"/>
    <x v="495"/>
    <x v="921"/>
    <x v="0"/>
    <x v="3"/>
    <x v="1"/>
    <x v="3"/>
    <x v="37"/>
    <x v="1"/>
    <x v="1027"/>
    <x v="2"/>
    <n v="125.56"/>
    <n v="14.92"/>
    <x v="1039"/>
    <x v="0"/>
    <n v="2024"/>
    <x v="7"/>
    <n v="106.726"/>
    <n v="0.34462080467739797"/>
    <x v="0"/>
    <x v="0"/>
  </r>
  <r>
    <x v="1076"/>
    <x v="496"/>
    <x v="922"/>
    <x v="1"/>
    <x v="17"/>
    <x v="3"/>
    <x v="1"/>
    <x v="12"/>
    <x v="3"/>
    <x v="1028"/>
    <x v="2"/>
    <n v="17.079999999999998"/>
    <n v="10.58"/>
    <x v="80"/>
    <x v="1"/>
    <n v="2024"/>
    <x v="8"/>
    <n v="14.518000000000001"/>
    <n v="-0.174955227992836"/>
    <x v="1"/>
    <x v="1"/>
  </r>
  <r>
    <x v="1077"/>
    <x v="497"/>
    <x v="923"/>
    <x v="1"/>
    <x v="2"/>
    <x v="0"/>
    <x v="2"/>
    <x v="4"/>
    <x v="2"/>
    <x v="1029"/>
    <x v="0"/>
    <n v="224.52"/>
    <n v="8.69"/>
    <x v="1040"/>
    <x v="2"/>
    <n v="2024"/>
    <x v="8"/>
    <n v="224.52"/>
    <n v="0.36130411544628499"/>
    <x v="0"/>
    <x v="0"/>
  </r>
  <r>
    <x v="1078"/>
    <x v="498"/>
    <x v="440"/>
    <x v="2"/>
    <x v="3"/>
    <x v="1"/>
    <x v="1"/>
    <x v="12"/>
    <x v="0"/>
    <x v="1030"/>
    <x v="3"/>
    <n v="59.62"/>
    <n v="10.3"/>
    <x v="1041"/>
    <x v="3"/>
    <n v="2024"/>
    <x v="8"/>
    <n v="53.658000000000001"/>
    <n v="0.36359909053636003"/>
    <x v="1"/>
    <x v="0"/>
  </r>
  <r>
    <x v="1079"/>
    <x v="498"/>
    <x v="924"/>
    <x v="1"/>
    <x v="6"/>
    <x v="2"/>
    <x v="0"/>
    <x v="29"/>
    <x v="7"/>
    <x v="1031"/>
    <x v="0"/>
    <n v="239.2"/>
    <n v="15.61"/>
    <x v="1042"/>
    <x v="2"/>
    <n v="2024"/>
    <x v="8"/>
    <n v="239.2"/>
    <n v="0.38474080267558503"/>
    <x v="0"/>
    <x v="0"/>
  </r>
  <r>
    <x v="1080"/>
    <x v="499"/>
    <x v="925"/>
    <x v="1"/>
    <x v="2"/>
    <x v="0"/>
    <x v="0"/>
    <x v="31"/>
    <x v="2"/>
    <x v="1032"/>
    <x v="3"/>
    <n v="143.71"/>
    <n v="7.24"/>
    <x v="1043"/>
    <x v="2"/>
    <n v="2024"/>
    <x v="8"/>
    <n v="129.339"/>
    <n v="0.37614331330843798"/>
    <x v="0"/>
    <x v="0"/>
  </r>
  <r>
    <x v="1081"/>
    <x v="499"/>
    <x v="926"/>
    <x v="1"/>
    <x v="19"/>
    <x v="1"/>
    <x v="3"/>
    <x v="30"/>
    <x v="2"/>
    <x v="1033"/>
    <x v="0"/>
    <n v="24.6"/>
    <n v="11.2"/>
    <x v="1044"/>
    <x v="1"/>
    <n v="2024"/>
    <x v="8"/>
    <n v="24.6"/>
    <n v="4.4715447154471497E-2"/>
    <x v="1"/>
    <x v="0"/>
  </r>
  <r>
    <x v="1082"/>
    <x v="499"/>
    <x v="927"/>
    <x v="1"/>
    <x v="0"/>
    <x v="0"/>
    <x v="0"/>
    <x v="35"/>
    <x v="3"/>
    <x v="1034"/>
    <x v="4"/>
    <n v="28.81"/>
    <n v="6.89"/>
    <x v="818"/>
    <x v="3"/>
    <n v="2024"/>
    <x v="8"/>
    <n v="27.369499999999999"/>
    <n v="0.19145399075613401"/>
    <x v="1"/>
    <x v="0"/>
  </r>
  <r>
    <x v="1083"/>
    <x v="500"/>
    <x v="928"/>
    <x v="0"/>
    <x v="18"/>
    <x v="4"/>
    <x v="1"/>
    <x v="25"/>
    <x v="4"/>
    <x v="1035"/>
    <x v="2"/>
    <n v="68.849999999999994"/>
    <n v="14.12"/>
    <x v="1045"/>
    <x v="1"/>
    <n v="2024"/>
    <x v="8"/>
    <n v="58.522500000000001"/>
    <n v="0.31235849459609599"/>
    <x v="1"/>
    <x v="0"/>
  </r>
  <r>
    <x v="1084"/>
    <x v="500"/>
    <x v="929"/>
    <x v="1"/>
    <x v="14"/>
    <x v="1"/>
    <x v="3"/>
    <x v="24"/>
    <x v="0"/>
    <x v="492"/>
    <x v="3"/>
    <n v="184.73"/>
    <n v="12.09"/>
    <x v="1046"/>
    <x v="2"/>
    <n v="2024"/>
    <x v="8"/>
    <n v="166.25700000000001"/>
    <n v="0.42109505163692401"/>
    <x v="0"/>
    <x v="0"/>
  </r>
  <r>
    <x v="1085"/>
    <x v="500"/>
    <x v="930"/>
    <x v="2"/>
    <x v="0"/>
    <x v="0"/>
    <x v="1"/>
    <x v="20"/>
    <x v="7"/>
    <x v="1036"/>
    <x v="1"/>
    <n v="48.32"/>
    <n v="12.15"/>
    <x v="1047"/>
    <x v="2"/>
    <n v="2024"/>
    <x v="8"/>
    <n v="38.655999999999999"/>
    <n v="0.23256415562913901"/>
    <x v="1"/>
    <x v="0"/>
  </r>
  <r>
    <x v="1086"/>
    <x v="500"/>
    <x v="931"/>
    <x v="1"/>
    <x v="11"/>
    <x v="2"/>
    <x v="0"/>
    <x v="7"/>
    <x v="5"/>
    <x v="854"/>
    <x v="3"/>
    <n v="257.67"/>
    <n v="17.079999999999998"/>
    <x v="1048"/>
    <x v="3"/>
    <n v="2024"/>
    <x v="8"/>
    <n v="231.90299999999999"/>
    <n v="0.35842572109890802"/>
    <x v="0"/>
    <x v="0"/>
  </r>
  <r>
    <x v="1087"/>
    <x v="500"/>
    <x v="932"/>
    <x v="1"/>
    <x v="2"/>
    <x v="0"/>
    <x v="2"/>
    <x v="15"/>
    <x v="3"/>
    <x v="1037"/>
    <x v="0"/>
    <n v="187.47"/>
    <n v="6.23"/>
    <x v="1049"/>
    <x v="3"/>
    <n v="2024"/>
    <x v="8"/>
    <n v="187.47"/>
    <n v="0.366778684589534"/>
    <x v="0"/>
    <x v="0"/>
  </r>
  <r>
    <x v="1088"/>
    <x v="501"/>
    <x v="933"/>
    <x v="1"/>
    <x v="13"/>
    <x v="0"/>
    <x v="0"/>
    <x v="28"/>
    <x v="2"/>
    <x v="1038"/>
    <x v="0"/>
    <n v="101.58"/>
    <n v="7.71"/>
    <x v="1050"/>
    <x v="2"/>
    <n v="2024"/>
    <x v="8"/>
    <n v="101.58"/>
    <n v="0.37408938767473898"/>
    <x v="0"/>
    <x v="0"/>
  </r>
  <r>
    <x v="1089"/>
    <x v="501"/>
    <x v="934"/>
    <x v="2"/>
    <x v="18"/>
    <x v="4"/>
    <x v="3"/>
    <x v="24"/>
    <x v="3"/>
    <x v="888"/>
    <x v="0"/>
    <n v="31.92"/>
    <n v="12.07"/>
    <x v="1051"/>
    <x v="0"/>
    <n v="2024"/>
    <x v="8"/>
    <n v="31.92"/>
    <n v="0.1218671679198"/>
    <x v="1"/>
    <x v="0"/>
  </r>
  <r>
    <x v="1090"/>
    <x v="502"/>
    <x v="935"/>
    <x v="1"/>
    <x v="0"/>
    <x v="0"/>
    <x v="1"/>
    <x v="25"/>
    <x v="7"/>
    <x v="1039"/>
    <x v="0"/>
    <n v="121.36"/>
    <n v="23.42"/>
    <x v="1052"/>
    <x v="1"/>
    <n v="2024"/>
    <x v="8"/>
    <n v="121.36"/>
    <n v="0.35703691496374401"/>
    <x v="0"/>
    <x v="0"/>
  </r>
  <r>
    <x v="1091"/>
    <x v="503"/>
    <x v="936"/>
    <x v="2"/>
    <x v="7"/>
    <x v="4"/>
    <x v="0"/>
    <x v="22"/>
    <x v="2"/>
    <x v="1040"/>
    <x v="0"/>
    <n v="136.80000000000001"/>
    <n v="13.66"/>
    <x v="1053"/>
    <x v="2"/>
    <n v="2024"/>
    <x v="8"/>
    <n v="136.80000000000001"/>
    <n v="0.35014619883040898"/>
    <x v="0"/>
    <x v="0"/>
  </r>
  <r>
    <x v="1092"/>
    <x v="503"/>
    <x v="489"/>
    <x v="1"/>
    <x v="9"/>
    <x v="3"/>
    <x v="3"/>
    <x v="24"/>
    <x v="5"/>
    <x v="1041"/>
    <x v="0"/>
    <n v="285.60000000000002"/>
    <n v="19.41"/>
    <x v="1054"/>
    <x v="1"/>
    <n v="2024"/>
    <x v="8"/>
    <n v="285.60000000000002"/>
    <n v="0.43203781512605"/>
    <x v="0"/>
    <x v="0"/>
  </r>
  <r>
    <x v="1093"/>
    <x v="503"/>
    <x v="937"/>
    <x v="1"/>
    <x v="8"/>
    <x v="1"/>
    <x v="0"/>
    <x v="1"/>
    <x v="9"/>
    <x v="1042"/>
    <x v="3"/>
    <n v="566.64"/>
    <n v="19.53"/>
    <x v="1055"/>
    <x v="2"/>
    <n v="2024"/>
    <x v="8"/>
    <n v="509.976"/>
    <n v="0.393802845624108"/>
    <x v="2"/>
    <x v="0"/>
  </r>
  <r>
    <x v="1094"/>
    <x v="503"/>
    <x v="394"/>
    <x v="0"/>
    <x v="17"/>
    <x v="3"/>
    <x v="2"/>
    <x v="15"/>
    <x v="5"/>
    <x v="1043"/>
    <x v="2"/>
    <n v="911.12"/>
    <n v="18.93"/>
    <x v="1056"/>
    <x v="1"/>
    <n v="2024"/>
    <x v="8"/>
    <n v="774.452"/>
    <n v="0.32158222846606399"/>
    <x v="2"/>
    <x v="0"/>
  </r>
  <r>
    <x v="1095"/>
    <x v="504"/>
    <x v="516"/>
    <x v="1"/>
    <x v="18"/>
    <x v="4"/>
    <x v="1"/>
    <x v="38"/>
    <x v="2"/>
    <x v="647"/>
    <x v="3"/>
    <n v="16.07"/>
    <n v="14.32"/>
    <x v="1057"/>
    <x v="1"/>
    <n v="2024"/>
    <x v="8"/>
    <n v="14.462999999999999"/>
    <n v="-0.43490285556246999"/>
    <x v="1"/>
    <x v="1"/>
  </r>
  <r>
    <x v="1096"/>
    <x v="504"/>
    <x v="938"/>
    <x v="2"/>
    <x v="8"/>
    <x v="1"/>
    <x v="1"/>
    <x v="20"/>
    <x v="1"/>
    <x v="1044"/>
    <x v="0"/>
    <n v="70.400000000000006"/>
    <n v="14.18"/>
    <x v="1058"/>
    <x v="2"/>
    <n v="2024"/>
    <x v="8"/>
    <n v="70.400000000000006"/>
    <n v="0.348579545454545"/>
    <x v="1"/>
    <x v="0"/>
  </r>
  <r>
    <x v="1097"/>
    <x v="505"/>
    <x v="939"/>
    <x v="2"/>
    <x v="13"/>
    <x v="0"/>
    <x v="3"/>
    <x v="30"/>
    <x v="10"/>
    <x v="1045"/>
    <x v="0"/>
    <n v="198.36"/>
    <n v="9.7899999999999991"/>
    <x v="1059"/>
    <x v="1"/>
    <n v="2024"/>
    <x v="8"/>
    <n v="198.36"/>
    <n v="0.45064529138939302"/>
    <x v="0"/>
    <x v="0"/>
  </r>
  <r>
    <x v="1098"/>
    <x v="506"/>
    <x v="537"/>
    <x v="0"/>
    <x v="2"/>
    <x v="0"/>
    <x v="2"/>
    <x v="15"/>
    <x v="3"/>
    <x v="1046"/>
    <x v="1"/>
    <n v="301.39"/>
    <n v="7.19"/>
    <x v="1060"/>
    <x v="1"/>
    <n v="2024"/>
    <x v="8"/>
    <n v="241.11199999999999"/>
    <n v="0.28269020206377099"/>
    <x v="0"/>
    <x v="0"/>
  </r>
  <r>
    <x v="1099"/>
    <x v="507"/>
    <x v="940"/>
    <x v="0"/>
    <x v="8"/>
    <x v="1"/>
    <x v="0"/>
    <x v="1"/>
    <x v="3"/>
    <x v="1047"/>
    <x v="2"/>
    <n v="148.65"/>
    <n v="8.56"/>
    <x v="1061"/>
    <x v="1"/>
    <n v="2024"/>
    <x v="8"/>
    <n v="126.35250000000001"/>
    <n v="0.34751983538117598"/>
    <x v="0"/>
    <x v="0"/>
  </r>
  <r>
    <x v="1100"/>
    <x v="507"/>
    <x v="941"/>
    <x v="1"/>
    <x v="10"/>
    <x v="3"/>
    <x v="1"/>
    <x v="38"/>
    <x v="3"/>
    <x v="1048"/>
    <x v="4"/>
    <n v="12.55"/>
    <n v="10.34"/>
    <x v="1062"/>
    <x v="1"/>
    <n v="2024"/>
    <x v="8"/>
    <n v="11.922499999999999"/>
    <n v="-0.31285384776682701"/>
    <x v="1"/>
    <x v="1"/>
  </r>
  <r>
    <x v="1101"/>
    <x v="507"/>
    <x v="942"/>
    <x v="2"/>
    <x v="17"/>
    <x v="3"/>
    <x v="0"/>
    <x v="3"/>
    <x v="2"/>
    <x v="1049"/>
    <x v="0"/>
    <n v="86.26"/>
    <n v="11.52"/>
    <x v="29"/>
    <x v="2"/>
    <n v="2024"/>
    <x v="8"/>
    <n v="86.26"/>
    <n v="0.31648504521214899"/>
    <x v="1"/>
    <x v="0"/>
  </r>
  <r>
    <x v="1102"/>
    <x v="508"/>
    <x v="943"/>
    <x v="0"/>
    <x v="14"/>
    <x v="1"/>
    <x v="0"/>
    <x v="18"/>
    <x v="1"/>
    <x v="1050"/>
    <x v="1"/>
    <n v="133.15"/>
    <n v="11.64"/>
    <x v="1063"/>
    <x v="1"/>
    <n v="2024"/>
    <x v="8"/>
    <n v="106.52"/>
    <n v="0.281355613969208"/>
    <x v="0"/>
    <x v="0"/>
  </r>
  <r>
    <x v="1103"/>
    <x v="508"/>
    <x v="944"/>
    <x v="2"/>
    <x v="2"/>
    <x v="0"/>
    <x v="3"/>
    <x v="11"/>
    <x v="4"/>
    <x v="1051"/>
    <x v="4"/>
    <n v="189.41"/>
    <n v="9.09"/>
    <x v="1064"/>
    <x v="1"/>
    <n v="2024"/>
    <x v="8"/>
    <n v="179.93950000000001"/>
    <n v="0.448095054170985"/>
    <x v="0"/>
    <x v="0"/>
  </r>
  <r>
    <x v="1104"/>
    <x v="508"/>
    <x v="945"/>
    <x v="0"/>
    <x v="0"/>
    <x v="0"/>
    <x v="3"/>
    <x v="30"/>
    <x v="1"/>
    <x v="1052"/>
    <x v="6"/>
    <n v="37.65"/>
    <n v="9.91"/>
    <x v="1065"/>
    <x v="1"/>
    <n v="2024"/>
    <x v="8"/>
    <n v="28.237500000000001"/>
    <n v="9.3492695883134094E-2"/>
    <x v="1"/>
    <x v="0"/>
  </r>
  <r>
    <x v="1105"/>
    <x v="508"/>
    <x v="946"/>
    <x v="1"/>
    <x v="15"/>
    <x v="2"/>
    <x v="3"/>
    <x v="37"/>
    <x v="7"/>
    <x v="1053"/>
    <x v="6"/>
    <n v="375"/>
    <n v="24.32"/>
    <x v="1066"/>
    <x v="2"/>
    <n v="2024"/>
    <x v="8"/>
    <n v="281.25"/>
    <n v="0.35797333333333298"/>
    <x v="0"/>
    <x v="0"/>
  </r>
  <r>
    <x v="1106"/>
    <x v="508"/>
    <x v="947"/>
    <x v="1"/>
    <x v="0"/>
    <x v="0"/>
    <x v="0"/>
    <x v="18"/>
    <x v="2"/>
    <x v="1054"/>
    <x v="3"/>
    <n v="55.82"/>
    <n v="6.85"/>
    <x v="1067"/>
    <x v="3"/>
    <n v="2024"/>
    <x v="8"/>
    <n v="50.238"/>
    <n v="0.29579202993749798"/>
    <x v="1"/>
    <x v="0"/>
  </r>
  <r>
    <x v="1107"/>
    <x v="508"/>
    <x v="948"/>
    <x v="1"/>
    <x v="13"/>
    <x v="0"/>
    <x v="2"/>
    <x v="34"/>
    <x v="1"/>
    <x v="1055"/>
    <x v="3"/>
    <n v="104.65"/>
    <n v="12.59"/>
    <x v="1068"/>
    <x v="0"/>
    <n v="2024"/>
    <x v="8"/>
    <n v="94.185000000000002"/>
    <n v="0.236661888835802"/>
    <x v="0"/>
    <x v="0"/>
  </r>
  <r>
    <x v="1108"/>
    <x v="509"/>
    <x v="949"/>
    <x v="0"/>
    <x v="13"/>
    <x v="0"/>
    <x v="0"/>
    <x v="35"/>
    <x v="5"/>
    <x v="1056"/>
    <x v="0"/>
    <n v="314.5"/>
    <n v="12.05"/>
    <x v="1069"/>
    <x v="3"/>
    <n v="2024"/>
    <x v="8"/>
    <n v="314.5"/>
    <n v="0.41166931637519899"/>
    <x v="0"/>
    <x v="0"/>
  </r>
  <r>
    <x v="1109"/>
    <x v="509"/>
    <x v="950"/>
    <x v="1"/>
    <x v="1"/>
    <x v="1"/>
    <x v="1"/>
    <x v="12"/>
    <x v="3"/>
    <x v="1057"/>
    <x v="3"/>
    <n v="12.16"/>
    <n v="7.94"/>
    <x v="807"/>
    <x v="1"/>
    <n v="2024"/>
    <x v="8"/>
    <n v="10.944000000000001"/>
    <n v="-0.169956140350877"/>
    <x v="1"/>
    <x v="1"/>
  </r>
  <r>
    <x v="1110"/>
    <x v="509"/>
    <x v="951"/>
    <x v="1"/>
    <x v="18"/>
    <x v="4"/>
    <x v="2"/>
    <x v="21"/>
    <x v="0"/>
    <x v="1058"/>
    <x v="1"/>
    <n v="155.86000000000001"/>
    <n v="11.57"/>
    <x v="1070"/>
    <x v="2"/>
    <n v="2024"/>
    <x v="8"/>
    <n v="124.688"/>
    <n v="0.21974849223662299"/>
    <x v="0"/>
    <x v="0"/>
  </r>
  <r>
    <x v="1111"/>
    <x v="509"/>
    <x v="952"/>
    <x v="1"/>
    <x v="2"/>
    <x v="0"/>
    <x v="3"/>
    <x v="27"/>
    <x v="3"/>
    <x v="1059"/>
    <x v="0"/>
    <n v="20.04"/>
    <n v="6.51"/>
    <x v="1071"/>
    <x v="1"/>
    <n v="2024"/>
    <x v="8"/>
    <n v="20.04"/>
    <n v="0.175149700598802"/>
    <x v="1"/>
    <x v="0"/>
  </r>
  <r>
    <x v="1112"/>
    <x v="509"/>
    <x v="953"/>
    <x v="0"/>
    <x v="13"/>
    <x v="0"/>
    <x v="1"/>
    <x v="12"/>
    <x v="1"/>
    <x v="1060"/>
    <x v="2"/>
    <n v="59.06"/>
    <n v="9.1"/>
    <x v="1072"/>
    <x v="0"/>
    <n v="2024"/>
    <x v="8"/>
    <n v="50.201000000000001"/>
    <n v="0.37230334057090497"/>
    <x v="1"/>
    <x v="0"/>
  </r>
  <r>
    <x v="1113"/>
    <x v="509"/>
    <x v="580"/>
    <x v="0"/>
    <x v="15"/>
    <x v="2"/>
    <x v="2"/>
    <x v="8"/>
    <x v="2"/>
    <x v="1061"/>
    <x v="2"/>
    <n v="124.22"/>
    <n v="13.98"/>
    <x v="1073"/>
    <x v="1"/>
    <n v="2024"/>
    <x v="8"/>
    <n v="105.587"/>
    <n v="0.213662666805573"/>
    <x v="0"/>
    <x v="0"/>
  </r>
  <r>
    <x v="1114"/>
    <x v="510"/>
    <x v="954"/>
    <x v="2"/>
    <x v="2"/>
    <x v="0"/>
    <x v="1"/>
    <x v="10"/>
    <x v="2"/>
    <x v="1062"/>
    <x v="4"/>
    <n v="11.34"/>
    <n v="7.01"/>
    <x v="116"/>
    <x v="2"/>
    <n v="2024"/>
    <x v="8"/>
    <n v="10.773"/>
    <n v="-9.6537640397289501E-2"/>
    <x v="1"/>
    <x v="1"/>
  </r>
  <r>
    <x v="1115"/>
    <x v="511"/>
    <x v="955"/>
    <x v="1"/>
    <x v="3"/>
    <x v="1"/>
    <x v="2"/>
    <x v="32"/>
    <x v="1"/>
    <x v="1063"/>
    <x v="4"/>
    <n v="256.12"/>
    <n v="9.33"/>
    <x v="1074"/>
    <x v="0"/>
    <n v="2024"/>
    <x v="8"/>
    <n v="243.31399999999999"/>
    <n v="0.34946612196585503"/>
    <x v="0"/>
    <x v="0"/>
  </r>
  <r>
    <x v="1116"/>
    <x v="512"/>
    <x v="956"/>
    <x v="1"/>
    <x v="14"/>
    <x v="1"/>
    <x v="1"/>
    <x v="17"/>
    <x v="0"/>
    <x v="1064"/>
    <x v="4"/>
    <n v="38.67"/>
    <n v="12.98"/>
    <x v="1075"/>
    <x v="1"/>
    <n v="2024"/>
    <x v="8"/>
    <n v="36.736499999999999"/>
    <n v="0.20061791406366999"/>
    <x v="1"/>
    <x v="0"/>
  </r>
  <r>
    <x v="1117"/>
    <x v="512"/>
    <x v="957"/>
    <x v="2"/>
    <x v="1"/>
    <x v="1"/>
    <x v="1"/>
    <x v="19"/>
    <x v="2"/>
    <x v="1065"/>
    <x v="0"/>
    <n v="12.88"/>
    <n v="9.7100000000000009"/>
    <x v="1076"/>
    <x v="1"/>
    <n v="2024"/>
    <x v="8"/>
    <n v="12.88"/>
    <n v="-0.204192546583851"/>
    <x v="1"/>
    <x v="1"/>
  </r>
  <r>
    <x v="1118"/>
    <x v="513"/>
    <x v="593"/>
    <x v="1"/>
    <x v="17"/>
    <x v="3"/>
    <x v="1"/>
    <x v="2"/>
    <x v="4"/>
    <x v="1066"/>
    <x v="3"/>
    <n v="70.69"/>
    <n v="20.97"/>
    <x v="1077"/>
    <x v="2"/>
    <n v="2024"/>
    <x v="8"/>
    <n v="63.621000000000002"/>
    <n v="0.22602599770515999"/>
    <x v="1"/>
    <x v="0"/>
  </r>
  <r>
    <x v="1119"/>
    <x v="514"/>
    <x v="600"/>
    <x v="1"/>
    <x v="13"/>
    <x v="0"/>
    <x v="0"/>
    <x v="1"/>
    <x v="10"/>
    <x v="1067"/>
    <x v="0"/>
    <n v="1477.26"/>
    <n v="18.25"/>
    <x v="1078"/>
    <x v="1"/>
    <n v="2024"/>
    <x v="8"/>
    <n v="1477.26"/>
    <n v="0.43764807819882801"/>
    <x v="2"/>
    <x v="0"/>
  </r>
  <r>
    <x v="1120"/>
    <x v="514"/>
    <x v="958"/>
    <x v="0"/>
    <x v="5"/>
    <x v="3"/>
    <x v="2"/>
    <x v="34"/>
    <x v="0"/>
    <x v="1068"/>
    <x v="2"/>
    <n v="126.2"/>
    <n v="16.07"/>
    <x v="1079"/>
    <x v="1"/>
    <n v="2024"/>
    <x v="8"/>
    <n v="107.27"/>
    <n v="0.19623380255430201"/>
    <x v="0"/>
    <x v="0"/>
  </r>
  <r>
    <x v="1121"/>
    <x v="515"/>
    <x v="75"/>
    <x v="0"/>
    <x v="7"/>
    <x v="4"/>
    <x v="1"/>
    <x v="6"/>
    <x v="2"/>
    <x v="1069"/>
    <x v="2"/>
    <n v="30.85"/>
    <n v="14.89"/>
    <x v="1080"/>
    <x v="2"/>
    <n v="2024"/>
    <x v="8"/>
    <n v="26.2225"/>
    <n v="-1.4491371913433099E-2"/>
    <x v="1"/>
    <x v="1"/>
  </r>
  <r>
    <x v="1122"/>
    <x v="515"/>
    <x v="959"/>
    <x v="2"/>
    <x v="10"/>
    <x v="3"/>
    <x v="1"/>
    <x v="25"/>
    <x v="0"/>
    <x v="1070"/>
    <x v="2"/>
    <n v="16.37"/>
    <n v="15.39"/>
    <x v="1081"/>
    <x v="1"/>
    <n v="2024"/>
    <x v="8"/>
    <n v="13.9145"/>
    <n v="-0.55266089331273105"/>
    <x v="1"/>
    <x v="1"/>
  </r>
  <r>
    <x v="1123"/>
    <x v="516"/>
    <x v="960"/>
    <x v="0"/>
    <x v="7"/>
    <x v="4"/>
    <x v="0"/>
    <x v="18"/>
    <x v="0"/>
    <x v="1071"/>
    <x v="3"/>
    <n v="149.36000000000001"/>
    <n v="16.68"/>
    <x v="1082"/>
    <x v="2"/>
    <n v="2024"/>
    <x v="8"/>
    <n v="134.42400000000001"/>
    <n v="0.307980717728977"/>
    <x v="0"/>
    <x v="0"/>
  </r>
  <r>
    <x v="1124"/>
    <x v="517"/>
    <x v="899"/>
    <x v="1"/>
    <x v="9"/>
    <x v="3"/>
    <x v="1"/>
    <x v="6"/>
    <x v="5"/>
    <x v="1072"/>
    <x v="0"/>
    <n v="89.25"/>
    <n v="14.45"/>
    <x v="1083"/>
    <x v="3"/>
    <n v="2024"/>
    <x v="8"/>
    <n v="89.25"/>
    <n v="0.38812324929971997"/>
    <x v="1"/>
    <x v="0"/>
  </r>
  <r>
    <x v="1125"/>
    <x v="517"/>
    <x v="772"/>
    <x v="0"/>
    <x v="7"/>
    <x v="4"/>
    <x v="0"/>
    <x v="29"/>
    <x v="5"/>
    <x v="1073"/>
    <x v="4"/>
    <n v="88.68"/>
    <n v="14.38"/>
    <x v="1084"/>
    <x v="0"/>
    <n v="2024"/>
    <x v="8"/>
    <n v="84.245999999999995"/>
    <n v="0.27253519454929598"/>
    <x v="1"/>
    <x v="0"/>
  </r>
  <r>
    <x v="1126"/>
    <x v="517"/>
    <x v="961"/>
    <x v="1"/>
    <x v="1"/>
    <x v="1"/>
    <x v="0"/>
    <x v="0"/>
    <x v="2"/>
    <x v="1074"/>
    <x v="2"/>
    <n v="142.41"/>
    <n v="8.0500000000000007"/>
    <x v="1085"/>
    <x v="1"/>
    <n v="2024"/>
    <x v="8"/>
    <n v="121.0485"/>
    <n v="0.34870320573984798"/>
    <x v="0"/>
    <x v="0"/>
  </r>
  <r>
    <x v="1127"/>
    <x v="518"/>
    <x v="962"/>
    <x v="0"/>
    <x v="1"/>
    <x v="1"/>
    <x v="0"/>
    <x v="35"/>
    <x v="1"/>
    <x v="1075"/>
    <x v="1"/>
    <n v="156.69999999999999"/>
    <n v="10.82"/>
    <x v="1086"/>
    <x v="1"/>
    <n v="2024"/>
    <x v="8"/>
    <n v="125.36"/>
    <n v="0.30432354818123802"/>
    <x v="0"/>
    <x v="0"/>
  </r>
  <r>
    <x v="1128"/>
    <x v="519"/>
    <x v="963"/>
    <x v="0"/>
    <x v="8"/>
    <x v="1"/>
    <x v="3"/>
    <x v="30"/>
    <x v="3"/>
    <x v="1076"/>
    <x v="2"/>
    <n v="24.89"/>
    <n v="9.4"/>
    <x v="1087"/>
    <x v="1"/>
    <n v="2024"/>
    <x v="8"/>
    <n v="21.156500000000001"/>
    <n v="4.0176777822418602E-2"/>
    <x v="1"/>
    <x v="0"/>
  </r>
  <r>
    <x v="1129"/>
    <x v="520"/>
    <x v="964"/>
    <x v="1"/>
    <x v="17"/>
    <x v="3"/>
    <x v="3"/>
    <x v="37"/>
    <x v="1"/>
    <x v="1077"/>
    <x v="0"/>
    <n v="104"/>
    <n v="15.47"/>
    <x v="1088"/>
    <x v="2"/>
    <n v="2024"/>
    <x v="8"/>
    <n v="104"/>
    <n v="0.35125000000000001"/>
    <x v="0"/>
    <x v="0"/>
  </r>
  <r>
    <x v="1130"/>
    <x v="520"/>
    <x v="965"/>
    <x v="0"/>
    <x v="8"/>
    <x v="1"/>
    <x v="0"/>
    <x v="18"/>
    <x v="1"/>
    <x v="1078"/>
    <x v="4"/>
    <n v="120.95"/>
    <n v="12.01"/>
    <x v="1089"/>
    <x v="3"/>
    <n v="2024"/>
    <x v="8"/>
    <n v="114.9025"/>
    <n v="0.33863492961423802"/>
    <x v="0"/>
    <x v="0"/>
  </r>
  <r>
    <x v="1131"/>
    <x v="521"/>
    <x v="966"/>
    <x v="1"/>
    <x v="19"/>
    <x v="1"/>
    <x v="2"/>
    <x v="21"/>
    <x v="2"/>
    <x v="1079"/>
    <x v="0"/>
    <n v="123.94"/>
    <n v="11.14"/>
    <x v="1090"/>
    <x v="3"/>
    <n v="2024"/>
    <x v="8"/>
    <n v="123.94"/>
    <n v="0.31015007261578198"/>
    <x v="0"/>
    <x v="0"/>
  </r>
  <r>
    <x v="1132"/>
    <x v="521"/>
    <x v="967"/>
    <x v="1"/>
    <x v="8"/>
    <x v="1"/>
    <x v="2"/>
    <x v="34"/>
    <x v="4"/>
    <x v="1080"/>
    <x v="4"/>
    <n v="270.47000000000003"/>
    <n v="21.01"/>
    <x v="1091"/>
    <x v="1"/>
    <n v="2024"/>
    <x v="8"/>
    <n v="256.94650000000001"/>
    <n v="0.306055929930939"/>
    <x v="0"/>
    <x v="0"/>
  </r>
  <r>
    <x v="1133"/>
    <x v="522"/>
    <x v="119"/>
    <x v="1"/>
    <x v="9"/>
    <x v="3"/>
    <x v="1"/>
    <x v="2"/>
    <x v="4"/>
    <x v="1081"/>
    <x v="2"/>
    <n v="33.1"/>
    <n v="12.35"/>
    <x v="1092"/>
    <x v="1"/>
    <n v="2024"/>
    <x v="8"/>
    <n v="28.135000000000002"/>
    <n v="0.11480362537764401"/>
    <x v="1"/>
    <x v="0"/>
  </r>
  <r>
    <x v="1134"/>
    <x v="522"/>
    <x v="968"/>
    <x v="0"/>
    <x v="11"/>
    <x v="2"/>
    <x v="0"/>
    <x v="3"/>
    <x v="0"/>
    <x v="1082"/>
    <x v="1"/>
    <n v="88.94"/>
    <n v="13.02"/>
    <x v="1093"/>
    <x v="0"/>
    <n v="2024"/>
    <x v="8"/>
    <n v="71.152000000000001"/>
    <n v="0.20758376433550699"/>
    <x v="1"/>
    <x v="0"/>
  </r>
  <r>
    <x v="1135"/>
    <x v="523"/>
    <x v="969"/>
    <x v="0"/>
    <x v="18"/>
    <x v="4"/>
    <x v="0"/>
    <x v="1"/>
    <x v="3"/>
    <x v="1083"/>
    <x v="3"/>
    <n v="148.51"/>
    <n v="11.03"/>
    <x v="1094"/>
    <x v="2"/>
    <n v="2024"/>
    <x v="8"/>
    <n v="133.65899999999999"/>
    <n v="0.34954623332510298"/>
    <x v="0"/>
    <x v="0"/>
  </r>
  <r>
    <x v="1136"/>
    <x v="524"/>
    <x v="970"/>
    <x v="2"/>
    <x v="19"/>
    <x v="1"/>
    <x v="3"/>
    <x v="37"/>
    <x v="0"/>
    <x v="1084"/>
    <x v="4"/>
    <n v="189.78"/>
    <n v="13.14"/>
    <x v="1095"/>
    <x v="1"/>
    <n v="2024"/>
    <x v="9"/>
    <n v="180.291"/>
    <n v="0.425700672801194"/>
    <x v="0"/>
    <x v="0"/>
  </r>
  <r>
    <x v="1137"/>
    <x v="525"/>
    <x v="971"/>
    <x v="1"/>
    <x v="7"/>
    <x v="4"/>
    <x v="3"/>
    <x v="13"/>
    <x v="3"/>
    <x v="1085"/>
    <x v="3"/>
    <n v="37.29"/>
    <n v="12.06"/>
    <x v="1096"/>
    <x v="0"/>
    <n v="2024"/>
    <x v="9"/>
    <n v="33.561"/>
    <n v="0.13438216978039999"/>
    <x v="1"/>
    <x v="0"/>
  </r>
  <r>
    <x v="1138"/>
    <x v="525"/>
    <x v="141"/>
    <x v="2"/>
    <x v="2"/>
    <x v="0"/>
    <x v="2"/>
    <x v="36"/>
    <x v="3"/>
    <x v="1086"/>
    <x v="4"/>
    <n v="152.43"/>
    <n v="5.89"/>
    <x v="1097"/>
    <x v="2"/>
    <n v="2024"/>
    <x v="9"/>
    <n v="144.80850000000001"/>
    <n v="0.34714813011667101"/>
    <x v="0"/>
    <x v="0"/>
  </r>
  <r>
    <x v="1139"/>
    <x v="526"/>
    <x v="972"/>
    <x v="1"/>
    <x v="8"/>
    <x v="1"/>
    <x v="0"/>
    <x v="1"/>
    <x v="1"/>
    <x v="1087"/>
    <x v="0"/>
    <n v="570.36"/>
    <n v="11.88"/>
    <x v="1098"/>
    <x v="2"/>
    <n v="2024"/>
    <x v="9"/>
    <n v="570.36"/>
    <n v="0.429167543305982"/>
    <x v="2"/>
    <x v="0"/>
  </r>
  <r>
    <x v="1140"/>
    <x v="526"/>
    <x v="959"/>
    <x v="2"/>
    <x v="1"/>
    <x v="1"/>
    <x v="0"/>
    <x v="18"/>
    <x v="0"/>
    <x v="416"/>
    <x v="3"/>
    <n v="101.41"/>
    <n v="11.79"/>
    <x v="1099"/>
    <x v="0"/>
    <n v="2024"/>
    <x v="9"/>
    <n v="91.269000000000005"/>
    <n v="0.30295061850135302"/>
    <x v="0"/>
    <x v="0"/>
  </r>
  <r>
    <x v="1141"/>
    <x v="526"/>
    <x v="973"/>
    <x v="1"/>
    <x v="8"/>
    <x v="1"/>
    <x v="2"/>
    <x v="15"/>
    <x v="1"/>
    <x v="1088"/>
    <x v="4"/>
    <n v="1093.1099999999999"/>
    <n v="15.79"/>
    <x v="1100"/>
    <x v="0"/>
    <n v="2024"/>
    <x v="9"/>
    <n v="1038.4545000000001"/>
    <n v="0.372611414366253"/>
    <x v="2"/>
    <x v="0"/>
  </r>
  <r>
    <x v="1142"/>
    <x v="526"/>
    <x v="974"/>
    <x v="2"/>
    <x v="5"/>
    <x v="3"/>
    <x v="3"/>
    <x v="16"/>
    <x v="0"/>
    <x v="1089"/>
    <x v="4"/>
    <n v="159.09"/>
    <n v="12.34"/>
    <x v="1101"/>
    <x v="3"/>
    <n v="2024"/>
    <x v="9"/>
    <n v="151.13550000000001"/>
    <n v="0.416976818814904"/>
    <x v="0"/>
    <x v="0"/>
  </r>
  <r>
    <x v="1143"/>
    <x v="526"/>
    <x v="32"/>
    <x v="1"/>
    <x v="0"/>
    <x v="0"/>
    <x v="1"/>
    <x v="19"/>
    <x v="4"/>
    <x v="1090"/>
    <x v="1"/>
    <n v="33.89"/>
    <n v="9.61"/>
    <x v="1102"/>
    <x v="3"/>
    <n v="2024"/>
    <x v="9"/>
    <n v="27.111999999999998"/>
    <n v="0.192534670994394"/>
    <x v="1"/>
    <x v="0"/>
  </r>
  <r>
    <x v="1144"/>
    <x v="527"/>
    <x v="162"/>
    <x v="1"/>
    <x v="11"/>
    <x v="2"/>
    <x v="1"/>
    <x v="25"/>
    <x v="2"/>
    <x v="945"/>
    <x v="4"/>
    <n v="31.75"/>
    <n v="14.63"/>
    <x v="445"/>
    <x v="1"/>
    <n v="2024"/>
    <x v="9"/>
    <n v="30.162500000000001"/>
    <n v="6.8959801077496899E-2"/>
    <x v="1"/>
    <x v="0"/>
  </r>
  <r>
    <x v="1145"/>
    <x v="527"/>
    <x v="975"/>
    <x v="0"/>
    <x v="5"/>
    <x v="3"/>
    <x v="1"/>
    <x v="12"/>
    <x v="9"/>
    <x v="1091"/>
    <x v="3"/>
    <n v="76.319999999999993"/>
    <n v="21.04"/>
    <x v="1103"/>
    <x v="2"/>
    <n v="2024"/>
    <x v="9"/>
    <n v="68.688000000000002"/>
    <n v="0.249242953645469"/>
    <x v="1"/>
    <x v="0"/>
  </r>
  <r>
    <x v="1146"/>
    <x v="527"/>
    <x v="976"/>
    <x v="0"/>
    <x v="17"/>
    <x v="3"/>
    <x v="0"/>
    <x v="22"/>
    <x v="5"/>
    <x v="1092"/>
    <x v="4"/>
    <n v="540.30999999999995"/>
    <n v="19.739999999999998"/>
    <x v="1104"/>
    <x v="3"/>
    <n v="2024"/>
    <x v="9"/>
    <n v="513.29449999999997"/>
    <n v="0.40475789239900301"/>
    <x v="2"/>
    <x v="0"/>
  </r>
  <r>
    <x v="1147"/>
    <x v="528"/>
    <x v="54"/>
    <x v="1"/>
    <x v="0"/>
    <x v="0"/>
    <x v="2"/>
    <x v="5"/>
    <x v="7"/>
    <x v="1093"/>
    <x v="4"/>
    <n v="671.61"/>
    <n v="16.48"/>
    <x v="1105"/>
    <x v="0"/>
    <n v="2024"/>
    <x v="9"/>
    <n v="638.02949999999998"/>
    <n v="0.36197385857550501"/>
    <x v="2"/>
    <x v="0"/>
  </r>
  <r>
    <x v="1148"/>
    <x v="529"/>
    <x v="977"/>
    <x v="0"/>
    <x v="15"/>
    <x v="2"/>
    <x v="1"/>
    <x v="10"/>
    <x v="0"/>
    <x v="1094"/>
    <x v="4"/>
    <n v="16.82"/>
    <n v="15.21"/>
    <x v="1106"/>
    <x v="0"/>
    <n v="2024"/>
    <x v="9"/>
    <n v="15.978999999999999"/>
    <n v="-0.39802240440578301"/>
    <x v="1"/>
    <x v="1"/>
  </r>
  <r>
    <x v="1149"/>
    <x v="529"/>
    <x v="978"/>
    <x v="2"/>
    <x v="13"/>
    <x v="0"/>
    <x v="3"/>
    <x v="9"/>
    <x v="3"/>
    <x v="1095"/>
    <x v="3"/>
    <n v="34.18"/>
    <n v="7.22"/>
    <x v="1107"/>
    <x v="1"/>
    <n v="2024"/>
    <x v="9"/>
    <n v="30.762"/>
    <n v="0.25908588518301801"/>
    <x v="1"/>
    <x v="0"/>
  </r>
  <r>
    <x v="1150"/>
    <x v="529"/>
    <x v="577"/>
    <x v="0"/>
    <x v="7"/>
    <x v="4"/>
    <x v="3"/>
    <x v="11"/>
    <x v="5"/>
    <x v="1096"/>
    <x v="3"/>
    <n v="154.08000000000001"/>
    <n v="20.25"/>
    <x v="1108"/>
    <x v="1"/>
    <n v="2024"/>
    <x v="9"/>
    <n v="138.672"/>
    <n v="0.34779912311064998"/>
    <x v="0"/>
    <x v="0"/>
  </r>
  <r>
    <x v="1151"/>
    <x v="529"/>
    <x v="979"/>
    <x v="1"/>
    <x v="3"/>
    <x v="1"/>
    <x v="3"/>
    <x v="11"/>
    <x v="3"/>
    <x v="1097"/>
    <x v="2"/>
    <n v="84.53"/>
    <n v="7.83"/>
    <x v="1109"/>
    <x v="1"/>
    <n v="2024"/>
    <x v="9"/>
    <n v="71.850499999999997"/>
    <n v="0.37550191021635199"/>
    <x v="1"/>
    <x v="0"/>
  </r>
  <r>
    <x v="1152"/>
    <x v="529"/>
    <x v="980"/>
    <x v="1"/>
    <x v="14"/>
    <x v="1"/>
    <x v="0"/>
    <x v="18"/>
    <x v="9"/>
    <x v="1098"/>
    <x v="4"/>
    <n v="512.33000000000004"/>
    <n v="19.66"/>
    <x v="1110"/>
    <x v="0"/>
    <n v="2024"/>
    <x v="9"/>
    <n v="486.71350000000001"/>
    <n v="0.402824248762362"/>
    <x v="2"/>
    <x v="0"/>
  </r>
  <r>
    <x v="1153"/>
    <x v="530"/>
    <x v="981"/>
    <x v="1"/>
    <x v="0"/>
    <x v="0"/>
    <x v="3"/>
    <x v="30"/>
    <x v="4"/>
    <x v="1099"/>
    <x v="4"/>
    <n v="95.53"/>
    <n v="8.44"/>
    <x v="1111"/>
    <x v="2"/>
    <n v="2024"/>
    <x v="9"/>
    <n v="90.753500000000003"/>
    <n v="0.405604191573879"/>
    <x v="1"/>
    <x v="0"/>
  </r>
  <r>
    <x v="1154"/>
    <x v="531"/>
    <x v="982"/>
    <x v="1"/>
    <x v="10"/>
    <x v="3"/>
    <x v="3"/>
    <x v="27"/>
    <x v="1"/>
    <x v="1007"/>
    <x v="3"/>
    <n v="73.69"/>
    <n v="11.8"/>
    <x v="1112"/>
    <x v="2"/>
    <n v="2024"/>
    <x v="9"/>
    <n v="66.320999999999998"/>
    <n v="0.31588787865080398"/>
    <x v="1"/>
    <x v="0"/>
  </r>
  <r>
    <x v="1155"/>
    <x v="531"/>
    <x v="983"/>
    <x v="1"/>
    <x v="3"/>
    <x v="1"/>
    <x v="0"/>
    <x v="22"/>
    <x v="0"/>
    <x v="1100"/>
    <x v="4"/>
    <n v="385.75"/>
    <n v="12.11"/>
    <x v="1113"/>
    <x v="1"/>
    <n v="2024"/>
    <x v="9"/>
    <n v="366.46249999999998"/>
    <n v="0.41016475082716503"/>
    <x v="0"/>
    <x v="0"/>
  </r>
  <r>
    <x v="1156"/>
    <x v="531"/>
    <x v="984"/>
    <x v="1"/>
    <x v="10"/>
    <x v="3"/>
    <x v="1"/>
    <x v="23"/>
    <x v="1"/>
    <x v="1101"/>
    <x v="0"/>
    <n v="55.6"/>
    <n v="11.78"/>
    <x v="1114"/>
    <x v="1"/>
    <n v="2024"/>
    <x v="9"/>
    <n v="55.6"/>
    <n v="0.33812949640287798"/>
    <x v="1"/>
    <x v="0"/>
  </r>
  <r>
    <x v="1157"/>
    <x v="531"/>
    <x v="339"/>
    <x v="1"/>
    <x v="2"/>
    <x v="0"/>
    <x v="0"/>
    <x v="0"/>
    <x v="1"/>
    <x v="1102"/>
    <x v="0"/>
    <n v="233.52"/>
    <n v="13.39"/>
    <x v="1115"/>
    <x v="2"/>
    <n v="2024"/>
    <x v="9"/>
    <n v="233.52"/>
    <n v="0.39264302843439502"/>
    <x v="0"/>
    <x v="0"/>
  </r>
  <r>
    <x v="1158"/>
    <x v="531"/>
    <x v="985"/>
    <x v="2"/>
    <x v="10"/>
    <x v="3"/>
    <x v="3"/>
    <x v="30"/>
    <x v="2"/>
    <x v="1103"/>
    <x v="3"/>
    <n v="39.26"/>
    <n v="12.21"/>
    <x v="818"/>
    <x v="3"/>
    <n v="2024"/>
    <x v="9"/>
    <n v="35.334000000000003"/>
    <n v="0.14829908869644001"/>
    <x v="1"/>
    <x v="0"/>
  </r>
  <r>
    <x v="1159"/>
    <x v="531"/>
    <x v="790"/>
    <x v="2"/>
    <x v="19"/>
    <x v="1"/>
    <x v="3"/>
    <x v="26"/>
    <x v="7"/>
    <x v="1104"/>
    <x v="4"/>
    <n v="369.06"/>
    <n v="24.35"/>
    <x v="1116"/>
    <x v="2"/>
    <n v="2024"/>
    <x v="9"/>
    <n v="350.60700000000003"/>
    <n v="0.429169982344905"/>
    <x v="0"/>
    <x v="0"/>
  </r>
  <r>
    <x v="1160"/>
    <x v="531"/>
    <x v="986"/>
    <x v="1"/>
    <x v="2"/>
    <x v="0"/>
    <x v="2"/>
    <x v="14"/>
    <x v="3"/>
    <x v="1105"/>
    <x v="3"/>
    <n v="334.09"/>
    <n v="5.6"/>
    <x v="1117"/>
    <x v="1"/>
    <n v="2024"/>
    <x v="9"/>
    <n v="300.68099999999998"/>
    <n v="0.35173489512140799"/>
    <x v="0"/>
    <x v="0"/>
  </r>
  <r>
    <x v="1161"/>
    <x v="532"/>
    <x v="987"/>
    <x v="0"/>
    <x v="9"/>
    <x v="3"/>
    <x v="2"/>
    <x v="14"/>
    <x v="9"/>
    <x v="1106"/>
    <x v="1"/>
    <n v="2762.4"/>
    <n v="32.74"/>
    <x v="1118"/>
    <x v="1"/>
    <n v="2024"/>
    <x v="9"/>
    <n v="2209.92"/>
    <n v="0.29768498407182198"/>
    <x v="2"/>
    <x v="0"/>
  </r>
  <r>
    <x v="1162"/>
    <x v="532"/>
    <x v="988"/>
    <x v="0"/>
    <x v="2"/>
    <x v="0"/>
    <x v="3"/>
    <x v="33"/>
    <x v="0"/>
    <x v="1107"/>
    <x v="6"/>
    <n v="115.27"/>
    <n v="9.6"/>
    <x v="1119"/>
    <x v="0"/>
    <n v="2024"/>
    <x v="9"/>
    <n v="86.452500000000001"/>
    <n v="0.33336225094705202"/>
    <x v="0"/>
    <x v="0"/>
  </r>
  <r>
    <x v="1163"/>
    <x v="532"/>
    <x v="989"/>
    <x v="1"/>
    <x v="5"/>
    <x v="3"/>
    <x v="2"/>
    <x v="32"/>
    <x v="7"/>
    <x v="776"/>
    <x v="4"/>
    <n v="267.29000000000002"/>
    <n v="25.72"/>
    <x v="1120"/>
    <x v="1"/>
    <n v="2024"/>
    <x v="9"/>
    <n v="253.9255"/>
    <n v="0.28650135571260099"/>
    <x v="0"/>
    <x v="0"/>
  </r>
  <r>
    <x v="1164"/>
    <x v="533"/>
    <x v="990"/>
    <x v="2"/>
    <x v="13"/>
    <x v="0"/>
    <x v="3"/>
    <x v="37"/>
    <x v="2"/>
    <x v="1108"/>
    <x v="0"/>
    <n v="133.88"/>
    <n v="9.1199999999999992"/>
    <x v="1121"/>
    <x v="2"/>
    <n v="2024"/>
    <x v="9"/>
    <n v="133.88"/>
    <n v="0.43187929489094701"/>
    <x v="0"/>
    <x v="0"/>
  </r>
  <r>
    <x v="1165"/>
    <x v="533"/>
    <x v="167"/>
    <x v="1"/>
    <x v="3"/>
    <x v="1"/>
    <x v="0"/>
    <x v="29"/>
    <x v="3"/>
    <x v="1109"/>
    <x v="0"/>
    <n v="26.72"/>
    <n v="9.0399999999999991"/>
    <x v="1122"/>
    <x v="1"/>
    <n v="2024"/>
    <x v="9"/>
    <n v="26.72"/>
    <n v="0.11152694610778401"/>
    <x v="1"/>
    <x v="0"/>
  </r>
  <r>
    <x v="1166"/>
    <x v="533"/>
    <x v="891"/>
    <x v="1"/>
    <x v="1"/>
    <x v="1"/>
    <x v="2"/>
    <x v="8"/>
    <x v="10"/>
    <x v="1110"/>
    <x v="1"/>
    <n v="833.76"/>
    <n v="26.5"/>
    <x v="1123"/>
    <x v="3"/>
    <n v="2024"/>
    <x v="9"/>
    <n v="667.00800000000004"/>
    <n v="0.27277034158510799"/>
    <x v="2"/>
    <x v="0"/>
  </r>
  <r>
    <x v="1167"/>
    <x v="533"/>
    <x v="991"/>
    <x v="0"/>
    <x v="2"/>
    <x v="0"/>
    <x v="1"/>
    <x v="10"/>
    <x v="2"/>
    <x v="1111"/>
    <x v="1"/>
    <n v="14.85"/>
    <n v="8.0399999999999991"/>
    <x v="735"/>
    <x v="1"/>
    <n v="2024"/>
    <x v="9"/>
    <n v="11.88"/>
    <n v="-0.12962962962963001"/>
    <x v="1"/>
    <x v="1"/>
  </r>
  <r>
    <x v="1168"/>
    <x v="533"/>
    <x v="992"/>
    <x v="1"/>
    <x v="5"/>
    <x v="3"/>
    <x v="1"/>
    <x v="6"/>
    <x v="0"/>
    <x v="1112"/>
    <x v="0"/>
    <n v="53.34"/>
    <n v="13.47"/>
    <x v="1124"/>
    <x v="1"/>
    <n v="2024"/>
    <x v="9"/>
    <n v="53.34"/>
    <n v="0.29752530933633298"/>
    <x v="1"/>
    <x v="0"/>
  </r>
  <r>
    <x v="1169"/>
    <x v="534"/>
    <x v="993"/>
    <x v="1"/>
    <x v="8"/>
    <x v="1"/>
    <x v="2"/>
    <x v="15"/>
    <x v="1"/>
    <x v="1113"/>
    <x v="4"/>
    <n v="1045.46"/>
    <n v="13.94"/>
    <x v="1125"/>
    <x v="2"/>
    <n v="2024"/>
    <x v="9"/>
    <n v="993.18700000000001"/>
    <n v="0.37377653956404999"/>
    <x v="2"/>
    <x v="0"/>
  </r>
  <r>
    <x v="1170"/>
    <x v="534"/>
    <x v="994"/>
    <x v="1"/>
    <x v="17"/>
    <x v="3"/>
    <x v="0"/>
    <x v="3"/>
    <x v="5"/>
    <x v="1114"/>
    <x v="3"/>
    <n v="240.21"/>
    <n v="11.59"/>
    <x v="1126"/>
    <x v="3"/>
    <n v="2024"/>
    <x v="9"/>
    <n v="216.18899999999999"/>
    <n v="0.378465139299409"/>
    <x v="0"/>
    <x v="0"/>
  </r>
  <r>
    <x v="1171"/>
    <x v="535"/>
    <x v="995"/>
    <x v="1"/>
    <x v="11"/>
    <x v="2"/>
    <x v="3"/>
    <x v="37"/>
    <x v="2"/>
    <x v="1115"/>
    <x v="3"/>
    <n v="139.66"/>
    <n v="15.29"/>
    <x v="1127"/>
    <x v="2"/>
    <n v="2024"/>
    <x v="9"/>
    <n v="125.694"/>
    <n v="0.37217369166388198"/>
    <x v="0"/>
    <x v="0"/>
  </r>
  <r>
    <x v="1172"/>
    <x v="535"/>
    <x v="349"/>
    <x v="1"/>
    <x v="5"/>
    <x v="3"/>
    <x v="1"/>
    <x v="38"/>
    <x v="4"/>
    <x v="1116"/>
    <x v="4"/>
    <n v="39.9"/>
    <n v="18.09"/>
    <x v="1128"/>
    <x v="1"/>
    <n v="2024"/>
    <x v="9"/>
    <n v="37.905000000000001"/>
    <n v="7.6770874554808105E-2"/>
    <x v="1"/>
    <x v="0"/>
  </r>
  <r>
    <x v="1173"/>
    <x v="535"/>
    <x v="996"/>
    <x v="2"/>
    <x v="5"/>
    <x v="3"/>
    <x v="3"/>
    <x v="9"/>
    <x v="3"/>
    <x v="1117"/>
    <x v="3"/>
    <n v="55.24"/>
    <n v="10.68"/>
    <x v="1129"/>
    <x v="0"/>
    <n v="2024"/>
    <x v="9"/>
    <n v="49.716000000000001"/>
    <n v="0.27898463271381402"/>
    <x v="1"/>
    <x v="0"/>
  </r>
  <r>
    <x v="1174"/>
    <x v="536"/>
    <x v="997"/>
    <x v="0"/>
    <x v="2"/>
    <x v="0"/>
    <x v="1"/>
    <x v="17"/>
    <x v="6"/>
    <x v="1118"/>
    <x v="5"/>
    <n v="47.97"/>
    <n v="15.8"/>
    <x v="1130"/>
    <x v="2"/>
    <n v="2024"/>
    <x v="9"/>
    <n v="33.579000000000001"/>
    <n v="3.9608088388576199E-2"/>
    <x v="1"/>
    <x v="0"/>
  </r>
  <r>
    <x v="1175"/>
    <x v="536"/>
    <x v="998"/>
    <x v="1"/>
    <x v="2"/>
    <x v="0"/>
    <x v="1"/>
    <x v="25"/>
    <x v="3"/>
    <x v="31"/>
    <x v="0"/>
    <n v="8.5399999999999991"/>
    <n v="7.42"/>
    <x v="1131"/>
    <x v="2"/>
    <n v="2024"/>
    <x v="9"/>
    <n v="8.5399999999999991"/>
    <n v="-0.31850117096018699"/>
    <x v="1"/>
    <x v="1"/>
  </r>
  <r>
    <x v="1176"/>
    <x v="537"/>
    <x v="193"/>
    <x v="0"/>
    <x v="13"/>
    <x v="0"/>
    <x v="3"/>
    <x v="27"/>
    <x v="3"/>
    <x v="1119"/>
    <x v="2"/>
    <n v="22.88"/>
    <n v="6.91"/>
    <x v="1132"/>
    <x v="1"/>
    <n v="2024"/>
    <x v="9"/>
    <n v="19.448"/>
    <n v="0.12906211435623199"/>
    <x v="1"/>
    <x v="0"/>
  </r>
  <r>
    <x v="1177"/>
    <x v="538"/>
    <x v="999"/>
    <x v="1"/>
    <x v="12"/>
    <x v="4"/>
    <x v="3"/>
    <x v="16"/>
    <x v="3"/>
    <x v="1120"/>
    <x v="2"/>
    <n v="24.72"/>
    <n v="11.98"/>
    <x v="1133"/>
    <x v="1"/>
    <n v="2024"/>
    <x v="9"/>
    <n v="21.012"/>
    <n v="-8.5665334094802995E-2"/>
    <x v="1"/>
    <x v="1"/>
  </r>
  <r>
    <x v="1178"/>
    <x v="538"/>
    <x v="1000"/>
    <x v="0"/>
    <x v="0"/>
    <x v="0"/>
    <x v="0"/>
    <x v="3"/>
    <x v="10"/>
    <x v="1121"/>
    <x v="1"/>
    <n v="327.45999999999998"/>
    <n v="10.43"/>
    <x v="1134"/>
    <x v="1"/>
    <n v="2024"/>
    <x v="9"/>
    <n v="261.96800000000002"/>
    <n v="0.35080620533805701"/>
    <x v="0"/>
    <x v="0"/>
  </r>
  <r>
    <x v="1179"/>
    <x v="538"/>
    <x v="1001"/>
    <x v="0"/>
    <x v="6"/>
    <x v="2"/>
    <x v="1"/>
    <x v="10"/>
    <x v="3"/>
    <x v="1122"/>
    <x v="2"/>
    <n v="4.1399999999999997"/>
    <n v="12.43"/>
    <x v="1135"/>
    <x v="3"/>
    <n v="2024"/>
    <x v="9"/>
    <n v="3.5190000000000001"/>
    <n v="-2.97811878374538"/>
    <x v="1"/>
    <x v="1"/>
  </r>
  <r>
    <x v="1180"/>
    <x v="539"/>
    <x v="1002"/>
    <x v="0"/>
    <x v="9"/>
    <x v="3"/>
    <x v="0"/>
    <x v="29"/>
    <x v="0"/>
    <x v="1123"/>
    <x v="6"/>
    <n v="44.84"/>
    <n v="13.57"/>
    <x v="1136"/>
    <x v="1"/>
    <n v="2024"/>
    <x v="9"/>
    <n v="33.630000000000003"/>
    <n v="-4.7873922093368999E-2"/>
    <x v="1"/>
    <x v="1"/>
  </r>
  <r>
    <x v="1181"/>
    <x v="540"/>
    <x v="1003"/>
    <x v="1"/>
    <x v="6"/>
    <x v="2"/>
    <x v="2"/>
    <x v="14"/>
    <x v="3"/>
    <x v="1124"/>
    <x v="6"/>
    <n v="179.65"/>
    <n v="12.02"/>
    <x v="1137"/>
    <x v="2"/>
    <n v="2024"/>
    <x v="9"/>
    <n v="134.73750000000001"/>
    <n v="0.17745616476482001"/>
    <x v="0"/>
    <x v="0"/>
  </r>
  <r>
    <x v="1182"/>
    <x v="540"/>
    <x v="1004"/>
    <x v="1"/>
    <x v="5"/>
    <x v="3"/>
    <x v="1"/>
    <x v="23"/>
    <x v="3"/>
    <x v="1125"/>
    <x v="6"/>
    <n v="13"/>
    <n v="11.28"/>
    <x v="1138"/>
    <x v="1"/>
    <n v="2024"/>
    <x v="9"/>
    <n v="9.75"/>
    <n v="-0.62358974358974395"/>
    <x v="1"/>
    <x v="1"/>
  </r>
  <r>
    <x v="1183"/>
    <x v="540"/>
    <x v="1005"/>
    <x v="0"/>
    <x v="0"/>
    <x v="0"/>
    <x v="2"/>
    <x v="15"/>
    <x v="3"/>
    <x v="1126"/>
    <x v="2"/>
    <n v="248.51"/>
    <n v="5.62"/>
    <x v="1139"/>
    <x v="1"/>
    <n v="2024"/>
    <x v="9"/>
    <n v="211.23349999999999"/>
    <n v="0.31940956335051002"/>
    <x v="0"/>
    <x v="0"/>
  </r>
  <r>
    <x v="1184"/>
    <x v="541"/>
    <x v="1006"/>
    <x v="1"/>
    <x v="0"/>
    <x v="0"/>
    <x v="1"/>
    <x v="20"/>
    <x v="3"/>
    <x v="1127"/>
    <x v="0"/>
    <n v="13.36"/>
    <n v="7.32"/>
    <x v="1140"/>
    <x v="1"/>
    <n v="2024"/>
    <x v="9"/>
    <n v="13.36"/>
    <n v="2.2455089820359298E-3"/>
    <x v="1"/>
    <x v="0"/>
  </r>
  <r>
    <x v="1185"/>
    <x v="542"/>
    <x v="1007"/>
    <x v="2"/>
    <x v="15"/>
    <x v="2"/>
    <x v="1"/>
    <x v="25"/>
    <x v="0"/>
    <x v="1128"/>
    <x v="0"/>
    <n v="36.33"/>
    <n v="14.03"/>
    <x v="1141"/>
    <x v="1"/>
    <n v="2024"/>
    <x v="9"/>
    <n v="36.33"/>
    <n v="0.16377649325626201"/>
    <x v="1"/>
    <x v="0"/>
  </r>
  <r>
    <x v="1186"/>
    <x v="542"/>
    <x v="1008"/>
    <x v="2"/>
    <x v="13"/>
    <x v="0"/>
    <x v="2"/>
    <x v="36"/>
    <x v="5"/>
    <x v="1129"/>
    <x v="4"/>
    <n v="446.69"/>
    <n v="14.2"/>
    <x v="1142"/>
    <x v="2"/>
    <n v="2024"/>
    <x v="9"/>
    <n v="424.35550000000001"/>
    <n v="0.35434912473150498"/>
    <x v="0"/>
    <x v="0"/>
  </r>
  <r>
    <x v="1187"/>
    <x v="543"/>
    <x v="1009"/>
    <x v="1"/>
    <x v="12"/>
    <x v="4"/>
    <x v="0"/>
    <x v="7"/>
    <x v="3"/>
    <x v="1130"/>
    <x v="4"/>
    <n v="38.24"/>
    <n v="12.49"/>
    <x v="1143"/>
    <x v="1"/>
    <n v="2024"/>
    <x v="9"/>
    <n v="36.328000000000003"/>
    <n v="9.9372384937238503E-2"/>
    <x v="1"/>
    <x v="0"/>
  </r>
  <r>
    <x v="1188"/>
    <x v="543"/>
    <x v="1010"/>
    <x v="0"/>
    <x v="3"/>
    <x v="1"/>
    <x v="0"/>
    <x v="29"/>
    <x v="2"/>
    <x v="1131"/>
    <x v="2"/>
    <n v="41.72"/>
    <n v="10.57"/>
    <x v="1144"/>
    <x v="2"/>
    <n v="2024"/>
    <x v="9"/>
    <n v="35.462000000000003"/>
    <n v="0.117308668433816"/>
    <x v="1"/>
    <x v="0"/>
  </r>
  <r>
    <x v="1189"/>
    <x v="544"/>
    <x v="1011"/>
    <x v="0"/>
    <x v="14"/>
    <x v="1"/>
    <x v="0"/>
    <x v="22"/>
    <x v="2"/>
    <x v="700"/>
    <x v="2"/>
    <n v="164.85"/>
    <n v="8.99"/>
    <x v="1145"/>
    <x v="2"/>
    <n v="2024"/>
    <x v="9"/>
    <n v="140.1225"/>
    <n v="0.35104997412977901"/>
    <x v="0"/>
    <x v="0"/>
  </r>
  <r>
    <x v="1190"/>
    <x v="544"/>
    <x v="1012"/>
    <x v="2"/>
    <x v="8"/>
    <x v="1"/>
    <x v="1"/>
    <x v="25"/>
    <x v="6"/>
    <x v="754"/>
    <x v="2"/>
    <n v="95.91"/>
    <n v="12.12"/>
    <x v="1146"/>
    <x v="0"/>
    <n v="2024"/>
    <x v="9"/>
    <n v="81.523499999999999"/>
    <n v="0.40491392052598302"/>
    <x v="1"/>
    <x v="0"/>
  </r>
  <r>
    <x v="1191"/>
    <x v="545"/>
    <x v="721"/>
    <x v="2"/>
    <x v="10"/>
    <x v="3"/>
    <x v="0"/>
    <x v="29"/>
    <x v="2"/>
    <x v="1132"/>
    <x v="1"/>
    <n v="58.94"/>
    <n v="10.85"/>
    <x v="881"/>
    <x v="1"/>
    <n v="2024"/>
    <x v="9"/>
    <n v="47.152000000000001"/>
    <n v="0.16054462164913499"/>
    <x v="1"/>
    <x v="0"/>
  </r>
  <r>
    <x v="1192"/>
    <x v="545"/>
    <x v="1013"/>
    <x v="1"/>
    <x v="15"/>
    <x v="2"/>
    <x v="3"/>
    <x v="13"/>
    <x v="3"/>
    <x v="1133"/>
    <x v="1"/>
    <n v="104.5"/>
    <n v="11.85"/>
    <x v="1147"/>
    <x v="0"/>
    <n v="2024"/>
    <x v="9"/>
    <n v="83.6"/>
    <n v="0.32703349282296601"/>
    <x v="0"/>
    <x v="0"/>
  </r>
  <r>
    <x v="1193"/>
    <x v="545"/>
    <x v="502"/>
    <x v="0"/>
    <x v="3"/>
    <x v="1"/>
    <x v="3"/>
    <x v="37"/>
    <x v="6"/>
    <x v="1134"/>
    <x v="3"/>
    <n v="294.45999999999998"/>
    <n v="12.49"/>
    <x v="1148"/>
    <x v="3"/>
    <n v="2024"/>
    <x v="9"/>
    <n v="265.01400000000001"/>
    <n v="0.44669338223640997"/>
    <x v="0"/>
    <x v="0"/>
  </r>
  <r>
    <x v="1194"/>
    <x v="545"/>
    <x v="770"/>
    <x v="1"/>
    <x v="0"/>
    <x v="0"/>
    <x v="0"/>
    <x v="7"/>
    <x v="2"/>
    <x v="1135"/>
    <x v="4"/>
    <n v="73.64"/>
    <n v="6.68"/>
    <x v="1149"/>
    <x v="1"/>
    <n v="2024"/>
    <x v="9"/>
    <n v="69.957999999999998"/>
    <n v="0.347637153720804"/>
    <x v="1"/>
    <x v="0"/>
  </r>
  <r>
    <x v="1195"/>
    <x v="546"/>
    <x v="1014"/>
    <x v="1"/>
    <x v="16"/>
    <x v="3"/>
    <x v="2"/>
    <x v="8"/>
    <x v="0"/>
    <x v="1136"/>
    <x v="3"/>
    <n v="236.93"/>
    <n v="11.1"/>
    <x v="1150"/>
    <x v="3"/>
    <n v="2024"/>
    <x v="9"/>
    <n v="213.23699999999999"/>
    <n v="0.31833124645347699"/>
    <x v="0"/>
    <x v="0"/>
  </r>
  <r>
    <x v="1196"/>
    <x v="546"/>
    <x v="1015"/>
    <x v="0"/>
    <x v="5"/>
    <x v="3"/>
    <x v="1"/>
    <x v="2"/>
    <x v="7"/>
    <x v="1137"/>
    <x v="1"/>
    <n v="67.33"/>
    <n v="19.22"/>
    <x v="1151"/>
    <x v="1"/>
    <n v="2024"/>
    <x v="9"/>
    <n v="53.863999999999997"/>
    <n v="0.19010842120897101"/>
    <x v="1"/>
    <x v="0"/>
  </r>
  <r>
    <x v="1197"/>
    <x v="546"/>
    <x v="801"/>
    <x v="0"/>
    <x v="8"/>
    <x v="1"/>
    <x v="1"/>
    <x v="20"/>
    <x v="0"/>
    <x v="1138"/>
    <x v="0"/>
    <n v="41.91"/>
    <n v="10.72"/>
    <x v="1152"/>
    <x v="3"/>
    <n v="2024"/>
    <x v="9"/>
    <n v="41.91"/>
    <n v="0.294201861130995"/>
    <x v="1"/>
    <x v="0"/>
  </r>
  <r>
    <x v="1198"/>
    <x v="546"/>
    <x v="1016"/>
    <x v="1"/>
    <x v="5"/>
    <x v="3"/>
    <x v="0"/>
    <x v="3"/>
    <x v="5"/>
    <x v="1139"/>
    <x v="4"/>
    <n v="244.2"/>
    <n v="16.43"/>
    <x v="1153"/>
    <x v="2"/>
    <n v="2024"/>
    <x v="9"/>
    <n v="231.99"/>
    <n v="0.37238674080779299"/>
    <x v="0"/>
    <x v="0"/>
  </r>
  <r>
    <x v="1199"/>
    <x v="546"/>
    <x v="177"/>
    <x v="1"/>
    <x v="1"/>
    <x v="1"/>
    <x v="0"/>
    <x v="29"/>
    <x v="1"/>
    <x v="974"/>
    <x v="0"/>
    <n v="95.04"/>
    <n v="14.61"/>
    <x v="1154"/>
    <x v="0"/>
    <n v="2024"/>
    <x v="9"/>
    <n v="95.04"/>
    <n v="0.296296296296296"/>
    <x v="1"/>
    <x v="0"/>
  </r>
  <r>
    <x v="1200"/>
    <x v="547"/>
    <x v="1017"/>
    <x v="1"/>
    <x v="10"/>
    <x v="3"/>
    <x v="3"/>
    <x v="26"/>
    <x v="3"/>
    <x v="1140"/>
    <x v="4"/>
    <n v="45.45"/>
    <n v="11.34"/>
    <x v="1155"/>
    <x v="2"/>
    <n v="2024"/>
    <x v="9"/>
    <n v="43.177500000000002"/>
    <n v="0.23600254762318301"/>
    <x v="1"/>
    <x v="0"/>
  </r>
  <r>
    <x v="1201"/>
    <x v="548"/>
    <x v="857"/>
    <x v="0"/>
    <x v="18"/>
    <x v="4"/>
    <x v="0"/>
    <x v="28"/>
    <x v="0"/>
    <x v="1141"/>
    <x v="2"/>
    <n v="117.17"/>
    <n v="15.95"/>
    <x v="1156"/>
    <x v="0"/>
    <n v="2024"/>
    <x v="9"/>
    <n v="99.594499999999996"/>
    <n v="0.25503416353312702"/>
    <x v="0"/>
    <x v="0"/>
  </r>
  <r>
    <x v="1202"/>
    <x v="548"/>
    <x v="1018"/>
    <x v="1"/>
    <x v="3"/>
    <x v="1"/>
    <x v="3"/>
    <x v="30"/>
    <x v="6"/>
    <x v="1142"/>
    <x v="0"/>
    <n v="113.12"/>
    <n v="13.07"/>
    <x v="1157"/>
    <x v="3"/>
    <n v="2024"/>
    <x v="9"/>
    <n v="113.12"/>
    <n v="0.38445898161244701"/>
    <x v="0"/>
    <x v="0"/>
  </r>
  <r>
    <x v="1203"/>
    <x v="549"/>
    <x v="1019"/>
    <x v="1"/>
    <x v="5"/>
    <x v="3"/>
    <x v="3"/>
    <x v="24"/>
    <x v="2"/>
    <x v="1143"/>
    <x v="4"/>
    <n v="74.709999999999994"/>
    <n v="13.59"/>
    <x v="1158"/>
    <x v="1"/>
    <n v="2024"/>
    <x v="9"/>
    <n v="70.974500000000006"/>
    <n v="0.30715256888037201"/>
    <x v="1"/>
    <x v="0"/>
  </r>
  <r>
    <x v="1204"/>
    <x v="549"/>
    <x v="1020"/>
    <x v="1"/>
    <x v="0"/>
    <x v="0"/>
    <x v="2"/>
    <x v="39"/>
    <x v="0"/>
    <x v="1144"/>
    <x v="4"/>
    <n v="601.04"/>
    <n v="11.78"/>
    <x v="1159"/>
    <x v="0"/>
    <n v="2024"/>
    <x v="9"/>
    <n v="570.98800000000006"/>
    <n v="0.36718810202666202"/>
    <x v="2"/>
    <x v="0"/>
  </r>
  <r>
    <x v="1205"/>
    <x v="549"/>
    <x v="1021"/>
    <x v="0"/>
    <x v="18"/>
    <x v="4"/>
    <x v="1"/>
    <x v="2"/>
    <x v="10"/>
    <x v="660"/>
    <x v="3"/>
    <n v="96.31"/>
    <n v="25.6"/>
    <x v="1073"/>
    <x v="2"/>
    <n v="2024"/>
    <x v="9"/>
    <n v="86.679000000000002"/>
    <n v="0.26027065379157599"/>
    <x v="1"/>
    <x v="0"/>
  </r>
  <r>
    <x v="1206"/>
    <x v="550"/>
    <x v="1022"/>
    <x v="0"/>
    <x v="0"/>
    <x v="0"/>
    <x v="2"/>
    <x v="4"/>
    <x v="2"/>
    <x v="1145"/>
    <x v="6"/>
    <n v="266.31"/>
    <n v="6.95"/>
    <x v="1160"/>
    <x v="1"/>
    <n v="2024"/>
    <x v="9"/>
    <n v="199.73249999999999"/>
    <n v="0.231860112901005"/>
    <x v="0"/>
    <x v="0"/>
  </r>
  <r>
    <x v="1207"/>
    <x v="550"/>
    <x v="1023"/>
    <x v="1"/>
    <x v="14"/>
    <x v="1"/>
    <x v="3"/>
    <x v="37"/>
    <x v="8"/>
    <x v="1146"/>
    <x v="0"/>
    <n v="507"/>
    <n v="23.04"/>
    <x v="1161"/>
    <x v="3"/>
    <n v="2024"/>
    <x v="9"/>
    <n v="507"/>
    <n v="0.45455621301775201"/>
    <x v="2"/>
    <x v="0"/>
  </r>
  <r>
    <x v="1208"/>
    <x v="550"/>
    <x v="1024"/>
    <x v="1"/>
    <x v="1"/>
    <x v="1"/>
    <x v="1"/>
    <x v="19"/>
    <x v="2"/>
    <x v="1147"/>
    <x v="3"/>
    <n v="18.61"/>
    <n v="11.42"/>
    <x v="1162"/>
    <x v="0"/>
    <n v="2024"/>
    <x v="9"/>
    <n v="16.748999999999999"/>
    <n v="-0.12657472087885799"/>
    <x v="1"/>
    <x v="1"/>
  </r>
  <r>
    <x v="1209"/>
    <x v="550"/>
    <x v="1025"/>
    <x v="2"/>
    <x v="10"/>
    <x v="3"/>
    <x v="2"/>
    <x v="21"/>
    <x v="2"/>
    <x v="1148"/>
    <x v="3"/>
    <n v="97.81"/>
    <n v="11.65"/>
    <x v="1112"/>
    <x v="1"/>
    <n v="2024"/>
    <x v="9"/>
    <n v="88.028999999999996"/>
    <n v="0.23798975337672801"/>
    <x v="1"/>
    <x v="0"/>
  </r>
  <r>
    <x v="1210"/>
    <x v="550"/>
    <x v="138"/>
    <x v="0"/>
    <x v="11"/>
    <x v="2"/>
    <x v="3"/>
    <x v="27"/>
    <x v="8"/>
    <x v="1149"/>
    <x v="4"/>
    <n v="704.29"/>
    <n v="20.350000000000001"/>
    <x v="1163"/>
    <x v="2"/>
    <n v="2024"/>
    <x v="9"/>
    <n v="669.07550000000003"/>
    <n v="0.46819828255555601"/>
    <x v="2"/>
    <x v="0"/>
  </r>
  <r>
    <x v="1211"/>
    <x v="550"/>
    <x v="1026"/>
    <x v="2"/>
    <x v="15"/>
    <x v="2"/>
    <x v="1"/>
    <x v="20"/>
    <x v="2"/>
    <x v="1150"/>
    <x v="0"/>
    <n v="34.700000000000003"/>
    <n v="14.15"/>
    <x v="1164"/>
    <x v="2"/>
    <n v="2024"/>
    <x v="9"/>
    <n v="34.700000000000003"/>
    <n v="0.142363112391931"/>
    <x v="1"/>
    <x v="0"/>
  </r>
  <r>
    <x v="1212"/>
    <x v="551"/>
    <x v="1027"/>
    <x v="1"/>
    <x v="8"/>
    <x v="1"/>
    <x v="1"/>
    <x v="38"/>
    <x v="2"/>
    <x v="1151"/>
    <x v="0"/>
    <n v="16.579999999999998"/>
    <n v="8.77"/>
    <x v="781"/>
    <x v="2"/>
    <n v="2024"/>
    <x v="10"/>
    <n v="16.579999999999998"/>
    <n v="2.1109770808202699E-2"/>
    <x v="1"/>
    <x v="0"/>
  </r>
  <r>
    <x v="1213"/>
    <x v="552"/>
    <x v="482"/>
    <x v="1"/>
    <x v="17"/>
    <x v="3"/>
    <x v="2"/>
    <x v="21"/>
    <x v="5"/>
    <x v="439"/>
    <x v="4"/>
    <n v="397.19"/>
    <n v="12.72"/>
    <x v="1165"/>
    <x v="2"/>
    <n v="2024"/>
    <x v="10"/>
    <n v="377.33049999999997"/>
    <n v="0.35409276483083102"/>
    <x v="0"/>
    <x v="0"/>
  </r>
  <r>
    <x v="1214"/>
    <x v="552"/>
    <x v="1022"/>
    <x v="1"/>
    <x v="19"/>
    <x v="1"/>
    <x v="0"/>
    <x v="1"/>
    <x v="2"/>
    <x v="1152"/>
    <x v="2"/>
    <n v="246.09"/>
    <n v="11.27"/>
    <x v="1166"/>
    <x v="2"/>
    <n v="2024"/>
    <x v="10"/>
    <n v="209.1765"/>
    <n v="0.36132165898176899"/>
    <x v="0"/>
    <x v="0"/>
  </r>
  <r>
    <x v="1215"/>
    <x v="553"/>
    <x v="1028"/>
    <x v="1"/>
    <x v="13"/>
    <x v="0"/>
    <x v="2"/>
    <x v="5"/>
    <x v="3"/>
    <x v="1153"/>
    <x v="4"/>
    <n v="84.5"/>
    <n v="7.1"/>
    <x v="1167"/>
    <x v="0"/>
    <n v="2024"/>
    <x v="10"/>
    <n v="80.275000000000006"/>
    <n v="0.29934599813142299"/>
    <x v="1"/>
    <x v="0"/>
  </r>
  <r>
    <x v="1216"/>
    <x v="553"/>
    <x v="1029"/>
    <x v="1"/>
    <x v="17"/>
    <x v="3"/>
    <x v="2"/>
    <x v="21"/>
    <x v="3"/>
    <x v="1154"/>
    <x v="0"/>
    <n v="44.69"/>
    <n v="10.64"/>
    <x v="1168"/>
    <x v="0"/>
    <n v="2024"/>
    <x v="10"/>
    <n v="44.69"/>
    <n v="0.16200492280152201"/>
    <x v="1"/>
    <x v="0"/>
  </r>
  <r>
    <x v="1217"/>
    <x v="553"/>
    <x v="415"/>
    <x v="2"/>
    <x v="9"/>
    <x v="3"/>
    <x v="3"/>
    <x v="11"/>
    <x v="2"/>
    <x v="1155"/>
    <x v="3"/>
    <n v="190.93"/>
    <n v="12.94"/>
    <x v="1169"/>
    <x v="0"/>
    <n v="2024"/>
    <x v="10"/>
    <n v="171.83699999999999"/>
    <n v="0.41853617090614997"/>
    <x v="0"/>
    <x v="0"/>
  </r>
  <r>
    <x v="1218"/>
    <x v="553"/>
    <x v="1030"/>
    <x v="0"/>
    <x v="8"/>
    <x v="1"/>
    <x v="2"/>
    <x v="32"/>
    <x v="0"/>
    <x v="1156"/>
    <x v="2"/>
    <n v="141.35"/>
    <n v="13.74"/>
    <x v="1170"/>
    <x v="0"/>
    <n v="2024"/>
    <x v="10"/>
    <n v="120.14749999999999"/>
    <n v="0.231715183420379"/>
    <x v="0"/>
    <x v="0"/>
  </r>
  <r>
    <x v="1219"/>
    <x v="553"/>
    <x v="1031"/>
    <x v="2"/>
    <x v="13"/>
    <x v="0"/>
    <x v="0"/>
    <x v="7"/>
    <x v="6"/>
    <x v="1157"/>
    <x v="0"/>
    <n v="411.11"/>
    <n v="19.170000000000002"/>
    <x v="1171"/>
    <x v="3"/>
    <n v="2024"/>
    <x v="10"/>
    <n v="411.11"/>
    <n v="0.40337136046313599"/>
    <x v="0"/>
    <x v="0"/>
  </r>
  <r>
    <x v="1220"/>
    <x v="554"/>
    <x v="1032"/>
    <x v="1"/>
    <x v="5"/>
    <x v="3"/>
    <x v="2"/>
    <x v="14"/>
    <x v="10"/>
    <x v="1158"/>
    <x v="2"/>
    <n v="1645.59"/>
    <n v="23.4"/>
    <x v="1172"/>
    <x v="2"/>
    <n v="2024"/>
    <x v="10"/>
    <n v="1398.7515000000001"/>
    <n v="0.329293659381241"/>
    <x v="2"/>
    <x v="0"/>
  </r>
  <r>
    <x v="1221"/>
    <x v="555"/>
    <x v="1033"/>
    <x v="0"/>
    <x v="0"/>
    <x v="0"/>
    <x v="0"/>
    <x v="1"/>
    <x v="0"/>
    <x v="1159"/>
    <x v="3"/>
    <n v="232.74"/>
    <n v="10.84"/>
    <x v="1173"/>
    <x v="0"/>
    <n v="2024"/>
    <x v="10"/>
    <n v="209.46600000000001"/>
    <n v="0.38034812332311702"/>
    <x v="0"/>
    <x v="0"/>
  </r>
  <r>
    <x v="1222"/>
    <x v="555"/>
    <x v="1034"/>
    <x v="0"/>
    <x v="14"/>
    <x v="1"/>
    <x v="3"/>
    <x v="33"/>
    <x v="1"/>
    <x v="1160"/>
    <x v="3"/>
    <n v="77.650000000000006"/>
    <n v="11.54"/>
    <x v="1174"/>
    <x v="1"/>
    <n v="2024"/>
    <x v="10"/>
    <n v="69.885000000000005"/>
    <n v="0.32868283608785898"/>
    <x v="1"/>
    <x v="0"/>
  </r>
  <r>
    <x v="1223"/>
    <x v="555"/>
    <x v="1035"/>
    <x v="1"/>
    <x v="19"/>
    <x v="1"/>
    <x v="1"/>
    <x v="6"/>
    <x v="5"/>
    <x v="1161"/>
    <x v="0"/>
    <n v="104.2"/>
    <n v="15.39"/>
    <x v="694"/>
    <x v="2"/>
    <n v="2024"/>
    <x v="10"/>
    <n v="104.2"/>
    <n v="0.402303262955854"/>
    <x v="0"/>
    <x v="0"/>
  </r>
  <r>
    <x v="1224"/>
    <x v="556"/>
    <x v="1036"/>
    <x v="1"/>
    <x v="0"/>
    <x v="0"/>
    <x v="1"/>
    <x v="38"/>
    <x v="2"/>
    <x v="1162"/>
    <x v="0"/>
    <n v="12.64"/>
    <n v="8.56"/>
    <x v="1136"/>
    <x v="2"/>
    <n v="2024"/>
    <x v="10"/>
    <n v="12.64"/>
    <n v="-0.127373417721519"/>
    <x v="1"/>
    <x v="1"/>
  </r>
  <r>
    <x v="1225"/>
    <x v="557"/>
    <x v="1037"/>
    <x v="1"/>
    <x v="7"/>
    <x v="4"/>
    <x v="2"/>
    <x v="32"/>
    <x v="3"/>
    <x v="1163"/>
    <x v="1"/>
    <n v="32.729999999999997"/>
    <n v="12"/>
    <x v="1175"/>
    <x v="3"/>
    <n v="2024"/>
    <x v="10"/>
    <n v="26.184000000000001"/>
    <n v="-0.145890620226092"/>
    <x v="1"/>
    <x v="1"/>
  </r>
  <r>
    <x v="1226"/>
    <x v="557"/>
    <x v="1038"/>
    <x v="2"/>
    <x v="5"/>
    <x v="3"/>
    <x v="2"/>
    <x v="39"/>
    <x v="7"/>
    <x v="1164"/>
    <x v="3"/>
    <n v="1236.0999999999999"/>
    <n v="16.97"/>
    <x v="1176"/>
    <x v="2"/>
    <n v="2024"/>
    <x v="10"/>
    <n v="1112.49"/>
    <n v="0.355122293234096"/>
    <x v="2"/>
    <x v="0"/>
  </r>
  <r>
    <x v="1227"/>
    <x v="557"/>
    <x v="1039"/>
    <x v="1"/>
    <x v="12"/>
    <x v="4"/>
    <x v="2"/>
    <x v="36"/>
    <x v="2"/>
    <x v="1165"/>
    <x v="0"/>
    <n v="577.02"/>
    <n v="13.32"/>
    <x v="1177"/>
    <x v="3"/>
    <n v="2024"/>
    <x v="10"/>
    <n v="577.02"/>
    <n v="0.37691934421683798"/>
    <x v="2"/>
    <x v="0"/>
  </r>
  <r>
    <x v="1228"/>
    <x v="557"/>
    <x v="1040"/>
    <x v="1"/>
    <x v="13"/>
    <x v="0"/>
    <x v="3"/>
    <x v="27"/>
    <x v="1"/>
    <x v="1166"/>
    <x v="3"/>
    <n v="205.27"/>
    <n v="7.42"/>
    <x v="1178"/>
    <x v="1"/>
    <n v="2024"/>
    <x v="10"/>
    <n v="184.74299999999999"/>
    <n v="0.45365724276427299"/>
    <x v="0"/>
    <x v="0"/>
  </r>
  <r>
    <x v="1229"/>
    <x v="557"/>
    <x v="1041"/>
    <x v="1"/>
    <x v="3"/>
    <x v="1"/>
    <x v="3"/>
    <x v="9"/>
    <x v="0"/>
    <x v="1167"/>
    <x v="4"/>
    <n v="165.73"/>
    <n v="14.36"/>
    <x v="1179"/>
    <x v="2"/>
    <n v="2024"/>
    <x v="10"/>
    <n v="157.4435"/>
    <n v="0.407384236249829"/>
    <x v="0"/>
    <x v="0"/>
  </r>
  <r>
    <x v="1230"/>
    <x v="557"/>
    <x v="1042"/>
    <x v="1"/>
    <x v="9"/>
    <x v="3"/>
    <x v="1"/>
    <x v="10"/>
    <x v="14"/>
    <x v="441"/>
    <x v="0"/>
    <n v="105"/>
    <n v="20.9"/>
    <x v="1180"/>
    <x v="1"/>
    <n v="2024"/>
    <x v="10"/>
    <n v="105"/>
    <n v="0.35095238095238102"/>
    <x v="0"/>
    <x v="0"/>
  </r>
  <r>
    <x v="1231"/>
    <x v="558"/>
    <x v="1043"/>
    <x v="2"/>
    <x v="2"/>
    <x v="0"/>
    <x v="0"/>
    <x v="3"/>
    <x v="2"/>
    <x v="1168"/>
    <x v="4"/>
    <n v="106.82"/>
    <n v="9.83"/>
    <x v="1181"/>
    <x v="1"/>
    <n v="2024"/>
    <x v="10"/>
    <n v="101.479"/>
    <n v="0.34637708294326902"/>
    <x v="0"/>
    <x v="0"/>
  </r>
  <r>
    <x v="1232"/>
    <x v="559"/>
    <x v="1044"/>
    <x v="0"/>
    <x v="9"/>
    <x v="3"/>
    <x v="2"/>
    <x v="15"/>
    <x v="5"/>
    <x v="1169"/>
    <x v="2"/>
    <n v="790.88"/>
    <n v="11.72"/>
    <x v="1182"/>
    <x v="3"/>
    <n v="2024"/>
    <x v="10"/>
    <n v="672.24800000000005"/>
    <n v="0.32858409396532201"/>
    <x v="2"/>
    <x v="0"/>
  </r>
  <r>
    <x v="1233"/>
    <x v="559"/>
    <x v="1045"/>
    <x v="1"/>
    <x v="14"/>
    <x v="1"/>
    <x v="0"/>
    <x v="18"/>
    <x v="3"/>
    <x v="748"/>
    <x v="0"/>
    <n v="57.7"/>
    <n v="7.94"/>
    <x v="1183"/>
    <x v="2"/>
    <n v="2024"/>
    <x v="10"/>
    <n v="57.7"/>
    <n v="0.31230502599653398"/>
    <x v="1"/>
    <x v="0"/>
  </r>
  <r>
    <x v="1234"/>
    <x v="560"/>
    <x v="983"/>
    <x v="2"/>
    <x v="0"/>
    <x v="0"/>
    <x v="0"/>
    <x v="7"/>
    <x v="1"/>
    <x v="1170"/>
    <x v="0"/>
    <n v="297.04000000000002"/>
    <n v="11.24"/>
    <x v="1184"/>
    <x v="2"/>
    <n v="2024"/>
    <x v="10"/>
    <n v="297.04000000000002"/>
    <n v="0.41216671155399998"/>
    <x v="0"/>
    <x v="0"/>
  </r>
  <r>
    <x v="1235"/>
    <x v="561"/>
    <x v="1046"/>
    <x v="2"/>
    <x v="19"/>
    <x v="1"/>
    <x v="0"/>
    <x v="35"/>
    <x v="1"/>
    <x v="1171"/>
    <x v="4"/>
    <n v="252.13"/>
    <n v="12.59"/>
    <x v="1185"/>
    <x v="1"/>
    <n v="2024"/>
    <x v="10"/>
    <n v="239.52350000000001"/>
    <n v="0.39065060422046299"/>
    <x v="0"/>
    <x v="0"/>
  </r>
  <r>
    <x v="1236"/>
    <x v="562"/>
    <x v="1047"/>
    <x v="1"/>
    <x v="0"/>
    <x v="0"/>
    <x v="3"/>
    <x v="13"/>
    <x v="3"/>
    <x v="1172"/>
    <x v="4"/>
    <n v="43.01"/>
    <n v="6.72"/>
    <x v="1186"/>
    <x v="1"/>
    <n v="2024"/>
    <x v="10"/>
    <n v="40.859499999999997"/>
    <n v="0.33407163572730902"/>
    <x v="1"/>
    <x v="0"/>
  </r>
  <r>
    <x v="1237"/>
    <x v="562"/>
    <x v="878"/>
    <x v="0"/>
    <x v="2"/>
    <x v="0"/>
    <x v="1"/>
    <x v="19"/>
    <x v="2"/>
    <x v="1173"/>
    <x v="0"/>
    <n v="13.72"/>
    <n v="8.1"/>
    <x v="1187"/>
    <x v="3"/>
    <n v="2024"/>
    <x v="10"/>
    <n v="13.72"/>
    <n v="-4.0087463556851298E-2"/>
    <x v="1"/>
    <x v="1"/>
  </r>
  <r>
    <x v="1238"/>
    <x v="563"/>
    <x v="1048"/>
    <x v="1"/>
    <x v="9"/>
    <x v="3"/>
    <x v="0"/>
    <x v="31"/>
    <x v="6"/>
    <x v="1174"/>
    <x v="0"/>
    <n v="867.23"/>
    <n v="19.559999999999999"/>
    <x v="1188"/>
    <x v="1"/>
    <n v="2024"/>
    <x v="10"/>
    <n v="867.23"/>
    <n v="0.42744139386322"/>
    <x v="2"/>
    <x v="0"/>
  </r>
  <r>
    <x v="1239"/>
    <x v="563"/>
    <x v="1049"/>
    <x v="1"/>
    <x v="19"/>
    <x v="1"/>
    <x v="1"/>
    <x v="23"/>
    <x v="3"/>
    <x v="1175"/>
    <x v="3"/>
    <n v="14.19"/>
    <n v="8.7799999999999994"/>
    <x v="1189"/>
    <x v="2"/>
    <n v="2024"/>
    <x v="10"/>
    <n v="12.771000000000001"/>
    <n v="-0.13233106256362101"/>
    <x v="1"/>
    <x v="1"/>
  </r>
  <r>
    <x v="1240"/>
    <x v="563"/>
    <x v="1050"/>
    <x v="0"/>
    <x v="0"/>
    <x v="0"/>
    <x v="1"/>
    <x v="20"/>
    <x v="3"/>
    <x v="1176"/>
    <x v="2"/>
    <n v="7.03"/>
    <n v="5.6"/>
    <x v="1190"/>
    <x v="1"/>
    <n v="2024"/>
    <x v="10"/>
    <n v="5.9755000000000003"/>
    <n v="-0.38323152874236499"/>
    <x v="1"/>
    <x v="1"/>
  </r>
  <r>
    <x v="1241"/>
    <x v="563"/>
    <x v="1051"/>
    <x v="1"/>
    <x v="19"/>
    <x v="1"/>
    <x v="3"/>
    <x v="16"/>
    <x v="11"/>
    <x v="1177"/>
    <x v="3"/>
    <n v="358.18"/>
    <n v="16.03"/>
    <x v="1191"/>
    <x v="1"/>
    <n v="2024"/>
    <x v="10"/>
    <n v="322.36200000000002"/>
    <n v="0.44409700895266802"/>
    <x v="0"/>
    <x v="0"/>
  </r>
  <r>
    <x v="1242"/>
    <x v="563"/>
    <x v="1052"/>
    <x v="1"/>
    <x v="10"/>
    <x v="3"/>
    <x v="1"/>
    <x v="25"/>
    <x v="0"/>
    <x v="1178"/>
    <x v="0"/>
    <n v="41.58"/>
    <n v="13.05"/>
    <x v="1192"/>
    <x v="2"/>
    <n v="2024"/>
    <x v="10"/>
    <n v="41.58"/>
    <n v="0.236171236171236"/>
    <x v="1"/>
    <x v="0"/>
  </r>
  <r>
    <x v="1243"/>
    <x v="564"/>
    <x v="1053"/>
    <x v="2"/>
    <x v="0"/>
    <x v="0"/>
    <x v="2"/>
    <x v="32"/>
    <x v="1"/>
    <x v="1179"/>
    <x v="4"/>
    <n v="138.81"/>
    <n v="13.3"/>
    <x v="1193"/>
    <x v="3"/>
    <n v="2024"/>
    <x v="10"/>
    <n v="131.86949999999999"/>
    <n v="0.28695035622338799"/>
    <x v="0"/>
    <x v="0"/>
  </r>
  <r>
    <x v="1244"/>
    <x v="565"/>
    <x v="1054"/>
    <x v="1"/>
    <x v="10"/>
    <x v="3"/>
    <x v="0"/>
    <x v="3"/>
    <x v="3"/>
    <x v="1163"/>
    <x v="2"/>
    <n v="34.770000000000003"/>
    <n v="10.18"/>
    <x v="413"/>
    <x v="0"/>
    <n v="2024"/>
    <x v="10"/>
    <n v="29.554500000000001"/>
    <n v="7.0716811314689806E-2"/>
    <x v="1"/>
    <x v="0"/>
  </r>
  <r>
    <x v="1245"/>
    <x v="566"/>
    <x v="277"/>
    <x v="0"/>
    <x v="0"/>
    <x v="0"/>
    <x v="0"/>
    <x v="35"/>
    <x v="0"/>
    <x v="1180"/>
    <x v="0"/>
    <n v="188.31"/>
    <n v="11.8"/>
    <x v="1194"/>
    <x v="1"/>
    <n v="2024"/>
    <x v="10"/>
    <n v="188.31"/>
    <n v="0.38734002442780502"/>
    <x v="0"/>
    <x v="0"/>
  </r>
  <r>
    <x v="1246"/>
    <x v="566"/>
    <x v="1055"/>
    <x v="1"/>
    <x v="10"/>
    <x v="3"/>
    <x v="1"/>
    <x v="6"/>
    <x v="1"/>
    <x v="657"/>
    <x v="3"/>
    <n v="35.42"/>
    <n v="13.78"/>
    <x v="1195"/>
    <x v="0"/>
    <n v="2024"/>
    <x v="10"/>
    <n v="31.878"/>
    <n v="0.123282514586862"/>
    <x v="1"/>
    <x v="0"/>
  </r>
  <r>
    <x v="1247"/>
    <x v="567"/>
    <x v="993"/>
    <x v="1"/>
    <x v="19"/>
    <x v="1"/>
    <x v="0"/>
    <x v="35"/>
    <x v="2"/>
    <x v="1181"/>
    <x v="1"/>
    <n v="63.38"/>
    <n v="10.199999999999999"/>
    <x v="1196"/>
    <x v="1"/>
    <n v="2024"/>
    <x v="10"/>
    <n v="50.704000000000001"/>
    <n v="0.18953139791732401"/>
    <x v="1"/>
    <x v="0"/>
  </r>
  <r>
    <x v="1248"/>
    <x v="567"/>
    <x v="1056"/>
    <x v="1"/>
    <x v="5"/>
    <x v="3"/>
    <x v="3"/>
    <x v="33"/>
    <x v="3"/>
    <x v="1078"/>
    <x v="2"/>
    <n v="27.06"/>
    <n v="11.46"/>
    <x v="1197"/>
    <x v="2"/>
    <n v="2024"/>
    <x v="10"/>
    <n v="23.001000000000001"/>
    <n v="-1.39124385896265E-2"/>
    <x v="1"/>
    <x v="1"/>
  </r>
  <r>
    <x v="1249"/>
    <x v="567"/>
    <x v="109"/>
    <x v="0"/>
    <x v="15"/>
    <x v="2"/>
    <x v="2"/>
    <x v="4"/>
    <x v="5"/>
    <x v="1182"/>
    <x v="4"/>
    <n v="1137.58"/>
    <n v="17.88"/>
    <x v="1198"/>
    <x v="2"/>
    <n v="2024"/>
    <x v="10"/>
    <n v="1080.701"/>
    <n v="0.37126827864506501"/>
    <x v="2"/>
    <x v="0"/>
  </r>
  <r>
    <x v="1250"/>
    <x v="567"/>
    <x v="1057"/>
    <x v="0"/>
    <x v="0"/>
    <x v="0"/>
    <x v="1"/>
    <x v="10"/>
    <x v="4"/>
    <x v="1183"/>
    <x v="1"/>
    <n v="31.2"/>
    <n v="16.690000000000001"/>
    <x v="1199"/>
    <x v="2"/>
    <n v="2024"/>
    <x v="10"/>
    <n v="24.96"/>
    <n v="-0.121794871794872"/>
    <x v="1"/>
    <x v="1"/>
  </r>
  <r>
    <x v="1251"/>
    <x v="567"/>
    <x v="1058"/>
    <x v="2"/>
    <x v="1"/>
    <x v="1"/>
    <x v="3"/>
    <x v="13"/>
    <x v="5"/>
    <x v="1184"/>
    <x v="2"/>
    <n v="336.43"/>
    <n v="12.69"/>
    <x v="1200"/>
    <x v="1"/>
    <n v="2024"/>
    <x v="10"/>
    <n v="285.96550000000002"/>
    <n v="0.44005308332648502"/>
    <x v="0"/>
    <x v="0"/>
  </r>
  <r>
    <x v="1252"/>
    <x v="568"/>
    <x v="1059"/>
    <x v="1"/>
    <x v="8"/>
    <x v="1"/>
    <x v="0"/>
    <x v="18"/>
    <x v="9"/>
    <x v="1185"/>
    <x v="3"/>
    <n v="417.87"/>
    <n v="22.39"/>
    <x v="1201"/>
    <x v="1"/>
    <n v="2024"/>
    <x v="10"/>
    <n v="376.08300000000003"/>
    <n v="0.372550740129174"/>
    <x v="0"/>
    <x v="0"/>
  </r>
  <r>
    <x v="1253"/>
    <x v="568"/>
    <x v="628"/>
    <x v="1"/>
    <x v="3"/>
    <x v="1"/>
    <x v="2"/>
    <x v="36"/>
    <x v="4"/>
    <x v="1186"/>
    <x v="0"/>
    <n v="1558.5"/>
    <n v="10.69"/>
    <x v="1202"/>
    <x v="1"/>
    <n v="2024"/>
    <x v="10"/>
    <n v="1558.5"/>
    <n v="0.39314084055181298"/>
    <x v="2"/>
    <x v="0"/>
  </r>
  <r>
    <x v="1254"/>
    <x v="569"/>
    <x v="1060"/>
    <x v="0"/>
    <x v="2"/>
    <x v="0"/>
    <x v="0"/>
    <x v="7"/>
    <x v="5"/>
    <x v="1187"/>
    <x v="2"/>
    <n v="257.97000000000003"/>
    <n v="16.21"/>
    <x v="1203"/>
    <x v="3"/>
    <n v="2024"/>
    <x v="10"/>
    <n v="219.27449999999999"/>
    <n v="0.34130735676058999"/>
    <x v="0"/>
    <x v="0"/>
  </r>
  <r>
    <x v="1255"/>
    <x v="569"/>
    <x v="196"/>
    <x v="1"/>
    <x v="2"/>
    <x v="0"/>
    <x v="1"/>
    <x v="20"/>
    <x v="2"/>
    <x v="1188"/>
    <x v="0"/>
    <n v="29.56"/>
    <n v="6.96"/>
    <x v="39"/>
    <x v="2"/>
    <n v="2024"/>
    <x v="10"/>
    <n v="29.56"/>
    <n v="0.31461434370771302"/>
    <x v="1"/>
    <x v="0"/>
  </r>
  <r>
    <x v="1256"/>
    <x v="569"/>
    <x v="1061"/>
    <x v="1"/>
    <x v="3"/>
    <x v="1"/>
    <x v="1"/>
    <x v="19"/>
    <x v="3"/>
    <x v="793"/>
    <x v="0"/>
    <n v="13.3"/>
    <n v="7.89"/>
    <x v="1204"/>
    <x v="0"/>
    <n v="2024"/>
    <x v="10"/>
    <n v="13.3"/>
    <n v="-4.2857142857142802E-2"/>
    <x v="1"/>
    <x v="1"/>
  </r>
  <r>
    <x v="1257"/>
    <x v="570"/>
    <x v="528"/>
    <x v="1"/>
    <x v="13"/>
    <x v="0"/>
    <x v="3"/>
    <x v="33"/>
    <x v="1"/>
    <x v="1189"/>
    <x v="4"/>
    <n v="70.64"/>
    <n v="9.08"/>
    <x v="1205"/>
    <x v="1"/>
    <n v="2024"/>
    <x v="10"/>
    <n v="67.108000000000004"/>
    <n v="0.36329498718483599"/>
    <x v="1"/>
    <x v="0"/>
  </r>
  <r>
    <x v="1258"/>
    <x v="570"/>
    <x v="473"/>
    <x v="1"/>
    <x v="10"/>
    <x v="3"/>
    <x v="3"/>
    <x v="11"/>
    <x v="6"/>
    <x v="1190"/>
    <x v="3"/>
    <n v="474.07"/>
    <n v="19.97"/>
    <x v="1206"/>
    <x v="2"/>
    <n v="2024"/>
    <x v="10"/>
    <n v="426.66300000000001"/>
    <n v="0.44700384143926197"/>
    <x v="0"/>
    <x v="0"/>
  </r>
  <r>
    <x v="1259"/>
    <x v="571"/>
    <x v="1062"/>
    <x v="1"/>
    <x v="17"/>
    <x v="3"/>
    <x v="2"/>
    <x v="5"/>
    <x v="0"/>
    <x v="1191"/>
    <x v="4"/>
    <n v="518.07000000000005"/>
    <n v="11.35"/>
    <x v="1207"/>
    <x v="2"/>
    <n v="2024"/>
    <x v="10"/>
    <n v="492.16649999999998"/>
    <n v="0.36475461048242802"/>
    <x v="2"/>
    <x v="0"/>
  </r>
  <r>
    <x v="1260"/>
    <x v="571"/>
    <x v="1063"/>
    <x v="2"/>
    <x v="2"/>
    <x v="0"/>
    <x v="1"/>
    <x v="2"/>
    <x v="5"/>
    <x v="1192"/>
    <x v="4"/>
    <n v="74.150000000000006"/>
    <n v="14.63"/>
    <x v="1208"/>
    <x v="2"/>
    <n v="2024"/>
    <x v="10"/>
    <n v="70.442499999999995"/>
    <n v="0.34638180075948499"/>
    <x v="1"/>
    <x v="0"/>
  </r>
  <r>
    <x v="1261"/>
    <x v="571"/>
    <x v="1064"/>
    <x v="0"/>
    <x v="19"/>
    <x v="1"/>
    <x v="1"/>
    <x v="6"/>
    <x v="2"/>
    <x v="1193"/>
    <x v="4"/>
    <n v="21"/>
    <n v="8.64"/>
    <x v="1209"/>
    <x v="2"/>
    <n v="2024"/>
    <x v="10"/>
    <n v="19.95"/>
    <n v="0.12080200501253099"/>
    <x v="1"/>
    <x v="0"/>
  </r>
  <r>
    <x v="1262"/>
    <x v="572"/>
    <x v="1065"/>
    <x v="2"/>
    <x v="0"/>
    <x v="0"/>
    <x v="1"/>
    <x v="17"/>
    <x v="3"/>
    <x v="1194"/>
    <x v="3"/>
    <n v="6.25"/>
    <n v="5.78"/>
    <x v="1210"/>
    <x v="1"/>
    <n v="2024"/>
    <x v="10"/>
    <n v="5.625"/>
    <n v="-0.47288888888888903"/>
    <x v="1"/>
    <x v="1"/>
  </r>
  <r>
    <x v="1263"/>
    <x v="572"/>
    <x v="1066"/>
    <x v="2"/>
    <x v="12"/>
    <x v="4"/>
    <x v="1"/>
    <x v="17"/>
    <x v="6"/>
    <x v="659"/>
    <x v="1"/>
    <n v="96.15"/>
    <n v="24.44"/>
    <x v="1211"/>
    <x v="2"/>
    <n v="2024"/>
    <x v="10"/>
    <n v="76.92"/>
    <n v="0.22906916276651099"/>
    <x v="1"/>
    <x v="0"/>
  </r>
  <r>
    <x v="1264"/>
    <x v="572"/>
    <x v="797"/>
    <x v="0"/>
    <x v="8"/>
    <x v="1"/>
    <x v="3"/>
    <x v="27"/>
    <x v="2"/>
    <x v="1195"/>
    <x v="3"/>
    <n v="90.4"/>
    <n v="9.49"/>
    <x v="1212"/>
    <x v="1"/>
    <n v="2024"/>
    <x v="10"/>
    <n v="81.36"/>
    <n v="0.37721238938053098"/>
    <x v="1"/>
    <x v="0"/>
  </r>
  <r>
    <x v="1265"/>
    <x v="573"/>
    <x v="1067"/>
    <x v="1"/>
    <x v="1"/>
    <x v="1"/>
    <x v="0"/>
    <x v="18"/>
    <x v="3"/>
    <x v="1196"/>
    <x v="1"/>
    <n v="52.9"/>
    <n v="8.77"/>
    <x v="1213"/>
    <x v="3"/>
    <n v="2024"/>
    <x v="10"/>
    <n v="42.32"/>
    <n v="0.18336483931947101"/>
    <x v="1"/>
    <x v="0"/>
  </r>
  <r>
    <x v="1266"/>
    <x v="574"/>
    <x v="1068"/>
    <x v="0"/>
    <x v="2"/>
    <x v="0"/>
    <x v="3"/>
    <x v="26"/>
    <x v="1"/>
    <x v="472"/>
    <x v="6"/>
    <n v="109.83"/>
    <n v="11.22"/>
    <x v="148"/>
    <x v="2"/>
    <n v="2024"/>
    <x v="10"/>
    <n v="82.372500000000002"/>
    <n v="0.30823393729703502"/>
    <x v="0"/>
    <x v="0"/>
  </r>
  <r>
    <x v="1267"/>
    <x v="574"/>
    <x v="54"/>
    <x v="0"/>
    <x v="0"/>
    <x v="0"/>
    <x v="0"/>
    <x v="35"/>
    <x v="8"/>
    <x v="181"/>
    <x v="3"/>
    <n v="591.19000000000005"/>
    <n v="18.95"/>
    <x v="1214"/>
    <x v="2"/>
    <n v="2024"/>
    <x v="10"/>
    <n v="532.07100000000003"/>
    <n v="0.396488438573048"/>
    <x v="2"/>
    <x v="0"/>
  </r>
  <r>
    <x v="1268"/>
    <x v="574"/>
    <x v="1069"/>
    <x v="0"/>
    <x v="8"/>
    <x v="1"/>
    <x v="3"/>
    <x v="13"/>
    <x v="6"/>
    <x v="1197"/>
    <x v="0"/>
    <n v="573.79"/>
    <n v="17.03"/>
    <x v="1215"/>
    <x v="2"/>
    <n v="2024"/>
    <x v="10"/>
    <n v="573.79"/>
    <n v="0.47032886596141399"/>
    <x v="2"/>
    <x v="0"/>
  </r>
  <r>
    <x v="1269"/>
    <x v="574"/>
    <x v="259"/>
    <x v="1"/>
    <x v="2"/>
    <x v="0"/>
    <x v="2"/>
    <x v="36"/>
    <x v="4"/>
    <x v="1198"/>
    <x v="4"/>
    <n v="688.05"/>
    <n v="16.62"/>
    <x v="1216"/>
    <x v="1"/>
    <n v="2024"/>
    <x v="10"/>
    <n v="653.64750000000004"/>
    <n v="0.36238186484305401"/>
    <x v="2"/>
    <x v="0"/>
  </r>
  <r>
    <x v="1270"/>
    <x v="575"/>
    <x v="1070"/>
    <x v="1"/>
    <x v="7"/>
    <x v="4"/>
    <x v="0"/>
    <x v="22"/>
    <x v="4"/>
    <x v="1199"/>
    <x v="0"/>
    <n v="375.54"/>
    <n v="23.28"/>
    <x v="1217"/>
    <x v="1"/>
    <n v="2024"/>
    <x v="11"/>
    <n v="375.54"/>
    <n v="0.38800127815945001"/>
    <x v="0"/>
    <x v="0"/>
  </r>
  <r>
    <x v="1271"/>
    <x v="576"/>
    <x v="1071"/>
    <x v="0"/>
    <x v="14"/>
    <x v="1"/>
    <x v="0"/>
    <x v="35"/>
    <x v="7"/>
    <x v="1200"/>
    <x v="2"/>
    <n v="429.35"/>
    <n v="19.46"/>
    <x v="1218"/>
    <x v="2"/>
    <n v="2024"/>
    <x v="11"/>
    <n v="364.94749999999999"/>
    <n v="0.36188766877427597"/>
    <x v="0"/>
    <x v="0"/>
  </r>
  <r>
    <x v="1272"/>
    <x v="577"/>
    <x v="854"/>
    <x v="1"/>
    <x v="8"/>
    <x v="1"/>
    <x v="3"/>
    <x v="33"/>
    <x v="4"/>
    <x v="1201"/>
    <x v="2"/>
    <n v="197.98"/>
    <n v="19.03"/>
    <x v="1219"/>
    <x v="2"/>
    <n v="2024"/>
    <x v="11"/>
    <n v="168.28299999999999"/>
    <n v="0.37133875673716299"/>
    <x v="0"/>
    <x v="0"/>
  </r>
  <r>
    <x v="1273"/>
    <x v="577"/>
    <x v="1072"/>
    <x v="0"/>
    <x v="18"/>
    <x v="4"/>
    <x v="2"/>
    <x v="14"/>
    <x v="3"/>
    <x v="1202"/>
    <x v="2"/>
    <n v="379.59"/>
    <n v="10.59"/>
    <x v="1220"/>
    <x v="1"/>
    <n v="2024"/>
    <x v="11"/>
    <n v="322.6515"/>
    <n v="0.31318620864926999"/>
    <x v="0"/>
    <x v="0"/>
  </r>
  <r>
    <x v="1274"/>
    <x v="577"/>
    <x v="685"/>
    <x v="2"/>
    <x v="2"/>
    <x v="0"/>
    <x v="3"/>
    <x v="26"/>
    <x v="0"/>
    <x v="1203"/>
    <x v="2"/>
    <n v="62.09"/>
    <n v="8.1"/>
    <x v="1221"/>
    <x v="0"/>
    <n v="2024"/>
    <x v="11"/>
    <n v="52.776499999999999"/>
    <n v="0.33082906217729502"/>
    <x v="1"/>
    <x v="0"/>
  </r>
  <r>
    <x v="1275"/>
    <x v="578"/>
    <x v="1073"/>
    <x v="1"/>
    <x v="9"/>
    <x v="3"/>
    <x v="1"/>
    <x v="23"/>
    <x v="4"/>
    <x v="1204"/>
    <x v="3"/>
    <n v="39.74"/>
    <n v="18.57"/>
    <x v="1222"/>
    <x v="3"/>
    <n v="2024"/>
    <x v="11"/>
    <n v="35.765999999999998"/>
    <n v="3.6347369009674002E-2"/>
    <x v="1"/>
    <x v="0"/>
  </r>
  <r>
    <x v="1276"/>
    <x v="578"/>
    <x v="1074"/>
    <x v="0"/>
    <x v="13"/>
    <x v="0"/>
    <x v="2"/>
    <x v="4"/>
    <x v="0"/>
    <x v="1205"/>
    <x v="3"/>
    <n v="675.03"/>
    <n v="7.92"/>
    <x v="1223"/>
    <x v="2"/>
    <n v="2024"/>
    <x v="11"/>
    <n v="607.52700000000004"/>
    <n v="0.35733391273145099"/>
    <x v="2"/>
    <x v="0"/>
  </r>
  <r>
    <x v="1277"/>
    <x v="579"/>
    <x v="1075"/>
    <x v="0"/>
    <x v="9"/>
    <x v="3"/>
    <x v="1"/>
    <x v="20"/>
    <x v="3"/>
    <x v="375"/>
    <x v="6"/>
    <n v="12.35"/>
    <n v="11.48"/>
    <x v="1224"/>
    <x v="2"/>
    <n v="2024"/>
    <x v="11"/>
    <n v="9.2624999999999993"/>
    <n v="-0.70607287449392697"/>
    <x v="1"/>
    <x v="1"/>
  </r>
  <r>
    <x v="1278"/>
    <x v="580"/>
    <x v="1076"/>
    <x v="0"/>
    <x v="13"/>
    <x v="0"/>
    <x v="3"/>
    <x v="24"/>
    <x v="2"/>
    <x v="1206"/>
    <x v="4"/>
    <n v="126.41"/>
    <n v="9.3800000000000008"/>
    <x v="1225"/>
    <x v="1"/>
    <n v="2024"/>
    <x v="11"/>
    <n v="120.0895"/>
    <n v="0.42051969572693698"/>
    <x v="0"/>
    <x v="0"/>
  </r>
  <r>
    <x v="1279"/>
    <x v="580"/>
    <x v="1077"/>
    <x v="0"/>
    <x v="19"/>
    <x v="1"/>
    <x v="3"/>
    <x v="33"/>
    <x v="0"/>
    <x v="1207"/>
    <x v="0"/>
    <n v="136.29"/>
    <n v="9.9499999999999993"/>
    <x v="1226"/>
    <x v="1"/>
    <n v="2024"/>
    <x v="11"/>
    <n v="136.29"/>
    <n v="0.42695722356739302"/>
    <x v="0"/>
    <x v="0"/>
  </r>
  <r>
    <x v="1280"/>
    <x v="580"/>
    <x v="1078"/>
    <x v="1"/>
    <x v="0"/>
    <x v="0"/>
    <x v="1"/>
    <x v="23"/>
    <x v="2"/>
    <x v="1208"/>
    <x v="0"/>
    <n v="23.28"/>
    <n v="8.51"/>
    <x v="1227"/>
    <x v="1"/>
    <n v="2024"/>
    <x v="11"/>
    <n v="23.28"/>
    <n v="0.18427835051546401"/>
    <x v="1"/>
    <x v="0"/>
  </r>
  <r>
    <x v="1281"/>
    <x v="581"/>
    <x v="1079"/>
    <x v="1"/>
    <x v="13"/>
    <x v="0"/>
    <x v="0"/>
    <x v="1"/>
    <x v="1"/>
    <x v="1209"/>
    <x v="0"/>
    <n v="687.44"/>
    <n v="13.48"/>
    <x v="1228"/>
    <x v="2"/>
    <n v="2024"/>
    <x v="11"/>
    <n v="687.44"/>
    <n v="0.430393925288025"/>
    <x v="2"/>
    <x v="0"/>
  </r>
  <r>
    <x v="1282"/>
    <x v="581"/>
    <x v="1080"/>
    <x v="2"/>
    <x v="16"/>
    <x v="3"/>
    <x v="0"/>
    <x v="18"/>
    <x v="3"/>
    <x v="472"/>
    <x v="3"/>
    <n v="32.950000000000003"/>
    <n v="10.73"/>
    <x v="445"/>
    <x v="2"/>
    <n v="2024"/>
    <x v="11"/>
    <n v="29.655000000000001"/>
    <n v="7.0139942674085298E-2"/>
    <x v="1"/>
    <x v="0"/>
  </r>
  <r>
    <x v="1283"/>
    <x v="581"/>
    <x v="989"/>
    <x v="1"/>
    <x v="13"/>
    <x v="0"/>
    <x v="3"/>
    <x v="37"/>
    <x v="0"/>
    <x v="1210"/>
    <x v="0"/>
    <n v="77.040000000000006"/>
    <n v="10.44"/>
    <x v="1229"/>
    <x v="1"/>
    <n v="2024"/>
    <x v="11"/>
    <n v="77.040000000000006"/>
    <n v="0.36448598130841098"/>
    <x v="1"/>
    <x v="0"/>
  </r>
  <r>
    <x v="1284"/>
    <x v="581"/>
    <x v="1081"/>
    <x v="1"/>
    <x v="11"/>
    <x v="2"/>
    <x v="3"/>
    <x v="37"/>
    <x v="1"/>
    <x v="1211"/>
    <x v="0"/>
    <n v="220.36"/>
    <n v="17.41"/>
    <x v="1230"/>
    <x v="0"/>
    <n v="2024"/>
    <x v="11"/>
    <n v="220.36"/>
    <n v="0.42099292067525901"/>
    <x v="0"/>
    <x v="0"/>
  </r>
  <r>
    <x v="1285"/>
    <x v="582"/>
    <x v="1082"/>
    <x v="1"/>
    <x v="5"/>
    <x v="3"/>
    <x v="1"/>
    <x v="17"/>
    <x v="3"/>
    <x v="1212"/>
    <x v="3"/>
    <n v="13.38"/>
    <n v="10.11"/>
    <x v="1231"/>
    <x v="2"/>
    <n v="2024"/>
    <x v="11"/>
    <n v="12.042"/>
    <n v="-0.28400597907324399"/>
    <x v="1"/>
    <x v="1"/>
  </r>
  <r>
    <x v="1286"/>
    <x v="582"/>
    <x v="1083"/>
    <x v="0"/>
    <x v="19"/>
    <x v="1"/>
    <x v="2"/>
    <x v="4"/>
    <x v="4"/>
    <x v="1213"/>
    <x v="4"/>
    <n v="1608.71"/>
    <n v="20.02"/>
    <x v="1232"/>
    <x v="1"/>
    <n v="2024"/>
    <x v="11"/>
    <n v="1528.2745"/>
    <n v="0.37471017150387598"/>
    <x v="2"/>
    <x v="0"/>
  </r>
  <r>
    <x v="1287"/>
    <x v="583"/>
    <x v="1084"/>
    <x v="1"/>
    <x v="10"/>
    <x v="3"/>
    <x v="1"/>
    <x v="10"/>
    <x v="4"/>
    <x v="1214"/>
    <x v="2"/>
    <n v="29.27"/>
    <n v="16.98"/>
    <x v="1233"/>
    <x v="1"/>
    <n v="2024"/>
    <x v="11"/>
    <n v="24.8795"/>
    <n v="-0.12902188548805199"/>
    <x v="1"/>
    <x v="1"/>
  </r>
  <r>
    <x v="1288"/>
    <x v="583"/>
    <x v="152"/>
    <x v="1"/>
    <x v="16"/>
    <x v="3"/>
    <x v="1"/>
    <x v="20"/>
    <x v="8"/>
    <x v="1215"/>
    <x v="1"/>
    <n v="101.09"/>
    <n v="32.83"/>
    <x v="1234"/>
    <x v="3"/>
    <n v="2024"/>
    <x v="11"/>
    <n v="80.872"/>
    <n v="0.14096349787318199"/>
    <x v="0"/>
    <x v="0"/>
  </r>
  <r>
    <x v="1289"/>
    <x v="583"/>
    <x v="1085"/>
    <x v="0"/>
    <x v="2"/>
    <x v="0"/>
    <x v="2"/>
    <x v="8"/>
    <x v="0"/>
    <x v="1216"/>
    <x v="4"/>
    <n v="217.06"/>
    <n v="8.25"/>
    <x v="1235"/>
    <x v="3"/>
    <n v="2024"/>
    <x v="11"/>
    <n v="206.20699999999999"/>
    <n v="0.347805845582352"/>
    <x v="0"/>
    <x v="0"/>
  </r>
  <r>
    <x v="1290"/>
    <x v="584"/>
    <x v="835"/>
    <x v="1"/>
    <x v="15"/>
    <x v="2"/>
    <x v="2"/>
    <x v="21"/>
    <x v="1"/>
    <x v="1217"/>
    <x v="4"/>
    <n v="321.70999999999998"/>
    <n v="13.55"/>
    <x v="1236"/>
    <x v="3"/>
    <n v="2024"/>
    <x v="11"/>
    <n v="305.62450000000001"/>
    <n v="0.34349340448818699"/>
    <x v="0"/>
    <x v="0"/>
  </r>
  <r>
    <x v="1291"/>
    <x v="584"/>
    <x v="1086"/>
    <x v="1"/>
    <x v="2"/>
    <x v="0"/>
    <x v="3"/>
    <x v="27"/>
    <x v="8"/>
    <x v="1218"/>
    <x v="4"/>
    <n v="509.12"/>
    <n v="14.12"/>
    <x v="1237"/>
    <x v="1"/>
    <n v="2024"/>
    <x v="11"/>
    <n v="483.66399999999999"/>
    <n v="0.46941678520625901"/>
    <x v="2"/>
    <x v="0"/>
  </r>
  <r>
    <x v="1292"/>
    <x v="585"/>
    <x v="1087"/>
    <x v="0"/>
    <x v="7"/>
    <x v="4"/>
    <x v="2"/>
    <x v="14"/>
    <x v="2"/>
    <x v="1219"/>
    <x v="0"/>
    <n v="659.08"/>
    <n v="12.54"/>
    <x v="1238"/>
    <x v="2"/>
    <n v="2024"/>
    <x v="11"/>
    <n v="659.08"/>
    <n v="0.38097044364872201"/>
    <x v="2"/>
    <x v="0"/>
  </r>
  <r>
    <x v="1293"/>
    <x v="585"/>
    <x v="1088"/>
    <x v="0"/>
    <x v="3"/>
    <x v="1"/>
    <x v="1"/>
    <x v="2"/>
    <x v="5"/>
    <x v="684"/>
    <x v="4"/>
    <n v="27.5"/>
    <n v="18.73"/>
    <x v="899"/>
    <x v="3"/>
    <n v="2024"/>
    <x v="11"/>
    <n v="26.125"/>
    <n v="-0.16306220095693799"/>
    <x v="1"/>
    <x v="1"/>
  </r>
  <r>
    <x v="1294"/>
    <x v="585"/>
    <x v="317"/>
    <x v="1"/>
    <x v="0"/>
    <x v="0"/>
    <x v="1"/>
    <x v="10"/>
    <x v="4"/>
    <x v="1220"/>
    <x v="4"/>
    <n v="35.74"/>
    <n v="19.36"/>
    <x v="1187"/>
    <x v="0"/>
    <n v="2024"/>
    <x v="11"/>
    <n v="33.953000000000003"/>
    <n v="-1.6198863134332799E-2"/>
    <x v="1"/>
    <x v="1"/>
  </r>
  <r>
    <x v="1295"/>
    <x v="585"/>
    <x v="1089"/>
    <x v="0"/>
    <x v="5"/>
    <x v="3"/>
    <x v="1"/>
    <x v="25"/>
    <x v="0"/>
    <x v="1221"/>
    <x v="2"/>
    <n v="22.8"/>
    <n v="14.91"/>
    <x v="1239"/>
    <x v="1"/>
    <n v="2024"/>
    <x v="11"/>
    <n v="19.38"/>
    <n v="-0.21568627450980399"/>
    <x v="1"/>
    <x v="1"/>
  </r>
  <r>
    <x v="1296"/>
    <x v="585"/>
    <x v="67"/>
    <x v="0"/>
    <x v="17"/>
    <x v="3"/>
    <x v="0"/>
    <x v="7"/>
    <x v="5"/>
    <x v="1222"/>
    <x v="5"/>
    <n v="137.44"/>
    <n v="19.48"/>
    <x v="1240"/>
    <x v="3"/>
    <n v="2024"/>
    <x v="11"/>
    <n v="96.207999999999998"/>
    <n v="0.103629635789124"/>
    <x v="0"/>
    <x v="0"/>
  </r>
  <r>
    <x v="1297"/>
    <x v="586"/>
    <x v="1090"/>
    <x v="2"/>
    <x v="18"/>
    <x v="4"/>
    <x v="1"/>
    <x v="23"/>
    <x v="6"/>
    <x v="1223"/>
    <x v="4"/>
    <n v="91.37"/>
    <n v="21.95"/>
    <x v="1241"/>
    <x v="0"/>
    <n v="2024"/>
    <x v="11"/>
    <n v="86.801500000000004"/>
    <n v="0.30114686958174702"/>
    <x v="1"/>
    <x v="0"/>
  </r>
  <r>
    <x v="1298"/>
    <x v="586"/>
    <x v="1091"/>
    <x v="1"/>
    <x v="9"/>
    <x v="3"/>
    <x v="1"/>
    <x v="38"/>
    <x v="1"/>
    <x v="1224"/>
    <x v="4"/>
    <n v="47.46"/>
    <n v="14.76"/>
    <x v="1242"/>
    <x v="3"/>
    <n v="2024"/>
    <x v="11"/>
    <n v="45.087000000000003"/>
    <n v="0.22667287688247201"/>
    <x v="1"/>
    <x v="0"/>
  </r>
  <r>
    <x v="1299"/>
    <x v="587"/>
    <x v="1092"/>
    <x v="2"/>
    <x v="0"/>
    <x v="0"/>
    <x v="3"/>
    <x v="9"/>
    <x v="1"/>
    <x v="1225"/>
    <x v="0"/>
    <n v="155.08000000000001"/>
    <n v="12.57"/>
    <x v="1243"/>
    <x v="1"/>
    <n v="2024"/>
    <x v="11"/>
    <n v="155.08000000000001"/>
    <n v="0.41894506061387699"/>
    <x v="0"/>
    <x v="0"/>
  </r>
  <r>
    <x v="1300"/>
    <x v="587"/>
    <x v="1093"/>
    <x v="1"/>
    <x v="3"/>
    <x v="1"/>
    <x v="2"/>
    <x v="5"/>
    <x v="3"/>
    <x v="1226"/>
    <x v="3"/>
    <n v="156"/>
    <n v="8.65"/>
    <x v="1244"/>
    <x v="0"/>
    <n v="2024"/>
    <x v="11"/>
    <n v="140.4"/>
    <n v="0.308760683760684"/>
    <x v="0"/>
    <x v="0"/>
  </r>
  <r>
    <x v="1301"/>
    <x v="588"/>
    <x v="1094"/>
    <x v="2"/>
    <x v="1"/>
    <x v="1"/>
    <x v="2"/>
    <x v="32"/>
    <x v="1"/>
    <x v="1227"/>
    <x v="4"/>
    <n v="251.52"/>
    <n v="12.09"/>
    <x v="1245"/>
    <x v="1"/>
    <n v="2024"/>
    <x v="11"/>
    <n v="238.94399999999999"/>
    <n v="0.33719197803669498"/>
    <x v="0"/>
    <x v="0"/>
  </r>
  <r>
    <x v="1302"/>
    <x v="589"/>
    <x v="435"/>
    <x v="1"/>
    <x v="5"/>
    <x v="3"/>
    <x v="0"/>
    <x v="22"/>
    <x v="2"/>
    <x v="1228"/>
    <x v="3"/>
    <n v="130.75"/>
    <n v="12.34"/>
    <x v="1246"/>
    <x v="2"/>
    <n v="2024"/>
    <x v="11"/>
    <n v="117.675"/>
    <n v="0.32725727639685598"/>
    <x v="0"/>
    <x v="0"/>
  </r>
  <r>
    <x v="1303"/>
    <x v="589"/>
    <x v="1095"/>
    <x v="1"/>
    <x v="2"/>
    <x v="0"/>
    <x v="2"/>
    <x v="36"/>
    <x v="9"/>
    <x v="1229"/>
    <x v="0"/>
    <n v="2538.5"/>
    <n v="22.56"/>
    <x v="1247"/>
    <x v="0"/>
    <n v="2024"/>
    <x v="11"/>
    <n v="2538.5"/>
    <n v="0.39111286192633399"/>
    <x v="2"/>
    <x v="0"/>
  </r>
  <r>
    <x v="1304"/>
    <x v="590"/>
    <x v="1096"/>
    <x v="1"/>
    <x v="13"/>
    <x v="0"/>
    <x v="1"/>
    <x v="2"/>
    <x v="4"/>
    <x v="1230"/>
    <x v="4"/>
    <n v="71.08"/>
    <n v="8.33"/>
    <x v="1248"/>
    <x v="0"/>
    <n v="2024"/>
    <x v="11"/>
    <n v="67.525999999999996"/>
    <n v="0.43064893522495001"/>
    <x v="1"/>
    <x v="0"/>
  </r>
  <r>
    <x v="1305"/>
    <x v="591"/>
    <x v="19"/>
    <x v="1"/>
    <x v="15"/>
    <x v="2"/>
    <x v="0"/>
    <x v="18"/>
    <x v="3"/>
    <x v="1231"/>
    <x v="0"/>
    <n v="70.900000000000006"/>
    <n v="11.52"/>
    <x v="1249"/>
    <x v="2"/>
    <n v="2024"/>
    <x v="11"/>
    <n v="70.900000000000006"/>
    <n v="0.28758815232722101"/>
    <x v="1"/>
    <x v="0"/>
  </r>
  <r>
    <x v="1306"/>
    <x v="591"/>
    <x v="1097"/>
    <x v="1"/>
    <x v="19"/>
    <x v="1"/>
    <x v="1"/>
    <x v="25"/>
    <x v="3"/>
    <x v="1232"/>
    <x v="4"/>
    <n v="6.13"/>
    <n v="7.56"/>
    <x v="1250"/>
    <x v="0"/>
    <n v="2024"/>
    <x v="11"/>
    <n v="5.8235000000000001"/>
    <n v="-0.74353910878337803"/>
    <x v="1"/>
    <x v="1"/>
  </r>
  <r>
    <x v="1307"/>
    <x v="592"/>
    <x v="1098"/>
    <x v="2"/>
    <x v="8"/>
    <x v="1"/>
    <x v="3"/>
    <x v="37"/>
    <x v="2"/>
    <x v="1233"/>
    <x v="0"/>
    <n v="138.6"/>
    <n v="11.07"/>
    <x v="1251"/>
    <x v="2"/>
    <n v="2024"/>
    <x v="11"/>
    <n v="138.6"/>
    <n v="0.42012987012987002"/>
    <x v="0"/>
    <x v="0"/>
  </r>
  <r>
    <x v="1308"/>
    <x v="592"/>
    <x v="1099"/>
    <x v="1"/>
    <x v="14"/>
    <x v="1"/>
    <x v="2"/>
    <x v="4"/>
    <x v="6"/>
    <x v="1234"/>
    <x v="1"/>
    <n v="1189.1600000000001"/>
    <n v="14.04"/>
    <x v="1252"/>
    <x v="2"/>
    <n v="2024"/>
    <x v="11"/>
    <n v="951.32799999999997"/>
    <n v="0.29774168320495098"/>
    <x v="2"/>
    <x v="0"/>
  </r>
  <r>
    <x v="1309"/>
    <x v="592"/>
    <x v="1100"/>
    <x v="1"/>
    <x v="13"/>
    <x v="0"/>
    <x v="2"/>
    <x v="8"/>
    <x v="2"/>
    <x v="1235"/>
    <x v="4"/>
    <n v="144.78"/>
    <n v="8.8800000000000008"/>
    <x v="1253"/>
    <x v="1"/>
    <n v="2024"/>
    <x v="11"/>
    <n v="137.541"/>
    <n v="0.32324906755076699"/>
    <x v="0"/>
    <x v="0"/>
  </r>
  <r>
    <x v="1310"/>
    <x v="593"/>
    <x v="1101"/>
    <x v="1"/>
    <x v="4"/>
    <x v="2"/>
    <x v="0"/>
    <x v="18"/>
    <x v="3"/>
    <x v="1236"/>
    <x v="4"/>
    <n v="42.42"/>
    <n v="13.09"/>
    <x v="1254"/>
    <x v="1"/>
    <n v="2024"/>
    <x v="11"/>
    <n v="40.298999999999999"/>
    <n v="0.118365219980645"/>
    <x v="1"/>
    <x v="0"/>
  </r>
  <r>
    <x v="1311"/>
    <x v="594"/>
    <x v="856"/>
    <x v="1"/>
    <x v="0"/>
    <x v="0"/>
    <x v="1"/>
    <x v="2"/>
    <x v="0"/>
    <x v="1237"/>
    <x v="6"/>
    <n v="29.86"/>
    <n v="12.34"/>
    <x v="1255"/>
    <x v="1"/>
    <n v="2024"/>
    <x v="11"/>
    <n v="22.395"/>
    <n v="-1.7414601473543199E-2"/>
    <x v="1"/>
    <x v="1"/>
  </r>
  <r>
    <x v="1312"/>
    <x v="595"/>
    <x v="1102"/>
    <x v="0"/>
    <x v="6"/>
    <x v="2"/>
    <x v="0"/>
    <x v="1"/>
    <x v="3"/>
    <x v="1238"/>
    <x v="3"/>
    <n v="94.52"/>
    <n v="11.57"/>
    <x v="1256"/>
    <x v="1"/>
    <n v="2024"/>
    <x v="11"/>
    <n v="85.067999999999998"/>
    <n v="0.29611604833779998"/>
    <x v="1"/>
    <x v="0"/>
  </r>
  <r>
    <x v="1313"/>
    <x v="596"/>
    <x v="1103"/>
    <x v="2"/>
    <x v="5"/>
    <x v="3"/>
    <x v="3"/>
    <x v="16"/>
    <x v="6"/>
    <x v="1239"/>
    <x v="0"/>
    <n v="343.63"/>
    <n v="18.149999999999999"/>
    <x v="1257"/>
    <x v="1"/>
    <n v="2024"/>
    <x v="11"/>
    <n v="343.63"/>
    <n v="0.44716701102930501"/>
    <x v="0"/>
    <x v="0"/>
  </r>
  <r>
    <x v="1314"/>
    <x v="596"/>
    <x v="1104"/>
    <x v="1"/>
    <x v="9"/>
    <x v="3"/>
    <x v="2"/>
    <x v="14"/>
    <x v="1"/>
    <x v="1240"/>
    <x v="0"/>
    <n v="1667.44"/>
    <n v="13.27"/>
    <x v="1258"/>
    <x v="0"/>
    <n v="2024"/>
    <x v="11"/>
    <n v="1667.44"/>
    <n v="0.39204409154152497"/>
    <x v="2"/>
    <x v="0"/>
  </r>
  <r>
    <x v="1315"/>
    <x v="597"/>
    <x v="1105"/>
    <x v="0"/>
    <x v="8"/>
    <x v="1"/>
    <x v="3"/>
    <x v="27"/>
    <x v="6"/>
    <x v="1241"/>
    <x v="3"/>
    <n v="126.94"/>
    <n v="22.2"/>
    <x v="1259"/>
    <x v="0"/>
    <n v="2024"/>
    <x v="11"/>
    <n v="114.246"/>
    <n v="0.29952908635750902"/>
    <x v="0"/>
    <x v="0"/>
  </r>
  <r>
    <x v="1316"/>
    <x v="597"/>
    <x v="1106"/>
    <x v="2"/>
    <x v="11"/>
    <x v="2"/>
    <x v="1"/>
    <x v="23"/>
    <x v="2"/>
    <x v="1242"/>
    <x v="2"/>
    <n v="22.05"/>
    <n v="14.41"/>
    <x v="1260"/>
    <x v="1"/>
    <n v="2024"/>
    <x v="11"/>
    <n v="18.7425"/>
    <n v="-0.21501934106976101"/>
    <x v="1"/>
    <x v="1"/>
  </r>
  <r>
    <x v="1317"/>
    <x v="598"/>
    <x v="1107"/>
    <x v="0"/>
    <x v="16"/>
    <x v="3"/>
    <x v="0"/>
    <x v="29"/>
    <x v="2"/>
    <x v="1243"/>
    <x v="2"/>
    <n v="80.89"/>
    <n v="11.18"/>
    <x v="1261"/>
    <x v="1"/>
    <n v="2024"/>
    <x v="11"/>
    <n v="68.756500000000003"/>
    <n v="0.25263066037392801"/>
    <x v="1"/>
    <x v="0"/>
  </r>
  <r>
    <x v="1318"/>
    <x v="598"/>
    <x v="23"/>
    <x v="1"/>
    <x v="15"/>
    <x v="2"/>
    <x v="1"/>
    <x v="12"/>
    <x v="5"/>
    <x v="1244"/>
    <x v="4"/>
    <n v="106.92"/>
    <n v="19.75"/>
    <x v="1262"/>
    <x v="0"/>
    <n v="2024"/>
    <x v="11"/>
    <n v="101.574"/>
    <n v="0.35954082737708498"/>
    <x v="0"/>
    <x v="0"/>
  </r>
  <r>
    <x v="1319"/>
    <x v="599"/>
    <x v="83"/>
    <x v="1"/>
    <x v="0"/>
    <x v="0"/>
    <x v="2"/>
    <x v="36"/>
    <x v="3"/>
    <x v="1245"/>
    <x v="0"/>
    <n v="142.21"/>
    <n v="6.95"/>
    <x v="1263"/>
    <x v="2"/>
    <n v="2025"/>
    <x v="0"/>
    <n v="142.21"/>
    <n v="0.35110048519794701"/>
    <x v="0"/>
    <x v="0"/>
  </r>
  <r>
    <x v="1320"/>
    <x v="599"/>
    <x v="1108"/>
    <x v="1"/>
    <x v="13"/>
    <x v="0"/>
    <x v="0"/>
    <x v="28"/>
    <x v="2"/>
    <x v="1246"/>
    <x v="0"/>
    <n v="120.36"/>
    <n v="8.33"/>
    <x v="1264"/>
    <x v="0"/>
    <n v="2025"/>
    <x v="0"/>
    <n v="120.36"/>
    <n v="0.38077434363575902"/>
    <x v="0"/>
    <x v="0"/>
  </r>
  <r>
    <x v="1321"/>
    <x v="600"/>
    <x v="1109"/>
    <x v="2"/>
    <x v="9"/>
    <x v="3"/>
    <x v="0"/>
    <x v="7"/>
    <x v="0"/>
    <x v="1247"/>
    <x v="2"/>
    <n v="113.35"/>
    <n v="16.34"/>
    <x v="1265"/>
    <x v="3"/>
    <n v="2025"/>
    <x v="0"/>
    <n v="96.347499999999997"/>
    <n v="0.24567321414670901"/>
    <x v="0"/>
    <x v="0"/>
  </r>
  <r>
    <x v="1322"/>
    <x v="600"/>
    <x v="550"/>
    <x v="1"/>
    <x v="2"/>
    <x v="0"/>
    <x v="2"/>
    <x v="39"/>
    <x v="6"/>
    <x v="1248"/>
    <x v="0"/>
    <n v="1638.84"/>
    <n v="10.77"/>
    <x v="1266"/>
    <x v="2"/>
    <n v="2025"/>
    <x v="0"/>
    <n v="1638.84"/>
    <n v="0.39343071928925299"/>
    <x v="2"/>
    <x v="0"/>
  </r>
  <r>
    <x v="1323"/>
    <x v="601"/>
    <x v="129"/>
    <x v="0"/>
    <x v="13"/>
    <x v="0"/>
    <x v="2"/>
    <x v="39"/>
    <x v="3"/>
    <x v="1249"/>
    <x v="3"/>
    <n v="104.18"/>
    <n v="6.46"/>
    <x v="1267"/>
    <x v="2"/>
    <n v="2025"/>
    <x v="0"/>
    <n v="93.762"/>
    <n v="0.301401420618161"/>
    <x v="0"/>
    <x v="0"/>
  </r>
  <r>
    <x v="1324"/>
    <x v="601"/>
    <x v="1110"/>
    <x v="1"/>
    <x v="4"/>
    <x v="2"/>
    <x v="2"/>
    <x v="14"/>
    <x v="0"/>
    <x v="1250"/>
    <x v="4"/>
    <n v="624.38"/>
    <n v="16.97"/>
    <x v="1268"/>
    <x v="1"/>
    <n v="2025"/>
    <x v="0"/>
    <n v="593.16099999999994"/>
    <n v="0.35921107422773901"/>
    <x v="2"/>
    <x v="0"/>
  </r>
  <r>
    <x v="1325"/>
    <x v="601"/>
    <x v="1111"/>
    <x v="2"/>
    <x v="2"/>
    <x v="0"/>
    <x v="1"/>
    <x v="6"/>
    <x v="2"/>
    <x v="1251"/>
    <x v="0"/>
    <n v="47.66"/>
    <n v="8.8699999999999992"/>
    <x v="1269"/>
    <x v="3"/>
    <n v="2025"/>
    <x v="0"/>
    <n v="47.66"/>
    <n v="0.36382710868653001"/>
    <x v="1"/>
    <x v="0"/>
  </r>
  <r>
    <x v="1326"/>
    <x v="602"/>
    <x v="1112"/>
    <x v="1"/>
    <x v="19"/>
    <x v="1"/>
    <x v="2"/>
    <x v="39"/>
    <x v="5"/>
    <x v="1252"/>
    <x v="4"/>
    <n v="603.39"/>
    <n v="16.489999999999998"/>
    <x v="1270"/>
    <x v="2"/>
    <n v="2025"/>
    <x v="0"/>
    <n v="573.22050000000002"/>
    <n v="0.35904159045254003"/>
    <x v="2"/>
    <x v="0"/>
  </r>
  <r>
    <x v="1327"/>
    <x v="603"/>
    <x v="1113"/>
    <x v="1"/>
    <x v="2"/>
    <x v="0"/>
    <x v="3"/>
    <x v="24"/>
    <x v="4"/>
    <x v="1253"/>
    <x v="4"/>
    <n v="150.65"/>
    <n v="8.1"/>
    <x v="1271"/>
    <x v="0"/>
    <n v="2025"/>
    <x v="0"/>
    <n v="143.11750000000001"/>
    <n v="0.44201442870368801"/>
    <x v="0"/>
    <x v="0"/>
  </r>
  <r>
    <x v="1328"/>
    <x v="603"/>
    <x v="289"/>
    <x v="0"/>
    <x v="9"/>
    <x v="3"/>
    <x v="1"/>
    <x v="2"/>
    <x v="3"/>
    <x v="1254"/>
    <x v="1"/>
    <n v="7.37"/>
    <n v="11.17"/>
    <x v="1272"/>
    <x v="1"/>
    <n v="2025"/>
    <x v="0"/>
    <n v="5.8959999999999999"/>
    <n v="-1.3466757123473501"/>
    <x v="1"/>
    <x v="1"/>
  </r>
  <r>
    <x v="1329"/>
    <x v="604"/>
    <x v="1012"/>
    <x v="1"/>
    <x v="0"/>
    <x v="0"/>
    <x v="1"/>
    <x v="25"/>
    <x v="1"/>
    <x v="362"/>
    <x v="1"/>
    <n v="30.18"/>
    <n v="12.83"/>
    <x v="510"/>
    <x v="2"/>
    <n v="2025"/>
    <x v="0"/>
    <n v="24.143999999999998"/>
    <n v="1.5738899933730899E-2"/>
    <x v="1"/>
    <x v="0"/>
  </r>
  <r>
    <x v="1330"/>
    <x v="604"/>
    <x v="1071"/>
    <x v="2"/>
    <x v="2"/>
    <x v="0"/>
    <x v="1"/>
    <x v="6"/>
    <x v="0"/>
    <x v="1255"/>
    <x v="0"/>
    <n v="54.54"/>
    <n v="7.27"/>
    <x v="1273"/>
    <x v="2"/>
    <n v="2025"/>
    <x v="0"/>
    <n v="54.54"/>
    <n v="0.41675834250091698"/>
    <x v="1"/>
    <x v="0"/>
  </r>
  <r>
    <x v="1331"/>
    <x v="605"/>
    <x v="1114"/>
    <x v="1"/>
    <x v="0"/>
    <x v="0"/>
    <x v="0"/>
    <x v="35"/>
    <x v="1"/>
    <x v="1256"/>
    <x v="0"/>
    <n v="181.04"/>
    <n v="7.24"/>
    <x v="1274"/>
    <x v="1"/>
    <n v="2025"/>
    <x v="0"/>
    <n v="181.04"/>
    <n v="0.41001988510826298"/>
    <x v="0"/>
    <x v="0"/>
  </r>
  <r>
    <x v="1332"/>
    <x v="605"/>
    <x v="1115"/>
    <x v="1"/>
    <x v="18"/>
    <x v="4"/>
    <x v="1"/>
    <x v="23"/>
    <x v="2"/>
    <x v="1257"/>
    <x v="3"/>
    <n v="22.46"/>
    <n v="12.39"/>
    <x v="1275"/>
    <x v="3"/>
    <n v="2025"/>
    <x v="0"/>
    <n v="20.213999999999999"/>
    <n v="-5.7385970119719E-2"/>
    <x v="1"/>
    <x v="1"/>
  </r>
  <r>
    <x v="1333"/>
    <x v="606"/>
    <x v="479"/>
    <x v="1"/>
    <x v="3"/>
    <x v="1"/>
    <x v="1"/>
    <x v="6"/>
    <x v="0"/>
    <x v="1258"/>
    <x v="4"/>
    <n v="26.79"/>
    <n v="11.24"/>
    <x v="782"/>
    <x v="3"/>
    <n v="2025"/>
    <x v="0"/>
    <n v="25.450500000000002"/>
    <n v="0.112375002455747"/>
    <x v="1"/>
    <x v="0"/>
  </r>
  <r>
    <x v="1334"/>
    <x v="606"/>
    <x v="1116"/>
    <x v="1"/>
    <x v="13"/>
    <x v="0"/>
    <x v="1"/>
    <x v="25"/>
    <x v="0"/>
    <x v="1259"/>
    <x v="3"/>
    <n v="26.62"/>
    <n v="7.69"/>
    <x v="1276"/>
    <x v="1"/>
    <n v="2025"/>
    <x v="0"/>
    <n v="23.957999999999998"/>
    <n v="0.234577176725937"/>
    <x v="1"/>
    <x v="0"/>
  </r>
  <r>
    <x v="1335"/>
    <x v="607"/>
    <x v="1117"/>
    <x v="0"/>
    <x v="8"/>
    <x v="1"/>
    <x v="0"/>
    <x v="18"/>
    <x v="0"/>
    <x v="1260"/>
    <x v="3"/>
    <n v="197.61"/>
    <n v="12.36"/>
    <x v="1277"/>
    <x v="1"/>
    <n v="2025"/>
    <x v="0"/>
    <n v="177.84899999999999"/>
    <n v="0.36261097897654798"/>
    <x v="0"/>
    <x v="0"/>
  </r>
  <r>
    <x v="1336"/>
    <x v="608"/>
    <x v="1118"/>
    <x v="1"/>
    <x v="9"/>
    <x v="3"/>
    <x v="1"/>
    <x v="20"/>
    <x v="8"/>
    <x v="142"/>
    <x v="3"/>
    <n v="121.72"/>
    <n v="19.04"/>
    <x v="1278"/>
    <x v="1"/>
    <n v="2025"/>
    <x v="0"/>
    <n v="109.548"/>
    <n v="0.38175046554934799"/>
    <x v="0"/>
    <x v="0"/>
  </r>
  <r>
    <x v="1337"/>
    <x v="609"/>
    <x v="299"/>
    <x v="1"/>
    <x v="8"/>
    <x v="1"/>
    <x v="3"/>
    <x v="9"/>
    <x v="9"/>
    <x v="1261"/>
    <x v="4"/>
    <n v="539.98"/>
    <n v="24.76"/>
    <x v="1279"/>
    <x v="0"/>
    <n v="2025"/>
    <x v="0"/>
    <n v="512.98099999999999"/>
    <n v="0.45034806357350499"/>
    <x v="2"/>
    <x v="0"/>
  </r>
  <r>
    <x v="1338"/>
    <x v="609"/>
    <x v="1119"/>
    <x v="1"/>
    <x v="0"/>
    <x v="0"/>
    <x v="3"/>
    <x v="9"/>
    <x v="0"/>
    <x v="370"/>
    <x v="0"/>
    <n v="52.98"/>
    <n v="6.7"/>
    <x v="1280"/>
    <x v="1"/>
    <n v="2025"/>
    <x v="0"/>
    <n v="52.98"/>
    <n v="0.37353718384295997"/>
    <x v="1"/>
    <x v="0"/>
  </r>
  <r>
    <x v="1339"/>
    <x v="610"/>
    <x v="893"/>
    <x v="1"/>
    <x v="13"/>
    <x v="0"/>
    <x v="0"/>
    <x v="0"/>
    <x v="5"/>
    <x v="1262"/>
    <x v="0"/>
    <n v="925.05"/>
    <n v="11.11"/>
    <x v="1281"/>
    <x v="3"/>
    <n v="2025"/>
    <x v="0"/>
    <n v="925.05"/>
    <n v="0.43798713583049598"/>
    <x v="2"/>
    <x v="0"/>
  </r>
  <r>
    <x v="1340"/>
    <x v="611"/>
    <x v="979"/>
    <x v="0"/>
    <x v="14"/>
    <x v="1"/>
    <x v="3"/>
    <x v="11"/>
    <x v="5"/>
    <x v="1263"/>
    <x v="3"/>
    <n v="371.2"/>
    <n v="12.32"/>
    <x v="1282"/>
    <x v="1"/>
    <n v="2025"/>
    <x v="0"/>
    <n v="334.08"/>
    <n v="0.45695641762452099"/>
    <x v="0"/>
    <x v="0"/>
  </r>
  <r>
    <x v="1341"/>
    <x v="612"/>
    <x v="1120"/>
    <x v="0"/>
    <x v="0"/>
    <x v="0"/>
    <x v="2"/>
    <x v="5"/>
    <x v="4"/>
    <x v="1264"/>
    <x v="4"/>
    <n v="409.32"/>
    <n v="15.55"/>
    <x v="1283"/>
    <x v="1"/>
    <n v="2025"/>
    <x v="0"/>
    <n v="388.85399999999998"/>
    <n v="0.34781691843211099"/>
    <x v="0"/>
    <x v="0"/>
  </r>
  <r>
    <x v="1342"/>
    <x v="613"/>
    <x v="1121"/>
    <x v="1"/>
    <x v="4"/>
    <x v="2"/>
    <x v="0"/>
    <x v="35"/>
    <x v="5"/>
    <x v="1265"/>
    <x v="0"/>
    <n v="338.6"/>
    <n v="14.18"/>
    <x v="1284"/>
    <x v="1"/>
    <n v="2025"/>
    <x v="0"/>
    <n v="338.6"/>
    <n v="0.40812167749556999"/>
    <x v="0"/>
    <x v="0"/>
  </r>
  <r>
    <x v="1343"/>
    <x v="614"/>
    <x v="1122"/>
    <x v="2"/>
    <x v="12"/>
    <x v="4"/>
    <x v="1"/>
    <x v="2"/>
    <x v="2"/>
    <x v="1214"/>
    <x v="1"/>
    <n v="9.18"/>
    <n v="13.02"/>
    <x v="1285"/>
    <x v="1"/>
    <n v="2025"/>
    <x v="0"/>
    <n v="7.3440000000000003"/>
    <n v="-1.2268518518518501"/>
    <x v="1"/>
    <x v="1"/>
  </r>
  <r>
    <x v="1344"/>
    <x v="614"/>
    <x v="1123"/>
    <x v="1"/>
    <x v="9"/>
    <x v="3"/>
    <x v="0"/>
    <x v="3"/>
    <x v="1"/>
    <x v="1266"/>
    <x v="0"/>
    <n v="349.16"/>
    <n v="12.84"/>
    <x v="1286"/>
    <x v="3"/>
    <n v="2025"/>
    <x v="0"/>
    <n v="349.16"/>
    <n v="0.41322030014892902"/>
    <x v="0"/>
    <x v="0"/>
  </r>
  <r>
    <x v="1345"/>
    <x v="615"/>
    <x v="1124"/>
    <x v="0"/>
    <x v="12"/>
    <x v="4"/>
    <x v="0"/>
    <x v="31"/>
    <x v="2"/>
    <x v="545"/>
    <x v="3"/>
    <n v="171.83"/>
    <n v="14.34"/>
    <x v="1287"/>
    <x v="1"/>
    <n v="2025"/>
    <x v="0"/>
    <n v="154.64699999999999"/>
    <n v="0.33935349537979997"/>
    <x v="0"/>
    <x v="0"/>
  </r>
  <r>
    <x v="1346"/>
    <x v="615"/>
    <x v="1125"/>
    <x v="1"/>
    <x v="16"/>
    <x v="3"/>
    <x v="2"/>
    <x v="21"/>
    <x v="3"/>
    <x v="1267"/>
    <x v="0"/>
    <n v="32.200000000000003"/>
    <n v="11.24"/>
    <x v="1288"/>
    <x v="1"/>
    <n v="2025"/>
    <x v="0"/>
    <n v="32.200000000000003"/>
    <n v="5.0931677018633499E-2"/>
    <x v="1"/>
    <x v="0"/>
  </r>
  <r>
    <x v="1347"/>
    <x v="616"/>
    <x v="1126"/>
    <x v="1"/>
    <x v="6"/>
    <x v="2"/>
    <x v="2"/>
    <x v="36"/>
    <x v="3"/>
    <x v="1268"/>
    <x v="3"/>
    <n v="239.7"/>
    <n v="12.81"/>
    <x v="1289"/>
    <x v="3"/>
    <n v="2025"/>
    <x v="0"/>
    <n v="215.73"/>
    <n v="0.310990590089464"/>
    <x v="0"/>
    <x v="0"/>
  </r>
  <r>
    <x v="1348"/>
    <x v="617"/>
    <x v="1127"/>
    <x v="1"/>
    <x v="8"/>
    <x v="1"/>
    <x v="2"/>
    <x v="15"/>
    <x v="7"/>
    <x v="1269"/>
    <x v="4"/>
    <n v="1236.75"/>
    <n v="21.92"/>
    <x v="1290"/>
    <x v="3"/>
    <n v="2025"/>
    <x v="0"/>
    <n v="1174.9124999999999"/>
    <n v="0.36915940548764298"/>
    <x v="2"/>
    <x v="0"/>
  </r>
  <r>
    <x v="1349"/>
    <x v="618"/>
    <x v="1128"/>
    <x v="1"/>
    <x v="14"/>
    <x v="1"/>
    <x v="1"/>
    <x v="38"/>
    <x v="1"/>
    <x v="1270"/>
    <x v="0"/>
    <n v="36.6"/>
    <n v="14.1"/>
    <x v="1291"/>
    <x v="0"/>
    <n v="2025"/>
    <x v="0"/>
    <n v="36.6"/>
    <n v="0.16475409836065599"/>
    <x v="1"/>
    <x v="0"/>
  </r>
  <r>
    <x v="1350"/>
    <x v="618"/>
    <x v="1129"/>
    <x v="2"/>
    <x v="5"/>
    <x v="3"/>
    <x v="3"/>
    <x v="37"/>
    <x v="2"/>
    <x v="1271"/>
    <x v="2"/>
    <n v="53.14"/>
    <n v="10.33"/>
    <x v="420"/>
    <x v="0"/>
    <n v="2025"/>
    <x v="0"/>
    <n v="45.168999999999997"/>
    <n v="0.255706347273573"/>
    <x v="1"/>
    <x v="0"/>
  </r>
  <r>
    <x v="1351"/>
    <x v="618"/>
    <x v="1015"/>
    <x v="1"/>
    <x v="13"/>
    <x v="0"/>
    <x v="2"/>
    <x v="36"/>
    <x v="5"/>
    <x v="1272"/>
    <x v="2"/>
    <n v="793.52"/>
    <n v="11.33"/>
    <x v="1292"/>
    <x v="3"/>
    <n v="2025"/>
    <x v="0"/>
    <n v="674.49199999999996"/>
    <n v="0.32922555048836799"/>
    <x v="2"/>
    <x v="0"/>
  </r>
  <r>
    <x v="1352"/>
    <x v="618"/>
    <x v="12"/>
    <x v="2"/>
    <x v="0"/>
    <x v="0"/>
    <x v="2"/>
    <x v="34"/>
    <x v="1"/>
    <x v="1273"/>
    <x v="1"/>
    <n v="157.94999999999999"/>
    <n v="12.59"/>
    <x v="271"/>
    <x v="2"/>
    <n v="2025"/>
    <x v="0"/>
    <n v="126.36"/>
    <n v="0.212883823994935"/>
    <x v="0"/>
    <x v="0"/>
  </r>
  <r>
    <x v="1353"/>
    <x v="619"/>
    <x v="1130"/>
    <x v="1"/>
    <x v="17"/>
    <x v="3"/>
    <x v="2"/>
    <x v="5"/>
    <x v="0"/>
    <x v="1274"/>
    <x v="2"/>
    <n v="173.45"/>
    <n v="15.65"/>
    <x v="1293"/>
    <x v="2"/>
    <n v="2025"/>
    <x v="0"/>
    <n v="147.4325"/>
    <n v="0.23983857019313901"/>
    <x v="0"/>
    <x v="0"/>
  </r>
  <r>
    <x v="1354"/>
    <x v="620"/>
    <x v="1131"/>
    <x v="2"/>
    <x v="6"/>
    <x v="2"/>
    <x v="2"/>
    <x v="21"/>
    <x v="1"/>
    <x v="1275"/>
    <x v="1"/>
    <n v="253.6"/>
    <n v="18.23"/>
    <x v="1294"/>
    <x v="1"/>
    <n v="2025"/>
    <x v="0"/>
    <n v="202.88"/>
    <n v="0.222643927444795"/>
    <x v="0"/>
    <x v="0"/>
  </r>
  <r>
    <x v="1355"/>
    <x v="620"/>
    <x v="210"/>
    <x v="0"/>
    <x v="13"/>
    <x v="0"/>
    <x v="0"/>
    <x v="35"/>
    <x v="3"/>
    <x v="1276"/>
    <x v="4"/>
    <n v="41.09"/>
    <n v="5.62"/>
    <x v="1295"/>
    <x v="3"/>
    <n v="2025"/>
    <x v="0"/>
    <n v="39.035499999999999"/>
    <n v="0.29921481728170501"/>
    <x v="1"/>
    <x v="0"/>
  </r>
  <r>
    <x v="1356"/>
    <x v="620"/>
    <x v="1132"/>
    <x v="1"/>
    <x v="5"/>
    <x v="3"/>
    <x v="2"/>
    <x v="15"/>
    <x v="2"/>
    <x v="1277"/>
    <x v="0"/>
    <n v="612.96"/>
    <n v="11.3"/>
    <x v="1296"/>
    <x v="1"/>
    <n v="2025"/>
    <x v="0"/>
    <n v="612.96"/>
    <n v="0.38155833985904503"/>
    <x v="2"/>
    <x v="0"/>
  </r>
  <r>
    <x v="1357"/>
    <x v="620"/>
    <x v="84"/>
    <x v="2"/>
    <x v="2"/>
    <x v="0"/>
    <x v="0"/>
    <x v="29"/>
    <x v="2"/>
    <x v="1278"/>
    <x v="2"/>
    <n v="88.77"/>
    <n v="9.8800000000000008"/>
    <x v="1297"/>
    <x v="0"/>
    <n v="2025"/>
    <x v="0"/>
    <n v="75.454499999999996"/>
    <n v="0.28427727968510802"/>
    <x v="1"/>
    <x v="0"/>
  </r>
  <r>
    <x v="1358"/>
    <x v="620"/>
    <x v="1133"/>
    <x v="1"/>
    <x v="14"/>
    <x v="1"/>
    <x v="2"/>
    <x v="34"/>
    <x v="3"/>
    <x v="1279"/>
    <x v="3"/>
    <n v="14.69"/>
    <n v="9.3699999999999992"/>
    <x v="997"/>
    <x v="1"/>
    <n v="2025"/>
    <x v="0"/>
    <n v="13.221"/>
    <n v="-0.3380984796914"/>
    <x v="1"/>
    <x v="1"/>
  </r>
  <r>
    <x v="1359"/>
    <x v="620"/>
    <x v="1134"/>
    <x v="1"/>
    <x v="0"/>
    <x v="0"/>
    <x v="0"/>
    <x v="22"/>
    <x v="4"/>
    <x v="1280"/>
    <x v="0"/>
    <n v="557.76"/>
    <n v="10.11"/>
    <x v="1298"/>
    <x v="3"/>
    <n v="2025"/>
    <x v="0"/>
    <n v="557.76"/>
    <n v="0.43187033849684398"/>
    <x v="2"/>
    <x v="0"/>
  </r>
  <r>
    <x v="1360"/>
    <x v="621"/>
    <x v="1135"/>
    <x v="1"/>
    <x v="12"/>
    <x v="4"/>
    <x v="0"/>
    <x v="7"/>
    <x v="6"/>
    <x v="1281"/>
    <x v="1"/>
    <n v="356.83"/>
    <n v="27.31"/>
    <x v="1299"/>
    <x v="1"/>
    <n v="2025"/>
    <x v="0"/>
    <n v="285.464"/>
    <n v="0.29495838354398402"/>
    <x v="0"/>
    <x v="0"/>
  </r>
  <r>
    <x v="1361"/>
    <x v="622"/>
    <x v="509"/>
    <x v="1"/>
    <x v="3"/>
    <x v="1"/>
    <x v="2"/>
    <x v="36"/>
    <x v="3"/>
    <x v="1282"/>
    <x v="0"/>
    <n v="291.52"/>
    <n v="8.7799999999999994"/>
    <x v="1300"/>
    <x v="1"/>
    <n v="2025"/>
    <x v="0"/>
    <n v="291.52"/>
    <n v="0.36988885839736602"/>
    <x v="0"/>
    <x v="0"/>
  </r>
  <r>
    <x v="1362"/>
    <x v="623"/>
    <x v="1136"/>
    <x v="1"/>
    <x v="19"/>
    <x v="1"/>
    <x v="3"/>
    <x v="24"/>
    <x v="0"/>
    <x v="1283"/>
    <x v="1"/>
    <n v="150.02000000000001"/>
    <n v="12.95"/>
    <x v="1301"/>
    <x v="2"/>
    <n v="2025"/>
    <x v="1"/>
    <n v="120.01600000000001"/>
    <n v="0.36086855085988501"/>
    <x v="0"/>
    <x v="0"/>
  </r>
  <r>
    <x v="1363"/>
    <x v="624"/>
    <x v="1137"/>
    <x v="1"/>
    <x v="1"/>
    <x v="1"/>
    <x v="0"/>
    <x v="31"/>
    <x v="3"/>
    <x v="1284"/>
    <x v="3"/>
    <n v="65.040000000000006"/>
    <n v="9.2200000000000006"/>
    <x v="1302"/>
    <x v="3"/>
    <n v="2025"/>
    <x v="1"/>
    <n v="58.536000000000001"/>
    <n v="0.27453191198578702"/>
    <x v="1"/>
    <x v="0"/>
  </r>
  <r>
    <x v="1364"/>
    <x v="625"/>
    <x v="1138"/>
    <x v="0"/>
    <x v="7"/>
    <x v="4"/>
    <x v="0"/>
    <x v="31"/>
    <x v="3"/>
    <x v="291"/>
    <x v="3"/>
    <n v="56.36"/>
    <n v="11.29"/>
    <x v="1303"/>
    <x v="2"/>
    <n v="2025"/>
    <x v="1"/>
    <n v="50.723999999999997"/>
    <n v="0.20956549168046701"/>
    <x v="1"/>
    <x v="0"/>
  </r>
  <r>
    <x v="1365"/>
    <x v="625"/>
    <x v="128"/>
    <x v="1"/>
    <x v="3"/>
    <x v="1"/>
    <x v="2"/>
    <x v="8"/>
    <x v="6"/>
    <x v="1285"/>
    <x v="6"/>
    <n v="243.65"/>
    <n v="12.24"/>
    <x v="1304"/>
    <x v="0"/>
    <n v="2025"/>
    <x v="1"/>
    <n v="182.73750000000001"/>
    <n v="0.19968534099459601"/>
    <x v="0"/>
    <x v="0"/>
  </r>
  <r>
    <x v="1366"/>
    <x v="626"/>
    <x v="1139"/>
    <x v="1"/>
    <x v="10"/>
    <x v="3"/>
    <x v="3"/>
    <x v="33"/>
    <x v="1"/>
    <x v="1286"/>
    <x v="4"/>
    <n v="105.83"/>
    <n v="18.91"/>
    <x v="1305"/>
    <x v="2"/>
    <n v="2025"/>
    <x v="1"/>
    <n v="100.5385"/>
    <n v="0.31052780775523797"/>
    <x v="0"/>
    <x v="0"/>
  </r>
  <r>
    <x v="1367"/>
    <x v="626"/>
    <x v="1140"/>
    <x v="1"/>
    <x v="14"/>
    <x v="1"/>
    <x v="3"/>
    <x v="33"/>
    <x v="4"/>
    <x v="484"/>
    <x v="4"/>
    <n v="201.15"/>
    <n v="17.46"/>
    <x v="1306"/>
    <x v="0"/>
    <n v="2025"/>
    <x v="1"/>
    <n v="191.0925"/>
    <n v="0.407237332705365"/>
    <x v="0"/>
    <x v="0"/>
  </r>
  <r>
    <x v="1368"/>
    <x v="626"/>
    <x v="1141"/>
    <x v="0"/>
    <x v="2"/>
    <x v="0"/>
    <x v="0"/>
    <x v="1"/>
    <x v="2"/>
    <x v="1287"/>
    <x v="4"/>
    <n v="281.27999999999997"/>
    <n v="9.59"/>
    <x v="1307"/>
    <x v="1"/>
    <n v="2025"/>
    <x v="1"/>
    <n v="267.21600000000001"/>
    <n v="0.40734836237351002"/>
    <x v="0"/>
    <x v="0"/>
  </r>
  <r>
    <x v="1369"/>
    <x v="626"/>
    <x v="1142"/>
    <x v="1"/>
    <x v="3"/>
    <x v="1"/>
    <x v="3"/>
    <x v="37"/>
    <x v="5"/>
    <x v="1288"/>
    <x v="0"/>
    <n v="133.94999999999999"/>
    <n v="18.600000000000001"/>
    <x v="1308"/>
    <x v="2"/>
    <n v="2025"/>
    <x v="1"/>
    <n v="133.94999999999999"/>
    <n v="0.36110488988428502"/>
    <x v="0"/>
    <x v="0"/>
  </r>
  <r>
    <x v="1370"/>
    <x v="627"/>
    <x v="1143"/>
    <x v="1"/>
    <x v="5"/>
    <x v="3"/>
    <x v="3"/>
    <x v="24"/>
    <x v="2"/>
    <x v="1289"/>
    <x v="3"/>
    <n v="49.91"/>
    <n v="11.7"/>
    <x v="1309"/>
    <x v="2"/>
    <n v="2025"/>
    <x v="1"/>
    <n v="44.918999999999997"/>
    <n v="0.233308844809546"/>
    <x v="1"/>
    <x v="0"/>
  </r>
  <r>
    <x v="1371"/>
    <x v="627"/>
    <x v="1144"/>
    <x v="1"/>
    <x v="2"/>
    <x v="0"/>
    <x v="1"/>
    <x v="17"/>
    <x v="1"/>
    <x v="963"/>
    <x v="4"/>
    <n v="35.799999999999997"/>
    <n v="14.51"/>
    <x v="1310"/>
    <x v="0"/>
    <n v="2025"/>
    <x v="1"/>
    <n v="34.01"/>
    <n v="0.127315495442517"/>
    <x v="1"/>
    <x v="0"/>
  </r>
  <r>
    <x v="1372"/>
    <x v="628"/>
    <x v="1145"/>
    <x v="1"/>
    <x v="17"/>
    <x v="3"/>
    <x v="0"/>
    <x v="0"/>
    <x v="3"/>
    <x v="1290"/>
    <x v="0"/>
    <n v="119.38"/>
    <n v="9.73"/>
    <x v="1311"/>
    <x v="1"/>
    <n v="2025"/>
    <x v="1"/>
    <n v="119.38"/>
    <n v="0.36848718378287798"/>
    <x v="0"/>
    <x v="0"/>
  </r>
  <r>
    <x v="1373"/>
    <x v="628"/>
    <x v="1146"/>
    <x v="1"/>
    <x v="9"/>
    <x v="3"/>
    <x v="0"/>
    <x v="3"/>
    <x v="0"/>
    <x v="1291"/>
    <x v="2"/>
    <n v="145.47999999999999"/>
    <n v="10.86"/>
    <x v="1312"/>
    <x v="3"/>
    <n v="2025"/>
    <x v="1"/>
    <n v="123.658"/>
    <n v="0.32743534587329598"/>
    <x v="0"/>
    <x v="0"/>
  </r>
  <r>
    <x v="1374"/>
    <x v="629"/>
    <x v="1046"/>
    <x v="1"/>
    <x v="4"/>
    <x v="2"/>
    <x v="1"/>
    <x v="20"/>
    <x v="7"/>
    <x v="1292"/>
    <x v="2"/>
    <n v="95.61"/>
    <n v="23.41"/>
    <x v="150"/>
    <x v="1"/>
    <n v="2025"/>
    <x v="1"/>
    <n v="81.268500000000003"/>
    <n v="0.26553953868965202"/>
    <x v="1"/>
    <x v="0"/>
  </r>
  <r>
    <x v="1375"/>
    <x v="629"/>
    <x v="1147"/>
    <x v="2"/>
    <x v="13"/>
    <x v="0"/>
    <x v="3"/>
    <x v="37"/>
    <x v="5"/>
    <x v="1293"/>
    <x v="3"/>
    <n v="229.95"/>
    <n v="11.04"/>
    <x v="1313"/>
    <x v="3"/>
    <n v="2025"/>
    <x v="1"/>
    <n v="206.95500000000001"/>
    <n v="0.44048223043656798"/>
    <x v="0"/>
    <x v="0"/>
  </r>
  <r>
    <x v="1376"/>
    <x v="630"/>
    <x v="1148"/>
    <x v="1"/>
    <x v="13"/>
    <x v="0"/>
    <x v="3"/>
    <x v="16"/>
    <x v="3"/>
    <x v="1294"/>
    <x v="2"/>
    <n v="22.48"/>
    <n v="6.09"/>
    <x v="1028"/>
    <x v="2"/>
    <n v="2025"/>
    <x v="1"/>
    <n v="19.108000000000001"/>
    <n v="0.16589909985346399"/>
    <x v="1"/>
    <x v="0"/>
  </r>
  <r>
    <x v="1377"/>
    <x v="630"/>
    <x v="1149"/>
    <x v="0"/>
    <x v="13"/>
    <x v="0"/>
    <x v="1"/>
    <x v="23"/>
    <x v="3"/>
    <x v="1295"/>
    <x v="6"/>
    <n v="11.65"/>
    <n v="6.71"/>
    <x v="1314"/>
    <x v="0"/>
    <n v="2025"/>
    <x v="1"/>
    <n v="8.7375000000000007"/>
    <n v="-0.23462088698140199"/>
    <x v="1"/>
    <x v="1"/>
  </r>
  <r>
    <x v="1378"/>
    <x v="631"/>
    <x v="235"/>
    <x v="1"/>
    <x v="2"/>
    <x v="0"/>
    <x v="2"/>
    <x v="32"/>
    <x v="3"/>
    <x v="1296"/>
    <x v="0"/>
    <n v="42.63"/>
    <n v="7.17"/>
    <x v="1315"/>
    <x v="1"/>
    <n v="2025"/>
    <x v="1"/>
    <n v="42.63"/>
    <n v="0.23176167018531599"/>
    <x v="1"/>
    <x v="0"/>
  </r>
  <r>
    <x v="1379"/>
    <x v="631"/>
    <x v="741"/>
    <x v="1"/>
    <x v="13"/>
    <x v="0"/>
    <x v="2"/>
    <x v="4"/>
    <x v="3"/>
    <x v="1297"/>
    <x v="3"/>
    <n v="271.87"/>
    <n v="6.17"/>
    <x v="1316"/>
    <x v="2"/>
    <n v="2025"/>
    <x v="1"/>
    <n v="244.68299999999999"/>
    <n v="0.34514044702737801"/>
    <x v="0"/>
    <x v="0"/>
  </r>
  <r>
    <x v="1380"/>
    <x v="632"/>
    <x v="1150"/>
    <x v="1"/>
    <x v="14"/>
    <x v="1"/>
    <x v="2"/>
    <x v="34"/>
    <x v="0"/>
    <x v="1298"/>
    <x v="4"/>
    <n v="64.5"/>
    <n v="12.28"/>
    <x v="1317"/>
    <x v="1"/>
    <n v="2025"/>
    <x v="1"/>
    <n v="61.274999999999999"/>
    <n v="0.18751529987760099"/>
    <x v="1"/>
    <x v="0"/>
  </r>
  <r>
    <x v="1381"/>
    <x v="632"/>
    <x v="1069"/>
    <x v="1"/>
    <x v="0"/>
    <x v="0"/>
    <x v="2"/>
    <x v="32"/>
    <x v="2"/>
    <x v="1299"/>
    <x v="0"/>
    <n v="121.18"/>
    <n v="7.99"/>
    <x v="1318"/>
    <x v="1"/>
    <n v="2025"/>
    <x v="1"/>
    <n v="121.18"/>
    <n v="0.33404852285855702"/>
    <x v="0"/>
    <x v="0"/>
  </r>
  <r>
    <x v="1382"/>
    <x v="633"/>
    <x v="1151"/>
    <x v="0"/>
    <x v="2"/>
    <x v="0"/>
    <x v="1"/>
    <x v="12"/>
    <x v="2"/>
    <x v="1300"/>
    <x v="3"/>
    <n v="29.16"/>
    <n v="6.5"/>
    <x v="1319"/>
    <x v="3"/>
    <n v="2025"/>
    <x v="1"/>
    <n v="26.244"/>
    <n v="0.30787989635726298"/>
    <x v="1"/>
    <x v="0"/>
  </r>
  <r>
    <x v="1383"/>
    <x v="633"/>
    <x v="779"/>
    <x v="2"/>
    <x v="13"/>
    <x v="0"/>
    <x v="0"/>
    <x v="0"/>
    <x v="3"/>
    <x v="1301"/>
    <x v="4"/>
    <n v="218.59"/>
    <n v="7.29"/>
    <x v="1320"/>
    <x v="1"/>
    <n v="2025"/>
    <x v="1"/>
    <n v="207.66050000000001"/>
    <n v="0.40806990255729902"/>
    <x v="0"/>
    <x v="0"/>
  </r>
  <r>
    <x v="1384"/>
    <x v="634"/>
    <x v="577"/>
    <x v="0"/>
    <x v="9"/>
    <x v="3"/>
    <x v="0"/>
    <x v="3"/>
    <x v="6"/>
    <x v="1302"/>
    <x v="2"/>
    <n v="465.88"/>
    <n v="25.97"/>
    <x v="1321"/>
    <x v="1"/>
    <n v="2025"/>
    <x v="1"/>
    <n v="395.99799999999999"/>
    <n v="0.34962297789382801"/>
    <x v="0"/>
    <x v="0"/>
  </r>
  <r>
    <x v="1385"/>
    <x v="635"/>
    <x v="1152"/>
    <x v="1"/>
    <x v="3"/>
    <x v="1"/>
    <x v="2"/>
    <x v="8"/>
    <x v="0"/>
    <x v="1303"/>
    <x v="1"/>
    <n v="111.5"/>
    <n v="8.73"/>
    <x v="1322"/>
    <x v="2"/>
    <n v="2025"/>
    <x v="1"/>
    <n v="89.2"/>
    <n v="0.21457399103138999"/>
    <x v="0"/>
    <x v="0"/>
  </r>
  <r>
    <x v="1386"/>
    <x v="636"/>
    <x v="1153"/>
    <x v="1"/>
    <x v="17"/>
    <x v="3"/>
    <x v="3"/>
    <x v="27"/>
    <x v="0"/>
    <x v="1304"/>
    <x v="3"/>
    <n v="145.1"/>
    <n v="16.16"/>
    <x v="1323"/>
    <x v="1"/>
    <n v="2025"/>
    <x v="1"/>
    <n v="130.59"/>
    <n v="0.37008959338387298"/>
    <x v="0"/>
    <x v="0"/>
  </r>
  <r>
    <x v="1387"/>
    <x v="637"/>
    <x v="260"/>
    <x v="0"/>
    <x v="9"/>
    <x v="3"/>
    <x v="1"/>
    <x v="10"/>
    <x v="3"/>
    <x v="1305"/>
    <x v="1"/>
    <n v="2.42"/>
    <n v="11.16"/>
    <x v="1324"/>
    <x v="0"/>
    <n v="2025"/>
    <x v="1"/>
    <n v="1.9359999999999999"/>
    <n v="-5.2169421487603298"/>
    <x v="1"/>
    <x v="1"/>
  </r>
  <r>
    <x v="1388"/>
    <x v="637"/>
    <x v="1154"/>
    <x v="1"/>
    <x v="17"/>
    <x v="3"/>
    <x v="1"/>
    <x v="17"/>
    <x v="3"/>
    <x v="1306"/>
    <x v="0"/>
    <n v="15.32"/>
    <n v="10.87"/>
    <x v="1325"/>
    <x v="1"/>
    <n v="2025"/>
    <x v="1"/>
    <n v="15.32"/>
    <n v="-0.159268929503916"/>
    <x v="1"/>
    <x v="1"/>
  </r>
  <r>
    <x v="1389"/>
    <x v="637"/>
    <x v="347"/>
    <x v="2"/>
    <x v="19"/>
    <x v="1"/>
    <x v="0"/>
    <x v="35"/>
    <x v="3"/>
    <x v="1080"/>
    <x v="1"/>
    <n v="37.96"/>
    <n v="8.7200000000000006"/>
    <x v="440"/>
    <x v="1"/>
    <n v="2025"/>
    <x v="1"/>
    <n v="30.367999999999999"/>
    <n v="0.103398314014752"/>
    <x v="1"/>
    <x v="0"/>
  </r>
  <r>
    <x v="1390"/>
    <x v="637"/>
    <x v="1155"/>
    <x v="1"/>
    <x v="14"/>
    <x v="1"/>
    <x v="1"/>
    <x v="19"/>
    <x v="3"/>
    <x v="1307"/>
    <x v="0"/>
    <n v="12.93"/>
    <n v="8.94"/>
    <x v="1326"/>
    <x v="2"/>
    <n v="2025"/>
    <x v="1"/>
    <n v="12.93"/>
    <n v="-0.1415313225058"/>
    <x v="1"/>
    <x v="1"/>
  </r>
  <r>
    <x v="1391"/>
    <x v="638"/>
    <x v="1156"/>
    <x v="2"/>
    <x v="2"/>
    <x v="0"/>
    <x v="3"/>
    <x v="13"/>
    <x v="3"/>
    <x v="1308"/>
    <x v="4"/>
    <n v="68.31"/>
    <n v="7.27"/>
    <x v="1327"/>
    <x v="1"/>
    <n v="2025"/>
    <x v="1"/>
    <n v="64.894499999999994"/>
    <n v="0.38662752621562702"/>
    <x v="1"/>
    <x v="0"/>
  </r>
  <r>
    <x v="1392"/>
    <x v="638"/>
    <x v="1157"/>
    <x v="1"/>
    <x v="16"/>
    <x v="3"/>
    <x v="0"/>
    <x v="1"/>
    <x v="3"/>
    <x v="998"/>
    <x v="0"/>
    <n v="167.77"/>
    <n v="10.07"/>
    <x v="1328"/>
    <x v="1"/>
    <n v="2025"/>
    <x v="1"/>
    <n v="167.77"/>
    <n v="0.389998211837635"/>
    <x v="0"/>
    <x v="0"/>
  </r>
  <r>
    <x v="1393"/>
    <x v="639"/>
    <x v="755"/>
    <x v="1"/>
    <x v="5"/>
    <x v="3"/>
    <x v="3"/>
    <x v="13"/>
    <x v="2"/>
    <x v="444"/>
    <x v="0"/>
    <n v="123.08"/>
    <n v="12.34"/>
    <x v="1329"/>
    <x v="1"/>
    <n v="2025"/>
    <x v="1"/>
    <n v="123.08"/>
    <n v="0.39974000649983799"/>
    <x v="0"/>
    <x v="0"/>
  </r>
  <r>
    <x v="1394"/>
    <x v="639"/>
    <x v="1158"/>
    <x v="1"/>
    <x v="19"/>
    <x v="1"/>
    <x v="0"/>
    <x v="1"/>
    <x v="3"/>
    <x v="1309"/>
    <x v="4"/>
    <n v="138.88999999999999"/>
    <n v="7.89"/>
    <x v="1330"/>
    <x v="0"/>
    <n v="2025"/>
    <x v="1"/>
    <n v="131.94550000000001"/>
    <n v="0.383415880041381"/>
    <x v="0"/>
    <x v="0"/>
  </r>
  <r>
    <x v="1395"/>
    <x v="640"/>
    <x v="1159"/>
    <x v="0"/>
    <x v="14"/>
    <x v="1"/>
    <x v="2"/>
    <x v="34"/>
    <x v="3"/>
    <x v="1310"/>
    <x v="3"/>
    <n v="36.29"/>
    <n v="9.2899999999999991"/>
    <x v="1331"/>
    <x v="0"/>
    <n v="2025"/>
    <x v="1"/>
    <n v="32.661000000000001"/>
    <n v="8.6035332659747096E-2"/>
    <x v="1"/>
    <x v="0"/>
  </r>
  <r>
    <x v="1396"/>
    <x v="641"/>
    <x v="1160"/>
    <x v="1"/>
    <x v="5"/>
    <x v="3"/>
    <x v="0"/>
    <x v="0"/>
    <x v="4"/>
    <x v="1311"/>
    <x v="2"/>
    <n v="1162.8"/>
    <n v="21.34"/>
    <x v="1332"/>
    <x v="1"/>
    <n v="2025"/>
    <x v="1"/>
    <n v="988.38"/>
    <n v="0.393634027398369"/>
    <x v="2"/>
    <x v="0"/>
  </r>
  <r>
    <x v="1397"/>
    <x v="641"/>
    <x v="10"/>
    <x v="1"/>
    <x v="18"/>
    <x v="4"/>
    <x v="0"/>
    <x v="0"/>
    <x v="10"/>
    <x v="1312"/>
    <x v="0"/>
    <n v="963.9"/>
    <n v="24.75"/>
    <x v="1333"/>
    <x v="2"/>
    <n v="2025"/>
    <x v="1"/>
    <n v="963.9"/>
    <n v="0.42431787529826798"/>
    <x v="2"/>
    <x v="0"/>
  </r>
  <r>
    <x v="1398"/>
    <x v="642"/>
    <x v="1161"/>
    <x v="1"/>
    <x v="2"/>
    <x v="0"/>
    <x v="1"/>
    <x v="25"/>
    <x v="3"/>
    <x v="1313"/>
    <x v="4"/>
    <n v="11.15"/>
    <n v="7.16"/>
    <x v="1334"/>
    <x v="1"/>
    <n v="2025"/>
    <x v="1"/>
    <n v="10.592499999999999"/>
    <n v="-0.12178428133113101"/>
    <x v="1"/>
    <x v="1"/>
  </r>
  <r>
    <x v="1399"/>
    <x v="642"/>
    <x v="0"/>
    <x v="2"/>
    <x v="9"/>
    <x v="3"/>
    <x v="0"/>
    <x v="31"/>
    <x v="2"/>
    <x v="352"/>
    <x v="4"/>
    <n v="346.77"/>
    <n v="10.49"/>
    <x v="1335"/>
    <x v="3"/>
    <n v="2025"/>
    <x v="1"/>
    <n v="329.43150000000003"/>
    <n v="0.41137535420868998"/>
    <x v="0"/>
    <x v="0"/>
  </r>
  <r>
    <x v="1400"/>
    <x v="643"/>
    <x v="1162"/>
    <x v="2"/>
    <x v="7"/>
    <x v="4"/>
    <x v="0"/>
    <x v="28"/>
    <x v="6"/>
    <x v="1314"/>
    <x v="2"/>
    <n v="351.88"/>
    <n v="23.53"/>
    <x v="1336"/>
    <x v="1"/>
    <n v="2025"/>
    <x v="1"/>
    <n v="299.09800000000001"/>
    <n v="0.33654521260590198"/>
    <x v="0"/>
    <x v="0"/>
  </r>
  <r>
    <x v="1401"/>
    <x v="644"/>
    <x v="1163"/>
    <x v="2"/>
    <x v="0"/>
    <x v="0"/>
    <x v="2"/>
    <x v="15"/>
    <x v="2"/>
    <x v="1315"/>
    <x v="0"/>
    <n v="479.86"/>
    <n v="6.98"/>
    <x v="1337"/>
    <x v="1"/>
    <n v="2025"/>
    <x v="1"/>
    <n v="479.86"/>
    <n v="0.385445755011878"/>
    <x v="0"/>
    <x v="0"/>
  </r>
  <r>
    <x v="1402"/>
    <x v="645"/>
    <x v="1164"/>
    <x v="1"/>
    <x v="15"/>
    <x v="2"/>
    <x v="0"/>
    <x v="3"/>
    <x v="2"/>
    <x v="1316"/>
    <x v="3"/>
    <n v="87.28"/>
    <n v="12.86"/>
    <x v="1338"/>
    <x v="0"/>
    <n v="2025"/>
    <x v="2"/>
    <n v="78.552000000000007"/>
    <n v="0.26835726652408598"/>
    <x v="1"/>
    <x v="0"/>
  </r>
  <r>
    <x v="1403"/>
    <x v="645"/>
    <x v="417"/>
    <x v="2"/>
    <x v="0"/>
    <x v="0"/>
    <x v="0"/>
    <x v="29"/>
    <x v="1"/>
    <x v="1317"/>
    <x v="3"/>
    <n v="164.77"/>
    <n v="13.41"/>
    <x v="1339"/>
    <x v="1"/>
    <n v="2025"/>
    <x v="2"/>
    <n v="148.29300000000001"/>
    <n v="0.341688414153062"/>
    <x v="0"/>
    <x v="0"/>
  </r>
  <r>
    <x v="1404"/>
    <x v="646"/>
    <x v="792"/>
    <x v="1"/>
    <x v="19"/>
    <x v="1"/>
    <x v="1"/>
    <x v="19"/>
    <x v="4"/>
    <x v="1318"/>
    <x v="2"/>
    <n v="74.87"/>
    <n v="15.34"/>
    <x v="522"/>
    <x v="1"/>
    <n v="2025"/>
    <x v="2"/>
    <n v="63.639499999999998"/>
    <n v="0.312541739014291"/>
    <x v="1"/>
    <x v="0"/>
  </r>
  <r>
    <x v="1405"/>
    <x v="647"/>
    <x v="1165"/>
    <x v="0"/>
    <x v="19"/>
    <x v="1"/>
    <x v="2"/>
    <x v="15"/>
    <x v="1"/>
    <x v="1319"/>
    <x v="0"/>
    <n v="655.88"/>
    <n v="16.75"/>
    <x v="1340"/>
    <x v="2"/>
    <n v="2025"/>
    <x v="2"/>
    <n v="655.88"/>
    <n v="0.37445874245288802"/>
    <x v="2"/>
    <x v="0"/>
  </r>
  <r>
    <x v="1406"/>
    <x v="647"/>
    <x v="1166"/>
    <x v="1"/>
    <x v="18"/>
    <x v="4"/>
    <x v="3"/>
    <x v="11"/>
    <x v="0"/>
    <x v="1320"/>
    <x v="4"/>
    <n v="158.63"/>
    <n v="16.73"/>
    <x v="1341"/>
    <x v="0"/>
    <n v="2025"/>
    <x v="2"/>
    <n v="150.6985"/>
    <n v="0.38759509882314702"/>
    <x v="0"/>
    <x v="0"/>
  </r>
  <r>
    <x v="1407"/>
    <x v="647"/>
    <x v="1167"/>
    <x v="1"/>
    <x v="13"/>
    <x v="0"/>
    <x v="0"/>
    <x v="31"/>
    <x v="3"/>
    <x v="1321"/>
    <x v="4"/>
    <n v="107.06"/>
    <n v="6.08"/>
    <x v="1342"/>
    <x v="1"/>
    <n v="2025"/>
    <x v="2"/>
    <n v="101.70699999999999"/>
    <n v="0.38335611118212098"/>
    <x v="0"/>
    <x v="0"/>
  </r>
  <r>
    <x v="1408"/>
    <x v="647"/>
    <x v="1168"/>
    <x v="0"/>
    <x v="2"/>
    <x v="0"/>
    <x v="0"/>
    <x v="3"/>
    <x v="1"/>
    <x v="1322"/>
    <x v="2"/>
    <n v="241.47"/>
    <n v="7.41"/>
    <x v="1306"/>
    <x v="2"/>
    <n v="2025"/>
    <x v="2"/>
    <n v="205.24950000000001"/>
    <n v="0.37914830486797801"/>
    <x v="0"/>
    <x v="0"/>
  </r>
  <r>
    <x v="1409"/>
    <x v="648"/>
    <x v="1063"/>
    <x v="1"/>
    <x v="2"/>
    <x v="0"/>
    <x v="1"/>
    <x v="10"/>
    <x v="0"/>
    <x v="1323"/>
    <x v="0"/>
    <n v="11.16"/>
    <n v="9.25"/>
    <x v="1343"/>
    <x v="2"/>
    <n v="2025"/>
    <x v="2"/>
    <n v="11.16"/>
    <n v="-0.27867383512544802"/>
    <x v="1"/>
    <x v="1"/>
  </r>
  <r>
    <x v="1410"/>
    <x v="649"/>
    <x v="226"/>
    <x v="1"/>
    <x v="16"/>
    <x v="3"/>
    <x v="1"/>
    <x v="17"/>
    <x v="2"/>
    <x v="1324"/>
    <x v="4"/>
    <n v="21.75"/>
    <n v="11.85"/>
    <x v="69"/>
    <x v="3"/>
    <n v="2025"/>
    <x v="2"/>
    <n v="20.662500000000001"/>
    <n v="-1.9358741681790699E-2"/>
    <x v="1"/>
    <x v="1"/>
  </r>
  <r>
    <x v="1411"/>
    <x v="649"/>
    <x v="1169"/>
    <x v="2"/>
    <x v="0"/>
    <x v="0"/>
    <x v="1"/>
    <x v="25"/>
    <x v="4"/>
    <x v="1325"/>
    <x v="2"/>
    <n v="76.19"/>
    <n v="10.4"/>
    <x v="1344"/>
    <x v="1"/>
    <n v="2025"/>
    <x v="2"/>
    <n v="64.761499999999998"/>
    <n v="0.39298039730395401"/>
    <x v="1"/>
    <x v="0"/>
  </r>
  <r>
    <x v="1412"/>
    <x v="649"/>
    <x v="1170"/>
    <x v="1"/>
    <x v="3"/>
    <x v="1"/>
    <x v="0"/>
    <x v="3"/>
    <x v="3"/>
    <x v="1326"/>
    <x v="4"/>
    <n v="49.72"/>
    <n v="7.84"/>
    <x v="1345"/>
    <x v="3"/>
    <n v="2025"/>
    <x v="2"/>
    <n v="47.234000000000002"/>
    <n v="0.27713088029809002"/>
    <x v="1"/>
    <x v="0"/>
  </r>
  <r>
    <x v="1413"/>
    <x v="650"/>
    <x v="1171"/>
    <x v="0"/>
    <x v="16"/>
    <x v="3"/>
    <x v="2"/>
    <x v="39"/>
    <x v="4"/>
    <x v="1327"/>
    <x v="4"/>
    <n v="730.63"/>
    <n v="15.96"/>
    <x v="1346"/>
    <x v="0"/>
    <n v="2025"/>
    <x v="2"/>
    <n v="694.09849999999994"/>
    <n v="0.36481853800289199"/>
    <x v="2"/>
    <x v="0"/>
  </r>
  <r>
    <x v="1414"/>
    <x v="651"/>
    <x v="523"/>
    <x v="2"/>
    <x v="1"/>
    <x v="1"/>
    <x v="1"/>
    <x v="2"/>
    <x v="3"/>
    <x v="1328"/>
    <x v="0"/>
    <n v="7.4"/>
    <n v="8.0500000000000007"/>
    <x v="634"/>
    <x v="2"/>
    <n v="2025"/>
    <x v="2"/>
    <n v="7.4"/>
    <n v="-0.53783783783783801"/>
    <x v="1"/>
    <x v="1"/>
  </r>
  <r>
    <x v="1415"/>
    <x v="651"/>
    <x v="1172"/>
    <x v="0"/>
    <x v="0"/>
    <x v="0"/>
    <x v="1"/>
    <x v="17"/>
    <x v="3"/>
    <x v="1257"/>
    <x v="3"/>
    <n v="11.23"/>
    <n v="5.52"/>
    <x v="1347"/>
    <x v="1"/>
    <n v="2025"/>
    <x v="2"/>
    <n v="10.106999999999999"/>
    <n v="8.9047195013357092E-3"/>
    <x v="1"/>
    <x v="0"/>
  </r>
  <r>
    <x v="1416"/>
    <x v="652"/>
    <x v="734"/>
    <x v="1"/>
    <x v="4"/>
    <x v="2"/>
    <x v="2"/>
    <x v="14"/>
    <x v="3"/>
    <x v="1329"/>
    <x v="0"/>
    <n v="418.59"/>
    <n v="12.47"/>
    <x v="1348"/>
    <x v="1"/>
    <n v="2025"/>
    <x v="2"/>
    <n v="418.59"/>
    <n v="0.37021906877851801"/>
    <x v="0"/>
    <x v="0"/>
  </r>
  <r>
    <x v="1417"/>
    <x v="653"/>
    <x v="1173"/>
    <x v="1"/>
    <x v="12"/>
    <x v="4"/>
    <x v="0"/>
    <x v="18"/>
    <x v="2"/>
    <x v="1330"/>
    <x v="4"/>
    <n v="53.56"/>
    <n v="12.32"/>
    <x v="1349"/>
    <x v="0"/>
    <n v="2025"/>
    <x v="2"/>
    <n v="50.881999999999998"/>
    <n v="0.20105341771156801"/>
    <x v="1"/>
    <x v="0"/>
  </r>
  <r>
    <x v="1418"/>
    <x v="654"/>
    <x v="148"/>
    <x v="2"/>
    <x v="18"/>
    <x v="4"/>
    <x v="0"/>
    <x v="35"/>
    <x v="10"/>
    <x v="1141"/>
    <x v="1"/>
    <n v="330.84"/>
    <n v="24.56"/>
    <x v="217"/>
    <x v="1"/>
    <n v="2025"/>
    <x v="2"/>
    <n v="264.67200000000003"/>
    <n v="0.297840345786483"/>
    <x v="0"/>
    <x v="0"/>
  </r>
  <r>
    <x v="1419"/>
    <x v="655"/>
    <x v="1174"/>
    <x v="2"/>
    <x v="2"/>
    <x v="0"/>
    <x v="3"/>
    <x v="9"/>
    <x v="3"/>
    <x v="1331"/>
    <x v="0"/>
    <n v="48.23"/>
    <n v="6.21"/>
    <x v="1350"/>
    <x v="3"/>
    <n v="2025"/>
    <x v="2"/>
    <n v="48.23"/>
    <n v="0.37113829566659801"/>
    <x v="1"/>
    <x v="0"/>
  </r>
  <r>
    <x v="1420"/>
    <x v="656"/>
    <x v="517"/>
    <x v="2"/>
    <x v="2"/>
    <x v="0"/>
    <x v="1"/>
    <x v="19"/>
    <x v="5"/>
    <x v="1332"/>
    <x v="1"/>
    <n v="52.72"/>
    <n v="12.13"/>
    <x v="1351"/>
    <x v="3"/>
    <n v="2025"/>
    <x v="2"/>
    <n v="42.176000000000002"/>
    <n v="0.25915212443095598"/>
    <x v="1"/>
    <x v="0"/>
  </r>
  <r>
    <x v="1421"/>
    <x v="656"/>
    <x v="1175"/>
    <x v="1"/>
    <x v="0"/>
    <x v="0"/>
    <x v="3"/>
    <x v="33"/>
    <x v="3"/>
    <x v="1333"/>
    <x v="0"/>
    <n v="17.18"/>
    <n v="7.15"/>
    <x v="1352"/>
    <x v="2"/>
    <n v="2025"/>
    <x v="2"/>
    <n v="17.18"/>
    <n v="8.3818393480791606E-2"/>
    <x v="1"/>
    <x v="0"/>
  </r>
  <r>
    <x v="1422"/>
    <x v="656"/>
    <x v="362"/>
    <x v="1"/>
    <x v="14"/>
    <x v="1"/>
    <x v="2"/>
    <x v="5"/>
    <x v="2"/>
    <x v="1334"/>
    <x v="3"/>
    <n v="244.24"/>
    <n v="8.42"/>
    <x v="1353"/>
    <x v="2"/>
    <n v="2025"/>
    <x v="2"/>
    <n v="219.816"/>
    <n v="0.332050442188012"/>
    <x v="0"/>
    <x v="0"/>
  </r>
  <r>
    <x v="1423"/>
    <x v="657"/>
    <x v="1176"/>
    <x v="2"/>
    <x v="8"/>
    <x v="1"/>
    <x v="3"/>
    <x v="26"/>
    <x v="3"/>
    <x v="361"/>
    <x v="4"/>
    <n v="32.46"/>
    <n v="8.6999999999999993"/>
    <x v="1354"/>
    <x v="3"/>
    <n v="2025"/>
    <x v="2"/>
    <n v="30.837"/>
    <n v="0.216622888088984"/>
    <x v="1"/>
    <x v="0"/>
  </r>
  <r>
    <x v="1424"/>
    <x v="657"/>
    <x v="1177"/>
    <x v="2"/>
    <x v="3"/>
    <x v="1"/>
    <x v="0"/>
    <x v="3"/>
    <x v="2"/>
    <x v="1335"/>
    <x v="1"/>
    <n v="82.11"/>
    <n v="11.91"/>
    <x v="1355"/>
    <x v="1"/>
    <n v="2025"/>
    <x v="2"/>
    <n v="65.688000000000002"/>
    <n v="0.20932285957861399"/>
    <x v="1"/>
    <x v="0"/>
  </r>
  <r>
    <x v="1425"/>
    <x v="657"/>
    <x v="547"/>
    <x v="2"/>
    <x v="2"/>
    <x v="0"/>
    <x v="3"/>
    <x v="11"/>
    <x v="10"/>
    <x v="1336"/>
    <x v="4"/>
    <n v="550.02"/>
    <n v="22.61"/>
    <x v="1356"/>
    <x v="2"/>
    <n v="2025"/>
    <x v="2"/>
    <n v="522.51900000000001"/>
    <n v="0.455332724743024"/>
    <x v="2"/>
    <x v="0"/>
  </r>
  <r>
    <x v="1426"/>
    <x v="658"/>
    <x v="1178"/>
    <x v="1"/>
    <x v="19"/>
    <x v="1"/>
    <x v="2"/>
    <x v="39"/>
    <x v="0"/>
    <x v="1337"/>
    <x v="3"/>
    <n v="371.17"/>
    <n v="12.7"/>
    <x v="1357"/>
    <x v="2"/>
    <n v="2025"/>
    <x v="2"/>
    <n v="334.053"/>
    <n v="0.33234247260165301"/>
    <x v="0"/>
    <x v="0"/>
  </r>
  <r>
    <x v="1427"/>
    <x v="659"/>
    <x v="160"/>
    <x v="1"/>
    <x v="9"/>
    <x v="3"/>
    <x v="3"/>
    <x v="27"/>
    <x v="3"/>
    <x v="1338"/>
    <x v="0"/>
    <n v="61.85"/>
    <n v="11.16"/>
    <x v="1358"/>
    <x v="2"/>
    <n v="2025"/>
    <x v="2"/>
    <n v="61.85"/>
    <n v="0.319644300727567"/>
    <x v="1"/>
    <x v="0"/>
  </r>
  <r>
    <x v="1428"/>
    <x v="659"/>
    <x v="1179"/>
    <x v="0"/>
    <x v="6"/>
    <x v="2"/>
    <x v="0"/>
    <x v="18"/>
    <x v="1"/>
    <x v="1339"/>
    <x v="3"/>
    <n v="242.53"/>
    <n v="15.81"/>
    <x v="1359"/>
    <x v="2"/>
    <n v="2025"/>
    <x v="2"/>
    <n v="218.27699999999999"/>
    <n v="0.35968058934289898"/>
    <x v="0"/>
    <x v="0"/>
  </r>
  <r>
    <x v="1429"/>
    <x v="660"/>
    <x v="1180"/>
    <x v="1"/>
    <x v="2"/>
    <x v="0"/>
    <x v="0"/>
    <x v="3"/>
    <x v="0"/>
    <x v="1340"/>
    <x v="4"/>
    <n v="232.53"/>
    <n v="7.31"/>
    <x v="1360"/>
    <x v="2"/>
    <n v="2025"/>
    <x v="2"/>
    <n v="220.90350000000001"/>
    <n v="0.41013383672055898"/>
    <x v="0"/>
    <x v="0"/>
  </r>
  <r>
    <x v="1430"/>
    <x v="661"/>
    <x v="1181"/>
    <x v="1"/>
    <x v="17"/>
    <x v="3"/>
    <x v="2"/>
    <x v="34"/>
    <x v="0"/>
    <x v="1341"/>
    <x v="4"/>
    <n v="138.68"/>
    <n v="11.5"/>
    <x v="1361"/>
    <x v="0"/>
    <n v="2025"/>
    <x v="2"/>
    <n v="131.74600000000001"/>
    <n v="0.30050248204879099"/>
    <x v="0"/>
    <x v="0"/>
  </r>
  <r>
    <x v="1431"/>
    <x v="661"/>
    <x v="1182"/>
    <x v="0"/>
    <x v="0"/>
    <x v="0"/>
    <x v="3"/>
    <x v="30"/>
    <x v="6"/>
    <x v="1342"/>
    <x v="4"/>
    <n v="199.3"/>
    <n v="15.57"/>
    <x v="1362"/>
    <x v="3"/>
    <n v="2025"/>
    <x v="2"/>
    <n v="189.33500000000001"/>
    <n v="0.41640478516914498"/>
    <x v="0"/>
    <x v="0"/>
  </r>
  <r>
    <x v="1432"/>
    <x v="662"/>
    <x v="937"/>
    <x v="0"/>
    <x v="4"/>
    <x v="2"/>
    <x v="0"/>
    <x v="28"/>
    <x v="3"/>
    <x v="1343"/>
    <x v="4"/>
    <n v="27.57"/>
    <n v="11.87"/>
    <x v="965"/>
    <x v="0"/>
    <n v="2025"/>
    <x v="2"/>
    <n v="26.191500000000001"/>
    <n v="-9.9268846763262905E-3"/>
    <x v="1"/>
    <x v="1"/>
  </r>
  <r>
    <x v="1433"/>
    <x v="663"/>
    <x v="1183"/>
    <x v="0"/>
    <x v="14"/>
    <x v="1"/>
    <x v="2"/>
    <x v="21"/>
    <x v="2"/>
    <x v="1344"/>
    <x v="4"/>
    <n v="149.72"/>
    <n v="11.19"/>
    <x v="1363"/>
    <x v="2"/>
    <n v="2025"/>
    <x v="2"/>
    <n v="142.23400000000001"/>
    <n v="0.30913846197111799"/>
    <x v="0"/>
    <x v="0"/>
  </r>
  <r>
    <x v="1434"/>
    <x v="663"/>
    <x v="1184"/>
    <x v="1"/>
    <x v="1"/>
    <x v="1"/>
    <x v="0"/>
    <x v="3"/>
    <x v="2"/>
    <x v="1345"/>
    <x v="0"/>
    <n v="135.82"/>
    <n v="8.98"/>
    <x v="1364"/>
    <x v="2"/>
    <n v="2025"/>
    <x v="2"/>
    <n v="135.82"/>
    <n v="0.38389044323369198"/>
    <x v="0"/>
    <x v="0"/>
  </r>
  <r>
    <x v="1435"/>
    <x v="664"/>
    <x v="1185"/>
    <x v="2"/>
    <x v="2"/>
    <x v="0"/>
    <x v="1"/>
    <x v="6"/>
    <x v="0"/>
    <x v="1346"/>
    <x v="3"/>
    <n v="47.2"/>
    <n v="7.91"/>
    <x v="1365"/>
    <x v="2"/>
    <n v="2025"/>
    <x v="2"/>
    <n v="42.48"/>
    <n v="0.36935028248587598"/>
    <x v="1"/>
    <x v="0"/>
  </r>
  <r>
    <x v="1436"/>
    <x v="665"/>
    <x v="1186"/>
    <x v="2"/>
    <x v="14"/>
    <x v="1"/>
    <x v="3"/>
    <x v="9"/>
    <x v="2"/>
    <x v="1347"/>
    <x v="3"/>
    <n v="99.56"/>
    <n v="10.62"/>
    <x v="1366"/>
    <x v="2"/>
    <n v="2025"/>
    <x v="2"/>
    <n v="89.603999999999999"/>
    <n v="0.37531806615776098"/>
    <x v="1"/>
    <x v="0"/>
  </r>
  <r>
    <x v="1437"/>
    <x v="665"/>
    <x v="1187"/>
    <x v="2"/>
    <x v="2"/>
    <x v="0"/>
    <x v="0"/>
    <x v="29"/>
    <x v="5"/>
    <x v="1348"/>
    <x v="4"/>
    <n v="120.94"/>
    <n v="16.36"/>
    <x v="336"/>
    <x v="1"/>
    <n v="2025"/>
    <x v="2"/>
    <n v="114.893"/>
    <n v="0.30080161541608302"/>
    <x v="0"/>
    <x v="0"/>
  </r>
  <r>
    <x v="1438"/>
    <x v="665"/>
    <x v="1188"/>
    <x v="0"/>
    <x v="3"/>
    <x v="1"/>
    <x v="1"/>
    <x v="23"/>
    <x v="1"/>
    <x v="1349"/>
    <x v="4"/>
    <n v="72.349999999999994"/>
    <n v="13.88"/>
    <x v="1367"/>
    <x v="1"/>
    <n v="2025"/>
    <x v="2"/>
    <n v="68.732500000000002"/>
    <n v="0.35208962281307998"/>
    <x v="1"/>
    <x v="0"/>
  </r>
  <r>
    <x v="1439"/>
    <x v="665"/>
    <x v="1189"/>
    <x v="1"/>
    <x v="14"/>
    <x v="1"/>
    <x v="2"/>
    <x v="34"/>
    <x v="2"/>
    <x v="1350"/>
    <x v="1"/>
    <n v="46.7"/>
    <n v="11.71"/>
    <x v="1368"/>
    <x v="1"/>
    <n v="2025"/>
    <x v="2"/>
    <n v="37.36"/>
    <n v="-1.0706638115631701E-3"/>
    <x v="1"/>
    <x v="1"/>
  </r>
  <r>
    <x v="1440"/>
    <x v="666"/>
    <x v="1190"/>
    <x v="1"/>
    <x v="15"/>
    <x v="2"/>
    <x v="0"/>
    <x v="22"/>
    <x v="2"/>
    <x v="1351"/>
    <x v="2"/>
    <n v="232.02"/>
    <n v="15.42"/>
    <x v="1369"/>
    <x v="3"/>
    <n v="2025"/>
    <x v="2"/>
    <n v="197.21700000000001"/>
    <n v="0.33703991035255598"/>
    <x v="0"/>
    <x v="0"/>
  </r>
  <r>
    <x v="1441"/>
    <x v="666"/>
    <x v="484"/>
    <x v="1"/>
    <x v="16"/>
    <x v="3"/>
    <x v="1"/>
    <x v="17"/>
    <x v="2"/>
    <x v="1352"/>
    <x v="6"/>
    <n v="30.33"/>
    <n v="10.69"/>
    <x v="1352"/>
    <x v="2"/>
    <n v="2025"/>
    <x v="2"/>
    <n v="22.747499999999999"/>
    <n v="6.3303659742828894E-2"/>
    <x v="1"/>
    <x v="0"/>
  </r>
  <r>
    <x v="1442"/>
    <x v="666"/>
    <x v="658"/>
    <x v="1"/>
    <x v="13"/>
    <x v="0"/>
    <x v="0"/>
    <x v="29"/>
    <x v="2"/>
    <x v="1353"/>
    <x v="4"/>
    <n v="93.02"/>
    <n v="9.1"/>
    <x v="1370"/>
    <x v="2"/>
    <n v="2025"/>
    <x v="2"/>
    <n v="88.369"/>
    <n v="0.34016453733775398"/>
    <x v="1"/>
    <x v="0"/>
  </r>
  <r>
    <x v="1443"/>
    <x v="667"/>
    <x v="402"/>
    <x v="2"/>
    <x v="0"/>
    <x v="0"/>
    <x v="3"/>
    <x v="27"/>
    <x v="3"/>
    <x v="1354"/>
    <x v="4"/>
    <n v="45.34"/>
    <n v="5.94"/>
    <x v="40"/>
    <x v="2"/>
    <n v="2025"/>
    <x v="2"/>
    <n v="43.073"/>
    <n v="0.36078285701019203"/>
    <x v="1"/>
    <x v="0"/>
  </r>
  <r>
    <x v="1444"/>
    <x v="668"/>
    <x v="1191"/>
    <x v="1"/>
    <x v="10"/>
    <x v="3"/>
    <x v="2"/>
    <x v="14"/>
    <x v="3"/>
    <x v="1355"/>
    <x v="1"/>
    <n v="215.05"/>
    <n v="10.37"/>
    <x v="1371"/>
    <x v="1"/>
    <n v="2025"/>
    <x v="2"/>
    <n v="172.04"/>
    <n v="0.25220878865380097"/>
    <x v="0"/>
    <x v="0"/>
  </r>
  <r>
    <x v="1445"/>
    <x v="669"/>
    <x v="1192"/>
    <x v="2"/>
    <x v="6"/>
    <x v="2"/>
    <x v="0"/>
    <x v="28"/>
    <x v="10"/>
    <x v="1356"/>
    <x v="3"/>
    <n v="412.13"/>
    <n v="17.34"/>
    <x v="1372"/>
    <x v="2"/>
    <n v="2025"/>
    <x v="2"/>
    <n v="370.91699999999997"/>
    <n v="0.38534227333877902"/>
    <x v="0"/>
    <x v="0"/>
  </r>
  <r>
    <x v="1446"/>
    <x v="669"/>
    <x v="1193"/>
    <x v="1"/>
    <x v="2"/>
    <x v="0"/>
    <x v="0"/>
    <x v="28"/>
    <x v="1"/>
    <x v="264"/>
    <x v="3"/>
    <n v="156.53"/>
    <n v="9.4600000000000009"/>
    <x v="1373"/>
    <x v="1"/>
    <n v="2025"/>
    <x v="2"/>
    <n v="140.87700000000001"/>
    <n v="0.36492827076101803"/>
    <x v="0"/>
    <x v="0"/>
  </r>
  <r>
    <x v="1447"/>
    <x v="670"/>
    <x v="1194"/>
    <x v="1"/>
    <x v="10"/>
    <x v="3"/>
    <x v="2"/>
    <x v="8"/>
    <x v="5"/>
    <x v="1357"/>
    <x v="0"/>
    <n v="225.85"/>
    <n v="16.440000000000001"/>
    <x v="1374"/>
    <x v="1"/>
    <n v="2025"/>
    <x v="2"/>
    <n v="225.85"/>
    <n v="0.32720832410892198"/>
    <x v="0"/>
    <x v="0"/>
  </r>
  <r>
    <x v="1448"/>
    <x v="670"/>
    <x v="1195"/>
    <x v="0"/>
    <x v="3"/>
    <x v="1"/>
    <x v="0"/>
    <x v="0"/>
    <x v="3"/>
    <x v="1358"/>
    <x v="2"/>
    <n v="66.13"/>
    <n v="9.26"/>
    <x v="1375"/>
    <x v="3"/>
    <n v="2025"/>
    <x v="2"/>
    <n v="56.210500000000003"/>
    <n v="0.25048700865496698"/>
    <x v="1"/>
    <x v="0"/>
  </r>
  <r>
    <x v="1449"/>
    <x v="670"/>
    <x v="1196"/>
    <x v="0"/>
    <x v="17"/>
    <x v="3"/>
    <x v="1"/>
    <x v="23"/>
    <x v="11"/>
    <x v="1359"/>
    <x v="6"/>
    <n v="122.02"/>
    <n v="23.11"/>
    <x v="1376"/>
    <x v="3"/>
    <n v="2025"/>
    <x v="2"/>
    <n v="91.515000000000001"/>
    <n v="0.280828279517019"/>
    <x v="0"/>
    <x v="0"/>
  </r>
  <r>
    <x v="1450"/>
    <x v="671"/>
    <x v="612"/>
    <x v="0"/>
    <x v="15"/>
    <x v="2"/>
    <x v="1"/>
    <x v="20"/>
    <x v="4"/>
    <x v="1360"/>
    <x v="4"/>
    <n v="101.63"/>
    <n v="21.4"/>
    <x v="1377"/>
    <x v="3"/>
    <n v="2025"/>
    <x v="3"/>
    <n v="96.548500000000004"/>
    <n v="0.33237181313018799"/>
    <x v="0"/>
    <x v="0"/>
  </r>
  <r>
    <x v="1451"/>
    <x v="672"/>
    <x v="1197"/>
    <x v="0"/>
    <x v="13"/>
    <x v="0"/>
    <x v="2"/>
    <x v="4"/>
    <x v="7"/>
    <x v="1361"/>
    <x v="0"/>
    <n v="1780.56"/>
    <n v="10.29"/>
    <x v="1378"/>
    <x v="2"/>
    <n v="2025"/>
    <x v="3"/>
    <n v="1780.56"/>
    <n v="0.39421867277710398"/>
    <x v="2"/>
    <x v="0"/>
  </r>
  <r>
    <x v="1452"/>
    <x v="672"/>
    <x v="1198"/>
    <x v="1"/>
    <x v="13"/>
    <x v="0"/>
    <x v="0"/>
    <x v="35"/>
    <x v="0"/>
    <x v="1362"/>
    <x v="0"/>
    <n v="128.97"/>
    <n v="6.89"/>
    <x v="1379"/>
    <x v="1"/>
    <n v="2025"/>
    <x v="3"/>
    <n v="128.97"/>
    <n v="0.39660386136310799"/>
    <x v="0"/>
    <x v="0"/>
  </r>
  <r>
    <x v="1453"/>
    <x v="672"/>
    <x v="1199"/>
    <x v="1"/>
    <x v="9"/>
    <x v="3"/>
    <x v="1"/>
    <x v="23"/>
    <x v="14"/>
    <x v="1363"/>
    <x v="0"/>
    <n v="160.72"/>
    <n v="39.83"/>
    <x v="1380"/>
    <x v="2"/>
    <n v="2025"/>
    <x v="3"/>
    <n v="160.72"/>
    <n v="0.30220258835241398"/>
    <x v="0"/>
    <x v="0"/>
  </r>
  <r>
    <x v="1454"/>
    <x v="673"/>
    <x v="1073"/>
    <x v="1"/>
    <x v="13"/>
    <x v="0"/>
    <x v="0"/>
    <x v="28"/>
    <x v="0"/>
    <x v="49"/>
    <x v="4"/>
    <n v="72.48"/>
    <n v="11.34"/>
    <x v="1381"/>
    <x v="1"/>
    <n v="2025"/>
    <x v="3"/>
    <n v="68.855999999999995"/>
    <n v="0.278552341117695"/>
    <x v="1"/>
    <x v="0"/>
  </r>
  <r>
    <x v="1455"/>
    <x v="673"/>
    <x v="1200"/>
    <x v="0"/>
    <x v="19"/>
    <x v="1"/>
    <x v="2"/>
    <x v="34"/>
    <x v="2"/>
    <x v="1364"/>
    <x v="0"/>
    <n v="69.84"/>
    <n v="11.92"/>
    <x v="1382"/>
    <x v="0"/>
    <n v="2025"/>
    <x v="3"/>
    <n v="69.84"/>
    <n v="0.22938144329896901"/>
    <x v="1"/>
    <x v="0"/>
  </r>
  <r>
    <x v="1456"/>
    <x v="673"/>
    <x v="579"/>
    <x v="1"/>
    <x v="16"/>
    <x v="3"/>
    <x v="3"/>
    <x v="9"/>
    <x v="0"/>
    <x v="1365"/>
    <x v="4"/>
    <n v="69.25"/>
    <n v="10.77"/>
    <x v="1383"/>
    <x v="2"/>
    <n v="2025"/>
    <x v="3"/>
    <n v="65.787499999999994"/>
    <n v="0.33486604598137998"/>
    <x v="1"/>
    <x v="0"/>
  </r>
  <r>
    <x v="1457"/>
    <x v="673"/>
    <x v="509"/>
    <x v="2"/>
    <x v="7"/>
    <x v="4"/>
    <x v="1"/>
    <x v="6"/>
    <x v="2"/>
    <x v="1366"/>
    <x v="4"/>
    <n v="25.5"/>
    <n v="12.38"/>
    <x v="1384"/>
    <x v="2"/>
    <n v="2025"/>
    <x v="3"/>
    <n v="24.225000000000001"/>
    <n v="4.2930856553147601E-2"/>
    <x v="1"/>
    <x v="0"/>
  </r>
  <r>
    <x v="1458"/>
    <x v="674"/>
    <x v="1201"/>
    <x v="0"/>
    <x v="13"/>
    <x v="0"/>
    <x v="0"/>
    <x v="29"/>
    <x v="2"/>
    <x v="1367"/>
    <x v="3"/>
    <n v="76.010000000000005"/>
    <n v="9.52"/>
    <x v="1385"/>
    <x v="2"/>
    <n v="2025"/>
    <x v="3"/>
    <n v="68.409000000000006"/>
    <n v="0.29294391088891802"/>
    <x v="1"/>
    <x v="0"/>
  </r>
  <r>
    <x v="1459"/>
    <x v="674"/>
    <x v="1045"/>
    <x v="0"/>
    <x v="17"/>
    <x v="3"/>
    <x v="0"/>
    <x v="29"/>
    <x v="1"/>
    <x v="1368"/>
    <x v="3"/>
    <n v="193.36"/>
    <n v="13.76"/>
    <x v="1386"/>
    <x v="1"/>
    <n v="2025"/>
    <x v="3"/>
    <n v="174.024"/>
    <n v="0.35305475106881801"/>
    <x v="0"/>
    <x v="0"/>
  </r>
  <r>
    <x v="1460"/>
    <x v="674"/>
    <x v="308"/>
    <x v="1"/>
    <x v="13"/>
    <x v="0"/>
    <x v="0"/>
    <x v="28"/>
    <x v="6"/>
    <x v="1369"/>
    <x v="0"/>
    <n v="161.63"/>
    <n v="20.84"/>
    <x v="1387"/>
    <x v="3"/>
    <n v="2025"/>
    <x v="3"/>
    <n v="161.63"/>
    <n v="0.32104188578852899"/>
    <x v="0"/>
    <x v="0"/>
  </r>
  <r>
    <x v="1461"/>
    <x v="675"/>
    <x v="1202"/>
    <x v="0"/>
    <x v="1"/>
    <x v="1"/>
    <x v="0"/>
    <x v="1"/>
    <x v="1"/>
    <x v="1370"/>
    <x v="4"/>
    <n v="626.39"/>
    <n v="11.35"/>
    <x v="1388"/>
    <x v="0"/>
    <n v="2025"/>
    <x v="3"/>
    <n v="595.07050000000004"/>
    <n v="0.424134619343422"/>
    <x v="2"/>
    <x v="0"/>
  </r>
  <r>
    <x v="1462"/>
    <x v="675"/>
    <x v="1203"/>
    <x v="2"/>
    <x v="1"/>
    <x v="1"/>
    <x v="0"/>
    <x v="0"/>
    <x v="3"/>
    <x v="1371"/>
    <x v="0"/>
    <n v="219.67"/>
    <n v="7.71"/>
    <x v="1389"/>
    <x v="0"/>
    <n v="2025"/>
    <x v="3"/>
    <n v="219.67"/>
    <n v="0.41489506987754399"/>
    <x v="0"/>
    <x v="0"/>
  </r>
  <r>
    <x v="1463"/>
    <x v="676"/>
    <x v="1018"/>
    <x v="1"/>
    <x v="9"/>
    <x v="3"/>
    <x v="1"/>
    <x v="20"/>
    <x v="1"/>
    <x v="1372"/>
    <x v="6"/>
    <n v="48.3"/>
    <n v="13.08"/>
    <x v="1390"/>
    <x v="2"/>
    <n v="2025"/>
    <x v="3"/>
    <n v="36.225000000000001"/>
    <n v="0.17225672877846801"/>
    <x v="1"/>
    <x v="0"/>
  </r>
  <r>
    <x v="1464"/>
    <x v="676"/>
    <x v="1204"/>
    <x v="0"/>
    <x v="13"/>
    <x v="0"/>
    <x v="3"/>
    <x v="11"/>
    <x v="3"/>
    <x v="1373"/>
    <x v="2"/>
    <n v="77.03"/>
    <n v="7.48"/>
    <x v="1391"/>
    <x v="0"/>
    <n v="2025"/>
    <x v="3"/>
    <n v="65.475499999999997"/>
    <n v="0.37021481317439398"/>
    <x v="1"/>
    <x v="0"/>
  </r>
  <r>
    <x v="1465"/>
    <x v="676"/>
    <x v="539"/>
    <x v="0"/>
    <x v="14"/>
    <x v="1"/>
    <x v="1"/>
    <x v="25"/>
    <x v="2"/>
    <x v="1374"/>
    <x v="2"/>
    <n v="16.63"/>
    <n v="10.08"/>
    <x v="845"/>
    <x v="3"/>
    <n v="2025"/>
    <x v="3"/>
    <n v="14.1355"/>
    <n v="-0.15917371157723501"/>
    <x v="1"/>
    <x v="1"/>
  </r>
  <r>
    <x v="1466"/>
    <x v="677"/>
    <x v="1193"/>
    <x v="1"/>
    <x v="0"/>
    <x v="0"/>
    <x v="2"/>
    <x v="4"/>
    <x v="4"/>
    <x v="1375"/>
    <x v="3"/>
    <n v="836.84"/>
    <n v="13.94"/>
    <x v="1392"/>
    <x v="1"/>
    <n v="2025"/>
    <x v="3"/>
    <n v="753.15599999999995"/>
    <n v="0.35186601447774402"/>
    <x v="2"/>
    <x v="0"/>
  </r>
  <r>
    <x v="1467"/>
    <x v="677"/>
    <x v="1205"/>
    <x v="1"/>
    <x v="5"/>
    <x v="3"/>
    <x v="1"/>
    <x v="6"/>
    <x v="2"/>
    <x v="1376"/>
    <x v="4"/>
    <n v="39.08"/>
    <n v="12.63"/>
    <x v="1393"/>
    <x v="3"/>
    <n v="2025"/>
    <x v="3"/>
    <n v="37.125999999999998"/>
    <n v="0.213866293163821"/>
    <x v="1"/>
    <x v="0"/>
  </r>
  <r>
    <x v="1468"/>
    <x v="678"/>
    <x v="1206"/>
    <x v="2"/>
    <x v="3"/>
    <x v="1"/>
    <x v="0"/>
    <x v="0"/>
    <x v="3"/>
    <x v="1377"/>
    <x v="0"/>
    <n v="116.2"/>
    <n v="7.59"/>
    <x v="1394"/>
    <x v="1"/>
    <n v="2025"/>
    <x v="3"/>
    <n v="116.2"/>
    <n v="0.38468158347676401"/>
    <x v="0"/>
    <x v="0"/>
  </r>
  <r>
    <x v="1469"/>
    <x v="679"/>
    <x v="1207"/>
    <x v="1"/>
    <x v="16"/>
    <x v="3"/>
    <x v="0"/>
    <x v="7"/>
    <x v="5"/>
    <x v="1378"/>
    <x v="3"/>
    <n v="122.8"/>
    <n v="20.239999999999998"/>
    <x v="1395"/>
    <x v="1"/>
    <n v="2025"/>
    <x v="3"/>
    <n v="110.52"/>
    <n v="0.248914223669924"/>
    <x v="0"/>
    <x v="0"/>
  </r>
  <r>
    <x v="1470"/>
    <x v="679"/>
    <x v="1208"/>
    <x v="2"/>
    <x v="14"/>
    <x v="1"/>
    <x v="2"/>
    <x v="39"/>
    <x v="1"/>
    <x v="1379"/>
    <x v="0"/>
    <n v="514.79999999999995"/>
    <n v="10.27"/>
    <x v="1396"/>
    <x v="1"/>
    <n v="2025"/>
    <x v="3"/>
    <n v="514.79999999999995"/>
    <n v="0.38005050505050503"/>
    <x v="2"/>
    <x v="0"/>
  </r>
  <r>
    <x v="1471"/>
    <x v="679"/>
    <x v="1209"/>
    <x v="2"/>
    <x v="4"/>
    <x v="2"/>
    <x v="0"/>
    <x v="22"/>
    <x v="0"/>
    <x v="1380"/>
    <x v="3"/>
    <n v="251.86"/>
    <n v="18"/>
    <x v="1397"/>
    <x v="2"/>
    <n v="2025"/>
    <x v="3"/>
    <n v="226.67400000000001"/>
    <n v="0.35270917705603599"/>
    <x v="0"/>
    <x v="0"/>
  </r>
  <r>
    <x v="1472"/>
    <x v="680"/>
    <x v="1210"/>
    <x v="2"/>
    <x v="18"/>
    <x v="4"/>
    <x v="2"/>
    <x v="5"/>
    <x v="3"/>
    <x v="1381"/>
    <x v="3"/>
    <n v="174.05"/>
    <n v="12.06"/>
    <x v="1398"/>
    <x v="1"/>
    <n v="2025"/>
    <x v="3"/>
    <n v="156.64500000000001"/>
    <n v="0.29340227903859001"/>
    <x v="0"/>
    <x v="0"/>
  </r>
  <r>
    <x v="1473"/>
    <x v="680"/>
    <x v="1211"/>
    <x v="1"/>
    <x v="4"/>
    <x v="2"/>
    <x v="3"/>
    <x v="33"/>
    <x v="11"/>
    <x v="1382"/>
    <x v="4"/>
    <n v="329.91"/>
    <n v="24.65"/>
    <x v="1399"/>
    <x v="1"/>
    <n v="2025"/>
    <x v="3"/>
    <n v="313.41449999999998"/>
    <n v="0.41998695018896698"/>
    <x v="0"/>
    <x v="0"/>
  </r>
  <r>
    <x v="1474"/>
    <x v="680"/>
    <x v="1212"/>
    <x v="2"/>
    <x v="13"/>
    <x v="0"/>
    <x v="2"/>
    <x v="32"/>
    <x v="10"/>
    <x v="710"/>
    <x v="2"/>
    <n v="258.02999999999997"/>
    <n v="13.96"/>
    <x v="1400"/>
    <x v="1"/>
    <n v="2025"/>
    <x v="3"/>
    <n v="219.32550000000001"/>
    <n v="0.28236570758986101"/>
    <x v="0"/>
    <x v="0"/>
  </r>
  <r>
    <x v="1475"/>
    <x v="680"/>
    <x v="1213"/>
    <x v="1"/>
    <x v="6"/>
    <x v="2"/>
    <x v="1"/>
    <x v="17"/>
    <x v="3"/>
    <x v="1383"/>
    <x v="3"/>
    <n v="13.24"/>
    <n v="11.69"/>
    <x v="1401"/>
    <x v="2"/>
    <n v="2025"/>
    <x v="3"/>
    <n v="11.916"/>
    <n v="-0.42547834843907401"/>
    <x v="1"/>
    <x v="1"/>
  </r>
  <r>
    <x v="1476"/>
    <x v="680"/>
    <x v="139"/>
    <x v="1"/>
    <x v="3"/>
    <x v="1"/>
    <x v="0"/>
    <x v="31"/>
    <x v="3"/>
    <x v="1384"/>
    <x v="4"/>
    <n v="110.13"/>
    <n v="9.2899999999999991"/>
    <x v="1402"/>
    <x v="1"/>
    <n v="2025"/>
    <x v="3"/>
    <n v="104.62350000000001"/>
    <n v="0.35441368335029899"/>
    <x v="0"/>
    <x v="0"/>
  </r>
  <r>
    <x v="1477"/>
    <x v="680"/>
    <x v="1214"/>
    <x v="0"/>
    <x v="9"/>
    <x v="3"/>
    <x v="3"/>
    <x v="9"/>
    <x v="3"/>
    <x v="1385"/>
    <x v="0"/>
    <n v="39.65"/>
    <n v="11.01"/>
    <x v="687"/>
    <x v="3"/>
    <n v="2025"/>
    <x v="3"/>
    <n v="39.65"/>
    <n v="0.22219419924337999"/>
    <x v="1"/>
    <x v="0"/>
  </r>
  <r>
    <x v="1478"/>
    <x v="681"/>
    <x v="1215"/>
    <x v="0"/>
    <x v="13"/>
    <x v="0"/>
    <x v="1"/>
    <x v="25"/>
    <x v="3"/>
    <x v="1386"/>
    <x v="4"/>
    <n v="12.59"/>
    <n v="5.69"/>
    <x v="395"/>
    <x v="2"/>
    <n v="2025"/>
    <x v="3"/>
    <n v="11.9605"/>
    <n v="7.8592032105681206E-2"/>
    <x v="1"/>
    <x v="0"/>
  </r>
  <r>
    <x v="1479"/>
    <x v="681"/>
    <x v="1216"/>
    <x v="2"/>
    <x v="1"/>
    <x v="1"/>
    <x v="1"/>
    <x v="20"/>
    <x v="0"/>
    <x v="1387"/>
    <x v="4"/>
    <n v="26.73"/>
    <n v="8.9499999999999993"/>
    <x v="257"/>
    <x v="2"/>
    <n v="2025"/>
    <x v="3"/>
    <n v="25.3935"/>
    <n v="0.20162640045680999"/>
    <x v="1"/>
    <x v="0"/>
  </r>
  <r>
    <x v="1480"/>
    <x v="681"/>
    <x v="1217"/>
    <x v="0"/>
    <x v="9"/>
    <x v="3"/>
    <x v="0"/>
    <x v="18"/>
    <x v="1"/>
    <x v="1388"/>
    <x v="3"/>
    <n v="198.4"/>
    <n v="13.84"/>
    <x v="1403"/>
    <x v="0"/>
    <n v="2025"/>
    <x v="3"/>
    <n v="178.56"/>
    <n v="0.354614695340502"/>
    <x v="0"/>
    <x v="0"/>
  </r>
  <r>
    <x v="1481"/>
    <x v="681"/>
    <x v="1218"/>
    <x v="0"/>
    <x v="2"/>
    <x v="0"/>
    <x v="0"/>
    <x v="31"/>
    <x v="0"/>
    <x v="1389"/>
    <x v="3"/>
    <n v="162.03"/>
    <n v="11.24"/>
    <x v="1404"/>
    <x v="1"/>
    <n v="2025"/>
    <x v="3"/>
    <n v="145.827"/>
    <n v="0.35500970327854198"/>
    <x v="0"/>
    <x v="0"/>
  </r>
  <r>
    <x v="1482"/>
    <x v="681"/>
    <x v="1219"/>
    <x v="1"/>
    <x v="5"/>
    <x v="3"/>
    <x v="1"/>
    <x v="23"/>
    <x v="2"/>
    <x v="1390"/>
    <x v="3"/>
    <n v="35.46"/>
    <n v="10.39"/>
    <x v="1405"/>
    <x v="1"/>
    <n v="2025"/>
    <x v="3"/>
    <n v="31.914000000000001"/>
    <n v="0.22999310647364801"/>
    <x v="1"/>
    <x v="0"/>
  </r>
  <r>
    <x v="1483"/>
    <x v="682"/>
    <x v="1220"/>
    <x v="2"/>
    <x v="18"/>
    <x v="4"/>
    <x v="1"/>
    <x v="38"/>
    <x v="3"/>
    <x v="1391"/>
    <x v="1"/>
    <n v="7.02"/>
    <n v="11.14"/>
    <x v="1406"/>
    <x v="2"/>
    <n v="2025"/>
    <x v="3"/>
    <n v="5.6159999999999997"/>
    <n v="-1.43696581196581"/>
    <x v="1"/>
    <x v="1"/>
  </r>
  <r>
    <x v="1484"/>
    <x v="682"/>
    <x v="1221"/>
    <x v="1"/>
    <x v="1"/>
    <x v="1"/>
    <x v="0"/>
    <x v="7"/>
    <x v="2"/>
    <x v="1392"/>
    <x v="0"/>
    <n v="89.92"/>
    <n v="11.48"/>
    <x v="1407"/>
    <x v="1"/>
    <n v="2025"/>
    <x v="3"/>
    <n v="89.92"/>
    <n v="0.32228647686832701"/>
    <x v="1"/>
    <x v="0"/>
  </r>
  <r>
    <x v="1485"/>
    <x v="682"/>
    <x v="881"/>
    <x v="1"/>
    <x v="3"/>
    <x v="1"/>
    <x v="1"/>
    <x v="20"/>
    <x v="1"/>
    <x v="1393"/>
    <x v="3"/>
    <n v="69.12"/>
    <n v="12.91"/>
    <x v="1408"/>
    <x v="1"/>
    <n v="2025"/>
    <x v="3"/>
    <n v="62.207999999999998"/>
    <n v="0.34802597736625501"/>
    <x v="1"/>
    <x v="0"/>
  </r>
  <r>
    <x v="1486"/>
    <x v="683"/>
    <x v="563"/>
    <x v="0"/>
    <x v="12"/>
    <x v="4"/>
    <x v="2"/>
    <x v="14"/>
    <x v="2"/>
    <x v="1394"/>
    <x v="0"/>
    <n v="331.42"/>
    <n v="12.42"/>
    <x v="1409"/>
    <x v="3"/>
    <n v="2025"/>
    <x v="3"/>
    <n v="331.42"/>
    <n v="0.36253092752398802"/>
    <x v="0"/>
    <x v="0"/>
  </r>
  <r>
    <x v="1487"/>
    <x v="683"/>
    <x v="1222"/>
    <x v="1"/>
    <x v="13"/>
    <x v="0"/>
    <x v="0"/>
    <x v="31"/>
    <x v="3"/>
    <x v="1395"/>
    <x v="2"/>
    <n v="131.94"/>
    <n v="6.82"/>
    <x v="1410"/>
    <x v="1"/>
    <n v="2025"/>
    <x v="3"/>
    <n v="112.149"/>
    <n v="0.35443918358612198"/>
    <x v="0"/>
    <x v="0"/>
  </r>
  <r>
    <x v="1488"/>
    <x v="684"/>
    <x v="1223"/>
    <x v="1"/>
    <x v="15"/>
    <x v="2"/>
    <x v="0"/>
    <x v="0"/>
    <x v="2"/>
    <x v="1396"/>
    <x v="4"/>
    <n v="454.06"/>
    <n v="12.39"/>
    <x v="1411"/>
    <x v="0"/>
    <n v="2025"/>
    <x v="3"/>
    <n v="431.35700000000003"/>
    <n v="0.41448266748887802"/>
    <x v="0"/>
    <x v="0"/>
  </r>
  <r>
    <x v="1489"/>
    <x v="685"/>
    <x v="30"/>
    <x v="0"/>
    <x v="11"/>
    <x v="2"/>
    <x v="1"/>
    <x v="20"/>
    <x v="3"/>
    <x v="1212"/>
    <x v="2"/>
    <n v="12.64"/>
    <n v="12.93"/>
    <x v="1412"/>
    <x v="3"/>
    <n v="2025"/>
    <x v="3"/>
    <n v="10.744"/>
    <n v="-0.64966492926284403"/>
    <x v="1"/>
    <x v="1"/>
  </r>
  <r>
    <x v="1490"/>
    <x v="685"/>
    <x v="321"/>
    <x v="1"/>
    <x v="4"/>
    <x v="2"/>
    <x v="1"/>
    <x v="2"/>
    <x v="2"/>
    <x v="1397"/>
    <x v="0"/>
    <n v="25.62"/>
    <n v="14.26"/>
    <x v="1413"/>
    <x v="3"/>
    <n v="2025"/>
    <x v="3"/>
    <n v="25.62"/>
    <n v="-6.6354410616705703E-3"/>
    <x v="1"/>
    <x v="1"/>
  </r>
  <r>
    <x v="1491"/>
    <x v="686"/>
    <x v="1224"/>
    <x v="2"/>
    <x v="17"/>
    <x v="3"/>
    <x v="1"/>
    <x v="2"/>
    <x v="2"/>
    <x v="1292"/>
    <x v="2"/>
    <n v="23.9"/>
    <n v="10.76"/>
    <x v="1414"/>
    <x v="3"/>
    <n v="2025"/>
    <x v="3"/>
    <n v="20.315000000000001"/>
    <n v="2.4120108294363798E-2"/>
    <x v="1"/>
    <x v="0"/>
  </r>
  <r>
    <x v="1492"/>
    <x v="686"/>
    <x v="671"/>
    <x v="1"/>
    <x v="2"/>
    <x v="0"/>
    <x v="1"/>
    <x v="10"/>
    <x v="3"/>
    <x v="625"/>
    <x v="0"/>
    <n v="9.33"/>
    <n v="6.05"/>
    <x v="1415"/>
    <x v="0"/>
    <n v="2025"/>
    <x v="3"/>
    <n v="9.33"/>
    <n v="-9.8606645230439396E-2"/>
    <x v="1"/>
    <x v="1"/>
  </r>
  <r>
    <x v="1493"/>
    <x v="686"/>
    <x v="423"/>
    <x v="2"/>
    <x v="17"/>
    <x v="3"/>
    <x v="3"/>
    <x v="13"/>
    <x v="9"/>
    <x v="999"/>
    <x v="0"/>
    <n v="1472.8"/>
    <n v="27.39"/>
    <x v="1416"/>
    <x v="2"/>
    <n v="2025"/>
    <x v="3"/>
    <n v="1472.8"/>
    <n v="0.48140277023356898"/>
    <x v="2"/>
    <x v="0"/>
  </r>
  <r>
    <x v="1494"/>
    <x v="686"/>
    <x v="1225"/>
    <x v="1"/>
    <x v="5"/>
    <x v="3"/>
    <x v="3"/>
    <x v="11"/>
    <x v="2"/>
    <x v="1398"/>
    <x v="4"/>
    <n v="61.73"/>
    <n v="11.25"/>
    <x v="1417"/>
    <x v="1"/>
    <n v="2025"/>
    <x v="3"/>
    <n v="58.643500000000003"/>
    <n v="0.30676886611474402"/>
    <x v="1"/>
    <x v="0"/>
  </r>
  <r>
    <x v="1495"/>
    <x v="687"/>
    <x v="1226"/>
    <x v="1"/>
    <x v="10"/>
    <x v="3"/>
    <x v="2"/>
    <x v="5"/>
    <x v="1"/>
    <x v="1399"/>
    <x v="3"/>
    <n v="242.96"/>
    <n v="11.71"/>
    <x v="1418"/>
    <x v="1"/>
    <n v="2025"/>
    <x v="3"/>
    <n v="218.66399999999999"/>
    <n v="0.31678739984634002"/>
    <x v="0"/>
    <x v="0"/>
  </r>
  <r>
    <x v="1496"/>
    <x v="687"/>
    <x v="891"/>
    <x v="1"/>
    <x v="1"/>
    <x v="1"/>
    <x v="2"/>
    <x v="15"/>
    <x v="6"/>
    <x v="1400"/>
    <x v="0"/>
    <n v="2058.63"/>
    <n v="15.1"/>
    <x v="1419"/>
    <x v="2"/>
    <n v="2025"/>
    <x v="3"/>
    <n v="2058.63"/>
    <n v="0.39266405327815102"/>
    <x v="2"/>
    <x v="0"/>
  </r>
  <r>
    <x v="1497"/>
    <x v="688"/>
    <x v="349"/>
    <x v="0"/>
    <x v="18"/>
    <x v="4"/>
    <x v="0"/>
    <x v="35"/>
    <x v="5"/>
    <x v="1401"/>
    <x v="1"/>
    <n v="244.48"/>
    <n v="22.01"/>
    <x v="691"/>
    <x v="1"/>
    <n v="2025"/>
    <x v="3"/>
    <n v="195.584"/>
    <n v="0.27809023232984298"/>
    <x v="0"/>
    <x v="0"/>
  </r>
  <r>
    <x v="1498"/>
    <x v="688"/>
    <x v="1227"/>
    <x v="0"/>
    <x v="6"/>
    <x v="2"/>
    <x v="0"/>
    <x v="28"/>
    <x v="1"/>
    <x v="1402"/>
    <x v="0"/>
    <n v="186.8"/>
    <n v="17.05"/>
    <x v="1420"/>
    <x v="1"/>
    <n v="2025"/>
    <x v="3"/>
    <n v="186.8"/>
    <n v="0.35872591006423998"/>
    <x v="0"/>
    <x v="0"/>
  </r>
  <r>
    <x v="1499"/>
    <x v="688"/>
    <x v="733"/>
    <x v="1"/>
    <x v="18"/>
    <x v="4"/>
    <x v="0"/>
    <x v="29"/>
    <x v="1"/>
    <x v="1403"/>
    <x v="1"/>
    <n v="81.150000000000006"/>
    <n v="14.4"/>
    <x v="1421"/>
    <x v="0"/>
    <n v="2025"/>
    <x v="3"/>
    <n v="64.92"/>
    <n v="0.16882316697473801"/>
    <x v="1"/>
    <x v="0"/>
  </r>
  <r>
    <x v="1500"/>
    <x v="689"/>
    <x v="1228"/>
    <x v="0"/>
    <x v="0"/>
    <x v="0"/>
    <x v="2"/>
    <x v="8"/>
    <x v="13"/>
    <x v="1404"/>
    <x v="2"/>
    <n v="938.81"/>
    <n v="32.07"/>
    <x v="1422"/>
    <x v="0"/>
    <n v="2025"/>
    <x v="3"/>
    <n v="797.98850000000004"/>
    <n v="0.30583147501499103"/>
    <x v="2"/>
    <x v="0"/>
  </r>
  <r>
    <x v="1501"/>
    <x v="689"/>
    <x v="1229"/>
    <x v="2"/>
    <x v="0"/>
    <x v="0"/>
    <x v="1"/>
    <x v="2"/>
    <x v="3"/>
    <x v="1405"/>
    <x v="0"/>
    <n v="15.62"/>
    <n v="6.6"/>
    <x v="1423"/>
    <x v="3"/>
    <n v="2025"/>
    <x v="3"/>
    <n v="15.62"/>
    <n v="0.12740076824583901"/>
    <x v="1"/>
    <x v="0"/>
  </r>
  <r>
    <x v="1502"/>
    <x v="690"/>
    <x v="1230"/>
    <x v="1"/>
    <x v="2"/>
    <x v="0"/>
    <x v="0"/>
    <x v="31"/>
    <x v="0"/>
    <x v="1406"/>
    <x v="0"/>
    <n v="466.65"/>
    <n v="9.51"/>
    <x v="1424"/>
    <x v="2"/>
    <n v="2025"/>
    <x v="3"/>
    <n v="466.65"/>
    <n v="0.42961534340512197"/>
    <x v="0"/>
    <x v="0"/>
  </r>
  <r>
    <x v="1503"/>
    <x v="690"/>
    <x v="1231"/>
    <x v="0"/>
    <x v="12"/>
    <x v="4"/>
    <x v="3"/>
    <x v="30"/>
    <x v="2"/>
    <x v="559"/>
    <x v="2"/>
    <n v="18.14"/>
    <n v="13.02"/>
    <x v="272"/>
    <x v="3"/>
    <n v="2025"/>
    <x v="3"/>
    <n v="15.419"/>
    <n v="-0.35994552175886901"/>
    <x v="1"/>
    <x v="1"/>
  </r>
  <r>
    <x v="1504"/>
    <x v="690"/>
    <x v="1232"/>
    <x v="0"/>
    <x v="14"/>
    <x v="1"/>
    <x v="2"/>
    <x v="39"/>
    <x v="0"/>
    <x v="1407"/>
    <x v="0"/>
    <n v="415.65"/>
    <n v="9.02"/>
    <x v="1425"/>
    <x v="2"/>
    <n v="2025"/>
    <x v="3"/>
    <n v="415.65"/>
    <n v="0.37829904968122202"/>
    <x v="0"/>
    <x v="0"/>
  </r>
  <r>
    <x v="1505"/>
    <x v="691"/>
    <x v="1233"/>
    <x v="1"/>
    <x v="5"/>
    <x v="3"/>
    <x v="0"/>
    <x v="3"/>
    <x v="2"/>
    <x v="1408"/>
    <x v="3"/>
    <n v="138.49"/>
    <n v="12.94"/>
    <x v="1426"/>
    <x v="1"/>
    <n v="2025"/>
    <x v="3"/>
    <n v="124.64100000000001"/>
    <n v="0.328302885888271"/>
    <x v="0"/>
    <x v="0"/>
  </r>
  <r>
    <x v="1506"/>
    <x v="692"/>
    <x v="323"/>
    <x v="1"/>
    <x v="4"/>
    <x v="2"/>
    <x v="0"/>
    <x v="35"/>
    <x v="9"/>
    <x v="1409"/>
    <x v="3"/>
    <n v="281.7"/>
    <n v="16.36"/>
    <x v="1427"/>
    <x v="2"/>
    <n v="2025"/>
    <x v="3"/>
    <n v="253.53"/>
    <n v="0.36756991283082902"/>
    <x v="0"/>
    <x v="0"/>
  </r>
  <r>
    <x v="1507"/>
    <x v="692"/>
    <x v="808"/>
    <x v="1"/>
    <x v="10"/>
    <x v="3"/>
    <x v="2"/>
    <x v="4"/>
    <x v="2"/>
    <x v="1410"/>
    <x v="0"/>
    <n v="641.20000000000005"/>
    <n v="12.1"/>
    <x v="1428"/>
    <x v="1"/>
    <n v="2025"/>
    <x v="3"/>
    <n v="641.20000000000005"/>
    <n v="0.38112913287585798"/>
    <x v="2"/>
    <x v="0"/>
  </r>
  <r>
    <x v="1508"/>
    <x v="693"/>
    <x v="1234"/>
    <x v="2"/>
    <x v="12"/>
    <x v="4"/>
    <x v="0"/>
    <x v="1"/>
    <x v="3"/>
    <x v="1411"/>
    <x v="0"/>
    <n v="172.2"/>
    <n v="12.38"/>
    <x v="1429"/>
    <x v="1"/>
    <n v="2025"/>
    <x v="3"/>
    <n v="172.2"/>
    <n v="0.37810685249709602"/>
    <x v="0"/>
    <x v="0"/>
  </r>
  <r>
    <x v="1509"/>
    <x v="694"/>
    <x v="971"/>
    <x v="1"/>
    <x v="14"/>
    <x v="1"/>
    <x v="2"/>
    <x v="36"/>
    <x v="2"/>
    <x v="1412"/>
    <x v="2"/>
    <n v="278.39"/>
    <n v="11.15"/>
    <x v="1430"/>
    <x v="2"/>
    <n v="2025"/>
    <x v="3"/>
    <n v="236.63149999999999"/>
    <n v="0.298903569474056"/>
    <x v="0"/>
    <x v="0"/>
  </r>
  <r>
    <x v="1510"/>
    <x v="694"/>
    <x v="1235"/>
    <x v="1"/>
    <x v="0"/>
    <x v="0"/>
    <x v="0"/>
    <x v="7"/>
    <x v="2"/>
    <x v="1413"/>
    <x v="2"/>
    <n v="62.17"/>
    <n v="8.5299999999999994"/>
    <x v="1431"/>
    <x v="2"/>
    <n v="2025"/>
    <x v="3"/>
    <n v="52.844499999999996"/>
    <n v="0.253763400164634"/>
    <x v="1"/>
    <x v="0"/>
  </r>
  <r>
    <x v="1511"/>
    <x v="695"/>
    <x v="673"/>
    <x v="0"/>
    <x v="9"/>
    <x v="3"/>
    <x v="0"/>
    <x v="29"/>
    <x v="6"/>
    <x v="1123"/>
    <x v="3"/>
    <n v="125.56"/>
    <n v="20.75"/>
    <x v="1229"/>
    <x v="2"/>
    <n v="2025"/>
    <x v="3"/>
    <n v="113.004"/>
    <n v="0.24848677922905399"/>
    <x v="0"/>
    <x v="0"/>
  </r>
  <r>
    <x v="1512"/>
    <x v="695"/>
    <x v="1236"/>
    <x v="2"/>
    <x v="3"/>
    <x v="1"/>
    <x v="1"/>
    <x v="23"/>
    <x v="3"/>
    <x v="805"/>
    <x v="3"/>
    <n v="8.5500000000000007"/>
    <n v="8.3000000000000007"/>
    <x v="1260"/>
    <x v="2"/>
    <n v="2025"/>
    <x v="3"/>
    <n v="7.6950000000000003"/>
    <n v="-0.52371669915529595"/>
    <x v="1"/>
    <x v="1"/>
  </r>
  <r>
    <x v="1513"/>
    <x v="695"/>
    <x v="1237"/>
    <x v="2"/>
    <x v="15"/>
    <x v="2"/>
    <x v="1"/>
    <x v="23"/>
    <x v="7"/>
    <x v="1414"/>
    <x v="1"/>
    <n v="114.37"/>
    <n v="18.77"/>
    <x v="1432"/>
    <x v="2"/>
    <n v="2025"/>
    <x v="3"/>
    <n v="91.495999999999995"/>
    <n v="0.34176357436390697"/>
    <x v="0"/>
    <x v="0"/>
  </r>
  <r>
    <x v="1514"/>
    <x v="696"/>
    <x v="1238"/>
    <x v="0"/>
    <x v="2"/>
    <x v="0"/>
    <x v="1"/>
    <x v="23"/>
    <x v="0"/>
    <x v="1415"/>
    <x v="2"/>
    <n v="29.71"/>
    <n v="11.8"/>
    <x v="333"/>
    <x v="1"/>
    <n v="2025"/>
    <x v="3"/>
    <n v="25.253499999999999"/>
    <n v="8.6324667867820296E-2"/>
    <x v="1"/>
    <x v="0"/>
  </r>
  <r>
    <x v="1515"/>
    <x v="696"/>
    <x v="1239"/>
    <x v="1"/>
    <x v="2"/>
    <x v="0"/>
    <x v="0"/>
    <x v="31"/>
    <x v="3"/>
    <x v="1416"/>
    <x v="3"/>
    <n v="123.1"/>
    <n v="7.09"/>
    <x v="1433"/>
    <x v="1"/>
    <n v="2025"/>
    <x v="3"/>
    <n v="110.79"/>
    <n v="0.36808376207238902"/>
    <x v="0"/>
    <x v="0"/>
  </r>
  <r>
    <x v="1516"/>
    <x v="697"/>
    <x v="902"/>
    <x v="2"/>
    <x v="19"/>
    <x v="1"/>
    <x v="3"/>
    <x v="27"/>
    <x v="10"/>
    <x v="942"/>
    <x v="0"/>
    <n v="232.2"/>
    <n v="17.11"/>
    <x v="1434"/>
    <x v="2"/>
    <n v="2025"/>
    <x v="4"/>
    <n v="232.2"/>
    <n v="0.426313522825151"/>
    <x v="0"/>
    <x v="0"/>
  </r>
  <r>
    <x v="1517"/>
    <x v="697"/>
    <x v="1177"/>
    <x v="0"/>
    <x v="7"/>
    <x v="4"/>
    <x v="3"/>
    <x v="11"/>
    <x v="7"/>
    <x v="1417"/>
    <x v="5"/>
    <n v="190.4"/>
    <n v="15.18"/>
    <x v="1435"/>
    <x v="0"/>
    <n v="2025"/>
    <x v="4"/>
    <n v="133.28"/>
    <n v="0.29426770708283301"/>
    <x v="0"/>
    <x v="0"/>
  </r>
  <r>
    <x v="1518"/>
    <x v="697"/>
    <x v="1240"/>
    <x v="1"/>
    <x v="8"/>
    <x v="1"/>
    <x v="2"/>
    <x v="39"/>
    <x v="2"/>
    <x v="1418"/>
    <x v="6"/>
    <n v="232.77"/>
    <n v="8.56"/>
    <x v="1436"/>
    <x v="1"/>
    <n v="2025"/>
    <x v="4"/>
    <n v="174.57749999999999"/>
    <n v="0.21761108963067999"/>
    <x v="0"/>
    <x v="0"/>
  </r>
  <r>
    <x v="1519"/>
    <x v="698"/>
    <x v="244"/>
    <x v="0"/>
    <x v="14"/>
    <x v="1"/>
    <x v="2"/>
    <x v="32"/>
    <x v="2"/>
    <x v="1419"/>
    <x v="4"/>
    <n v="113.49"/>
    <n v="10.47"/>
    <x v="1437"/>
    <x v="2"/>
    <n v="2025"/>
    <x v="4"/>
    <n v="107.8155"/>
    <n v="0.29068176653635203"/>
    <x v="0"/>
    <x v="0"/>
  </r>
  <r>
    <x v="1520"/>
    <x v="698"/>
    <x v="1241"/>
    <x v="1"/>
    <x v="0"/>
    <x v="0"/>
    <x v="2"/>
    <x v="4"/>
    <x v="5"/>
    <x v="1420"/>
    <x v="2"/>
    <n v="924.42"/>
    <n v="16.809999999999999"/>
    <x v="1438"/>
    <x v="1"/>
    <n v="2025"/>
    <x v="4"/>
    <n v="785.75699999999995"/>
    <n v="0.32462962468040402"/>
    <x v="2"/>
    <x v="0"/>
  </r>
  <r>
    <x v="1521"/>
    <x v="699"/>
    <x v="1242"/>
    <x v="0"/>
    <x v="16"/>
    <x v="3"/>
    <x v="2"/>
    <x v="32"/>
    <x v="2"/>
    <x v="1421"/>
    <x v="3"/>
    <n v="109.08"/>
    <n v="10.52"/>
    <x v="1439"/>
    <x v="1"/>
    <n v="2025"/>
    <x v="4"/>
    <n v="98.171999999999997"/>
    <n v="0.26321150633581902"/>
    <x v="0"/>
    <x v="0"/>
  </r>
  <r>
    <x v="1522"/>
    <x v="699"/>
    <x v="1243"/>
    <x v="1"/>
    <x v="9"/>
    <x v="3"/>
    <x v="2"/>
    <x v="4"/>
    <x v="5"/>
    <x v="1422"/>
    <x v="4"/>
    <n v="791.59"/>
    <n v="13.99"/>
    <x v="1440"/>
    <x v="3"/>
    <n v="2025"/>
    <x v="4"/>
    <n v="752.01049999999998"/>
    <n v="0.369210270335321"/>
    <x v="2"/>
    <x v="0"/>
  </r>
  <r>
    <x v="1523"/>
    <x v="700"/>
    <x v="1244"/>
    <x v="1"/>
    <x v="3"/>
    <x v="1"/>
    <x v="1"/>
    <x v="12"/>
    <x v="4"/>
    <x v="1423"/>
    <x v="2"/>
    <n v="65.59"/>
    <n v="16.27"/>
    <x v="1441"/>
    <x v="1"/>
    <n v="2025"/>
    <x v="4"/>
    <n v="55.7515"/>
    <n v="0.26187636207097598"/>
    <x v="1"/>
    <x v="0"/>
  </r>
  <r>
    <x v="1524"/>
    <x v="700"/>
    <x v="1245"/>
    <x v="2"/>
    <x v="19"/>
    <x v="1"/>
    <x v="0"/>
    <x v="1"/>
    <x v="5"/>
    <x v="1424"/>
    <x v="4"/>
    <n v="255.07"/>
    <n v="19.21"/>
    <x v="1442"/>
    <x v="2"/>
    <n v="2025"/>
    <x v="4"/>
    <n v="242.31649999999999"/>
    <n v="0.36390423268741501"/>
    <x v="0"/>
    <x v="0"/>
  </r>
  <r>
    <x v="1525"/>
    <x v="700"/>
    <x v="624"/>
    <x v="1"/>
    <x v="11"/>
    <x v="2"/>
    <x v="2"/>
    <x v="4"/>
    <x v="3"/>
    <x v="1425"/>
    <x v="0"/>
    <n v="129.13999999999999"/>
    <n v="12.2"/>
    <x v="1443"/>
    <x v="2"/>
    <n v="2025"/>
    <x v="4"/>
    <n v="129.13999999999999"/>
    <n v="0.30555985751897202"/>
    <x v="0"/>
    <x v="0"/>
  </r>
  <r>
    <x v="1526"/>
    <x v="700"/>
    <x v="1246"/>
    <x v="2"/>
    <x v="0"/>
    <x v="0"/>
    <x v="0"/>
    <x v="18"/>
    <x v="3"/>
    <x v="1426"/>
    <x v="4"/>
    <n v="30.04"/>
    <n v="7.3"/>
    <x v="1444"/>
    <x v="3"/>
    <n v="2025"/>
    <x v="4"/>
    <n v="28.538"/>
    <n v="0.18746933912677799"/>
    <x v="1"/>
    <x v="0"/>
  </r>
  <r>
    <x v="1527"/>
    <x v="701"/>
    <x v="864"/>
    <x v="1"/>
    <x v="13"/>
    <x v="0"/>
    <x v="0"/>
    <x v="28"/>
    <x v="7"/>
    <x v="1427"/>
    <x v="3"/>
    <n v="407.59"/>
    <n v="12.04"/>
    <x v="1445"/>
    <x v="1"/>
    <n v="2025"/>
    <x v="4"/>
    <n v="366.83100000000002"/>
    <n v="0.39928468422788699"/>
    <x v="0"/>
    <x v="0"/>
  </r>
  <r>
    <x v="1528"/>
    <x v="701"/>
    <x v="1247"/>
    <x v="1"/>
    <x v="7"/>
    <x v="4"/>
    <x v="0"/>
    <x v="0"/>
    <x v="3"/>
    <x v="1428"/>
    <x v="3"/>
    <n v="74.03"/>
    <n v="11.14"/>
    <x v="1446"/>
    <x v="1"/>
    <n v="2025"/>
    <x v="4"/>
    <n v="66.626999999999995"/>
    <n v="0.26490762003391999"/>
    <x v="1"/>
    <x v="0"/>
  </r>
  <r>
    <x v="1529"/>
    <x v="701"/>
    <x v="1248"/>
    <x v="1"/>
    <x v="12"/>
    <x v="4"/>
    <x v="3"/>
    <x v="37"/>
    <x v="3"/>
    <x v="1429"/>
    <x v="0"/>
    <n v="29.71"/>
    <n v="11.72"/>
    <x v="1447"/>
    <x v="2"/>
    <n v="2025"/>
    <x v="4"/>
    <n v="29.71"/>
    <n v="0.10535173342309"/>
    <x v="1"/>
    <x v="0"/>
  </r>
  <r>
    <x v="1530"/>
    <x v="701"/>
    <x v="1249"/>
    <x v="1"/>
    <x v="13"/>
    <x v="0"/>
    <x v="0"/>
    <x v="22"/>
    <x v="1"/>
    <x v="1430"/>
    <x v="2"/>
    <n v="489.74"/>
    <n v="9.35"/>
    <x v="1448"/>
    <x v="2"/>
    <n v="2025"/>
    <x v="4"/>
    <n v="416.279"/>
    <n v="0.39276542895510003"/>
    <x v="0"/>
    <x v="0"/>
  </r>
  <r>
    <x v="1531"/>
    <x v="702"/>
    <x v="1250"/>
    <x v="0"/>
    <x v="0"/>
    <x v="0"/>
    <x v="3"/>
    <x v="33"/>
    <x v="11"/>
    <x v="1431"/>
    <x v="4"/>
    <n v="485.4"/>
    <n v="10.89"/>
    <x v="1449"/>
    <x v="2"/>
    <n v="2025"/>
    <x v="4"/>
    <n v="461.13"/>
    <n v="0.47498536204540998"/>
    <x v="0"/>
    <x v="0"/>
  </r>
  <r>
    <x v="1532"/>
    <x v="702"/>
    <x v="1251"/>
    <x v="1"/>
    <x v="16"/>
    <x v="3"/>
    <x v="2"/>
    <x v="36"/>
    <x v="3"/>
    <x v="1432"/>
    <x v="4"/>
    <n v="204.96"/>
    <n v="10.58"/>
    <x v="1450"/>
    <x v="1"/>
    <n v="2025"/>
    <x v="4"/>
    <n v="194.71199999999999"/>
    <n v="0.33346686388101399"/>
    <x v="0"/>
    <x v="0"/>
  </r>
  <r>
    <x v="1533"/>
    <x v="703"/>
    <x v="494"/>
    <x v="1"/>
    <x v="16"/>
    <x v="3"/>
    <x v="1"/>
    <x v="20"/>
    <x v="1"/>
    <x v="1433"/>
    <x v="2"/>
    <n v="62.56"/>
    <n v="15.93"/>
    <x v="1451"/>
    <x v="0"/>
    <n v="2025"/>
    <x v="4"/>
    <n v="53.176000000000002"/>
    <n v="0.25406198284940601"/>
    <x v="1"/>
    <x v="0"/>
  </r>
  <r>
    <x v="1534"/>
    <x v="703"/>
    <x v="1252"/>
    <x v="0"/>
    <x v="14"/>
    <x v="1"/>
    <x v="2"/>
    <x v="36"/>
    <x v="1"/>
    <x v="1434"/>
    <x v="4"/>
    <n v="950.76"/>
    <n v="13.7"/>
    <x v="1452"/>
    <x v="2"/>
    <n v="2025"/>
    <x v="4"/>
    <n v="903.22199999999998"/>
    <n v="0.37264371328422002"/>
    <x v="2"/>
    <x v="0"/>
  </r>
  <r>
    <x v="1535"/>
    <x v="703"/>
    <x v="515"/>
    <x v="1"/>
    <x v="18"/>
    <x v="4"/>
    <x v="1"/>
    <x v="20"/>
    <x v="6"/>
    <x v="1435"/>
    <x v="0"/>
    <n v="120.12"/>
    <n v="18.68"/>
    <x v="1453"/>
    <x v="2"/>
    <n v="2025"/>
    <x v="4"/>
    <n v="120.12"/>
    <n v="0.39452214452214401"/>
    <x v="0"/>
    <x v="0"/>
  </r>
  <r>
    <x v="1536"/>
    <x v="703"/>
    <x v="1253"/>
    <x v="2"/>
    <x v="17"/>
    <x v="3"/>
    <x v="1"/>
    <x v="12"/>
    <x v="0"/>
    <x v="1436"/>
    <x v="4"/>
    <n v="53.98"/>
    <n v="14.46"/>
    <x v="1454"/>
    <x v="1"/>
    <n v="2025"/>
    <x v="4"/>
    <n v="51.280999999999999"/>
    <n v="0.27203057662682101"/>
    <x v="1"/>
    <x v="0"/>
  </r>
  <r>
    <x v="1537"/>
    <x v="703"/>
    <x v="1254"/>
    <x v="1"/>
    <x v="5"/>
    <x v="3"/>
    <x v="0"/>
    <x v="31"/>
    <x v="2"/>
    <x v="1437"/>
    <x v="3"/>
    <n v="81.41"/>
    <n v="12.87"/>
    <x v="1455"/>
    <x v="2"/>
    <n v="2025"/>
    <x v="4"/>
    <n v="73.269000000000005"/>
    <n v="0.25645225129318"/>
    <x v="1"/>
    <x v="0"/>
  </r>
  <r>
    <x v="1538"/>
    <x v="704"/>
    <x v="1255"/>
    <x v="1"/>
    <x v="16"/>
    <x v="3"/>
    <x v="0"/>
    <x v="29"/>
    <x v="6"/>
    <x v="1438"/>
    <x v="2"/>
    <n v="155.47"/>
    <n v="14.74"/>
    <x v="1456"/>
    <x v="2"/>
    <n v="2025"/>
    <x v="4"/>
    <n v="132.14949999999999"/>
    <n v="0.30367122085214099"/>
    <x v="0"/>
    <x v="0"/>
  </r>
  <r>
    <x v="1539"/>
    <x v="704"/>
    <x v="1256"/>
    <x v="1"/>
    <x v="2"/>
    <x v="0"/>
    <x v="3"/>
    <x v="11"/>
    <x v="0"/>
    <x v="1439"/>
    <x v="3"/>
    <n v="101.79"/>
    <n v="6.73"/>
    <x v="1246"/>
    <x v="3"/>
    <n v="2025"/>
    <x v="4"/>
    <n v="91.611000000000004"/>
    <n v="0.42036436672451999"/>
    <x v="0"/>
    <x v="0"/>
  </r>
  <r>
    <x v="1540"/>
    <x v="704"/>
    <x v="510"/>
    <x v="1"/>
    <x v="12"/>
    <x v="4"/>
    <x v="3"/>
    <x v="16"/>
    <x v="2"/>
    <x v="1438"/>
    <x v="0"/>
    <n v="52.26"/>
    <n v="14.83"/>
    <x v="1457"/>
    <x v="2"/>
    <n v="2025"/>
    <x v="4"/>
    <n v="52.26"/>
    <n v="0.216226559510142"/>
    <x v="1"/>
    <x v="0"/>
  </r>
  <r>
    <x v="1541"/>
    <x v="705"/>
    <x v="1257"/>
    <x v="0"/>
    <x v="14"/>
    <x v="1"/>
    <x v="2"/>
    <x v="8"/>
    <x v="3"/>
    <x v="1440"/>
    <x v="1"/>
    <n v="100.12"/>
    <n v="8.65"/>
    <x v="1458"/>
    <x v="2"/>
    <n v="2025"/>
    <x v="4"/>
    <n v="80.096000000000004"/>
    <n v="0.20450459448661601"/>
    <x v="0"/>
    <x v="0"/>
  </r>
  <r>
    <x v="1542"/>
    <x v="705"/>
    <x v="1258"/>
    <x v="1"/>
    <x v="14"/>
    <x v="1"/>
    <x v="2"/>
    <x v="36"/>
    <x v="7"/>
    <x v="1441"/>
    <x v="4"/>
    <n v="1399.84"/>
    <n v="12.28"/>
    <x v="1459"/>
    <x v="0"/>
    <n v="2025"/>
    <x v="4"/>
    <n v="1329.848"/>
    <n v="0.378577100540814"/>
    <x v="2"/>
    <x v="0"/>
  </r>
  <r>
    <x v="1543"/>
    <x v="706"/>
    <x v="1259"/>
    <x v="1"/>
    <x v="17"/>
    <x v="3"/>
    <x v="1"/>
    <x v="17"/>
    <x v="0"/>
    <x v="109"/>
    <x v="4"/>
    <n v="34.06"/>
    <n v="11.21"/>
    <x v="1460"/>
    <x v="1"/>
    <n v="2025"/>
    <x v="4"/>
    <n v="32.356999999999999"/>
    <n v="0.207683036128195"/>
    <x v="1"/>
    <x v="0"/>
  </r>
  <r>
    <x v="1544"/>
    <x v="706"/>
    <x v="1260"/>
    <x v="0"/>
    <x v="12"/>
    <x v="4"/>
    <x v="1"/>
    <x v="17"/>
    <x v="3"/>
    <x v="1442"/>
    <x v="3"/>
    <n v="6.24"/>
    <n v="12.29"/>
    <x v="1461"/>
    <x v="2"/>
    <n v="2025"/>
    <x v="4"/>
    <n v="5.6159999999999997"/>
    <n v="-1.63283475783476"/>
    <x v="1"/>
    <x v="1"/>
  </r>
  <r>
    <x v="1545"/>
    <x v="707"/>
    <x v="1261"/>
    <x v="1"/>
    <x v="13"/>
    <x v="0"/>
    <x v="1"/>
    <x v="6"/>
    <x v="3"/>
    <x v="1443"/>
    <x v="4"/>
    <n v="10.19"/>
    <n v="6.83"/>
    <x v="1462"/>
    <x v="1"/>
    <n v="2025"/>
    <x v="4"/>
    <n v="9.6805000000000003"/>
    <n v="-0.15185166055472299"/>
    <x v="1"/>
    <x v="1"/>
  </r>
  <r>
    <x v="1546"/>
    <x v="707"/>
    <x v="1041"/>
    <x v="0"/>
    <x v="13"/>
    <x v="0"/>
    <x v="3"/>
    <x v="9"/>
    <x v="2"/>
    <x v="1444"/>
    <x v="3"/>
    <n v="93.01"/>
    <n v="7.45"/>
    <x v="1463"/>
    <x v="1"/>
    <n v="2025"/>
    <x v="4"/>
    <n v="83.709000000000003"/>
    <n v="0.40485491404747398"/>
    <x v="1"/>
    <x v="0"/>
  </r>
  <r>
    <x v="1547"/>
    <x v="707"/>
    <x v="1262"/>
    <x v="1"/>
    <x v="1"/>
    <x v="1"/>
    <x v="0"/>
    <x v="35"/>
    <x v="3"/>
    <x v="1445"/>
    <x v="0"/>
    <n v="38.97"/>
    <n v="8.5500000000000007"/>
    <x v="1047"/>
    <x v="1"/>
    <n v="2025"/>
    <x v="4"/>
    <n v="38.97"/>
    <n v="0.23069027457018201"/>
    <x v="1"/>
    <x v="0"/>
  </r>
  <r>
    <x v="1548"/>
    <x v="708"/>
    <x v="548"/>
    <x v="1"/>
    <x v="9"/>
    <x v="3"/>
    <x v="1"/>
    <x v="2"/>
    <x v="2"/>
    <x v="1446"/>
    <x v="0"/>
    <n v="17"/>
    <n v="13.21"/>
    <x v="1464"/>
    <x v="2"/>
    <n v="2025"/>
    <x v="4"/>
    <n v="17"/>
    <n v="-0.22705882352941201"/>
    <x v="1"/>
    <x v="1"/>
  </r>
  <r>
    <x v="1549"/>
    <x v="708"/>
    <x v="247"/>
    <x v="0"/>
    <x v="0"/>
    <x v="0"/>
    <x v="3"/>
    <x v="13"/>
    <x v="3"/>
    <x v="1447"/>
    <x v="2"/>
    <n v="67.3"/>
    <n v="6.58"/>
    <x v="1465"/>
    <x v="0"/>
    <n v="2025"/>
    <x v="4"/>
    <n v="57.204999999999998"/>
    <n v="0.36937330652915001"/>
    <x v="1"/>
    <x v="0"/>
  </r>
  <r>
    <x v="1550"/>
    <x v="708"/>
    <x v="1263"/>
    <x v="2"/>
    <x v="9"/>
    <x v="3"/>
    <x v="3"/>
    <x v="16"/>
    <x v="1"/>
    <x v="1448"/>
    <x v="3"/>
    <n v="147.53"/>
    <n v="16.39"/>
    <x v="1466"/>
    <x v="3"/>
    <n v="2025"/>
    <x v="4"/>
    <n v="132.77699999999999"/>
    <n v="0.37039547511993798"/>
    <x v="0"/>
    <x v="0"/>
  </r>
  <r>
    <x v="1551"/>
    <x v="708"/>
    <x v="202"/>
    <x v="1"/>
    <x v="14"/>
    <x v="1"/>
    <x v="3"/>
    <x v="37"/>
    <x v="2"/>
    <x v="1449"/>
    <x v="0"/>
    <n v="86.82"/>
    <n v="8.7100000000000009"/>
    <x v="1467"/>
    <x v="1"/>
    <n v="2025"/>
    <x v="4"/>
    <n v="86.82"/>
    <n v="0.39967749366505401"/>
    <x v="1"/>
    <x v="0"/>
  </r>
  <r>
    <x v="1552"/>
    <x v="708"/>
    <x v="859"/>
    <x v="0"/>
    <x v="7"/>
    <x v="4"/>
    <x v="0"/>
    <x v="18"/>
    <x v="3"/>
    <x v="1450"/>
    <x v="4"/>
    <n v="36.200000000000003"/>
    <n v="11.13"/>
    <x v="1468"/>
    <x v="2"/>
    <n v="2025"/>
    <x v="4"/>
    <n v="34.39"/>
    <n v="0.119802268101192"/>
    <x v="1"/>
    <x v="0"/>
  </r>
  <r>
    <x v="1553"/>
    <x v="708"/>
    <x v="1264"/>
    <x v="1"/>
    <x v="6"/>
    <x v="2"/>
    <x v="3"/>
    <x v="26"/>
    <x v="1"/>
    <x v="1451"/>
    <x v="4"/>
    <n v="56.7"/>
    <n v="15.14"/>
    <x v="1469"/>
    <x v="1"/>
    <n v="2025"/>
    <x v="4"/>
    <n v="53.865000000000002"/>
    <n v="0.217580989510814"/>
    <x v="1"/>
    <x v="0"/>
  </r>
  <r>
    <x v="1554"/>
    <x v="709"/>
    <x v="760"/>
    <x v="1"/>
    <x v="15"/>
    <x v="2"/>
    <x v="2"/>
    <x v="5"/>
    <x v="2"/>
    <x v="1452"/>
    <x v="2"/>
    <n v="208.73"/>
    <n v="15.69"/>
    <x v="248"/>
    <x v="1"/>
    <n v="2025"/>
    <x v="4"/>
    <n v="177.4205"/>
    <n v="0.257580155618996"/>
    <x v="0"/>
    <x v="0"/>
  </r>
  <r>
    <x v="1555"/>
    <x v="710"/>
    <x v="1265"/>
    <x v="1"/>
    <x v="10"/>
    <x v="3"/>
    <x v="2"/>
    <x v="4"/>
    <x v="7"/>
    <x v="1453"/>
    <x v="3"/>
    <n v="2327.4699999999998"/>
    <n v="15.77"/>
    <x v="1470"/>
    <x v="2"/>
    <n v="2025"/>
    <x v="4"/>
    <n v="2094.723"/>
    <n v="0.36284033736202798"/>
    <x v="2"/>
    <x v="0"/>
  </r>
  <r>
    <x v="1556"/>
    <x v="710"/>
    <x v="947"/>
    <x v="0"/>
    <x v="9"/>
    <x v="3"/>
    <x v="1"/>
    <x v="23"/>
    <x v="10"/>
    <x v="1454"/>
    <x v="2"/>
    <n v="141.13999999999999"/>
    <n v="31.4"/>
    <x v="1471"/>
    <x v="1"/>
    <n v="2025"/>
    <x v="4"/>
    <n v="119.96899999999999"/>
    <n v="0.29190874309196502"/>
    <x v="0"/>
    <x v="0"/>
  </r>
  <r>
    <x v="1557"/>
    <x v="710"/>
    <x v="65"/>
    <x v="0"/>
    <x v="12"/>
    <x v="4"/>
    <x v="1"/>
    <x v="38"/>
    <x v="2"/>
    <x v="1455"/>
    <x v="3"/>
    <n v="9.74"/>
    <n v="11.11"/>
    <x v="1472"/>
    <x v="1"/>
    <n v="2025"/>
    <x v="4"/>
    <n v="8.766"/>
    <n v="-0.71184120465434597"/>
    <x v="1"/>
    <x v="1"/>
  </r>
  <r>
    <x v="1558"/>
    <x v="711"/>
    <x v="1266"/>
    <x v="1"/>
    <x v="2"/>
    <x v="0"/>
    <x v="0"/>
    <x v="7"/>
    <x v="2"/>
    <x v="1456"/>
    <x v="4"/>
    <n v="86.45"/>
    <n v="9.32"/>
    <x v="1473"/>
    <x v="2"/>
    <n v="2025"/>
    <x v="4"/>
    <n v="82.127499999999998"/>
    <n v="0.32973121061763699"/>
    <x v="1"/>
    <x v="0"/>
  </r>
  <r>
    <x v="1559"/>
    <x v="711"/>
    <x v="839"/>
    <x v="2"/>
    <x v="15"/>
    <x v="2"/>
    <x v="0"/>
    <x v="0"/>
    <x v="4"/>
    <x v="1457"/>
    <x v="0"/>
    <n v="634.5"/>
    <n v="19.059999999999999"/>
    <x v="1474"/>
    <x v="0"/>
    <n v="2025"/>
    <x v="4"/>
    <n v="634.5"/>
    <n v="0.41995271867612299"/>
    <x v="2"/>
    <x v="0"/>
  </r>
  <r>
    <x v="1560"/>
    <x v="711"/>
    <x v="487"/>
    <x v="0"/>
    <x v="4"/>
    <x v="2"/>
    <x v="2"/>
    <x v="21"/>
    <x v="2"/>
    <x v="1458"/>
    <x v="4"/>
    <n v="75.89"/>
    <n v="15.43"/>
    <x v="1475"/>
    <x v="2"/>
    <n v="2025"/>
    <x v="4"/>
    <n v="72.095500000000001"/>
    <n v="0.17379725502978699"/>
    <x v="1"/>
    <x v="0"/>
  </r>
  <r>
    <x v="1561"/>
    <x v="712"/>
    <x v="1267"/>
    <x v="0"/>
    <x v="2"/>
    <x v="0"/>
    <x v="1"/>
    <x v="23"/>
    <x v="1"/>
    <x v="1013"/>
    <x v="2"/>
    <n v="35.97"/>
    <n v="10.31"/>
    <x v="779"/>
    <x v="3"/>
    <n v="2025"/>
    <x v="4"/>
    <n v="30.5745"/>
    <n v="0.21652030286676799"/>
    <x v="1"/>
    <x v="0"/>
  </r>
  <r>
    <x v="1562"/>
    <x v="712"/>
    <x v="1268"/>
    <x v="0"/>
    <x v="0"/>
    <x v="0"/>
    <x v="3"/>
    <x v="30"/>
    <x v="3"/>
    <x v="1004"/>
    <x v="3"/>
    <n v="16.149999999999999"/>
    <n v="7.16"/>
    <x v="1476"/>
    <x v="1"/>
    <n v="2025"/>
    <x v="4"/>
    <n v="14.535"/>
    <n v="1.37598899208806E-3"/>
    <x v="1"/>
    <x v="0"/>
  </r>
  <r>
    <x v="1563"/>
    <x v="713"/>
    <x v="1269"/>
    <x v="1"/>
    <x v="2"/>
    <x v="0"/>
    <x v="1"/>
    <x v="2"/>
    <x v="0"/>
    <x v="1459"/>
    <x v="0"/>
    <n v="19.62"/>
    <n v="7.75"/>
    <x v="1477"/>
    <x v="2"/>
    <n v="2025"/>
    <x v="4"/>
    <n v="19.62"/>
    <n v="0.15494393476044799"/>
    <x v="1"/>
    <x v="0"/>
  </r>
  <r>
    <x v="1564"/>
    <x v="713"/>
    <x v="1270"/>
    <x v="1"/>
    <x v="18"/>
    <x v="4"/>
    <x v="1"/>
    <x v="20"/>
    <x v="0"/>
    <x v="1460"/>
    <x v="6"/>
    <n v="28.62"/>
    <n v="16.829999999999998"/>
    <x v="1478"/>
    <x v="2"/>
    <n v="2025"/>
    <x v="4"/>
    <n v="21.465"/>
    <n v="-0.25064057768460302"/>
    <x v="1"/>
    <x v="1"/>
  </r>
  <r>
    <x v="1565"/>
    <x v="713"/>
    <x v="1271"/>
    <x v="0"/>
    <x v="0"/>
    <x v="0"/>
    <x v="3"/>
    <x v="26"/>
    <x v="3"/>
    <x v="1243"/>
    <x v="3"/>
    <n v="42.82"/>
    <n v="5.77"/>
    <x v="1479"/>
    <x v="0"/>
    <n v="2025"/>
    <x v="4"/>
    <n v="38.537999999999997"/>
    <n v="0.34407597695780801"/>
    <x v="1"/>
    <x v="0"/>
  </r>
  <r>
    <x v="1566"/>
    <x v="713"/>
    <x v="1272"/>
    <x v="1"/>
    <x v="9"/>
    <x v="3"/>
    <x v="1"/>
    <x v="25"/>
    <x v="2"/>
    <x v="1461"/>
    <x v="0"/>
    <n v="25.7"/>
    <n v="13.38"/>
    <x v="1480"/>
    <x v="0"/>
    <n v="2025"/>
    <x v="4"/>
    <n v="25.7"/>
    <n v="2.91828793774319E-2"/>
    <x v="1"/>
    <x v="0"/>
  </r>
  <r>
    <x v="1567"/>
    <x v="714"/>
    <x v="1215"/>
    <x v="1"/>
    <x v="0"/>
    <x v="0"/>
    <x v="1"/>
    <x v="25"/>
    <x v="5"/>
    <x v="1462"/>
    <x v="2"/>
    <n v="25.54"/>
    <n v="7.93"/>
    <x v="1481"/>
    <x v="1"/>
    <n v="2025"/>
    <x v="4"/>
    <n v="21.709"/>
    <n v="0.188401123957806"/>
    <x v="1"/>
    <x v="0"/>
  </r>
  <r>
    <x v="1568"/>
    <x v="714"/>
    <x v="1273"/>
    <x v="0"/>
    <x v="3"/>
    <x v="1"/>
    <x v="2"/>
    <x v="15"/>
    <x v="5"/>
    <x v="1463"/>
    <x v="4"/>
    <n v="1158.57"/>
    <n v="17.690000000000001"/>
    <x v="1482"/>
    <x v="1"/>
    <n v="2025"/>
    <x v="4"/>
    <n v="1100.6415"/>
    <n v="0.371737754754841"/>
    <x v="2"/>
    <x v="0"/>
  </r>
  <r>
    <x v="1569"/>
    <x v="714"/>
    <x v="1274"/>
    <x v="0"/>
    <x v="15"/>
    <x v="2"/>
    <x v="1"/>
    <x v="19"/>
    <x v="6"/>
    <x v="1464"/>
    <x v="3"/>
    <n v="45.49"/>
    <n v="24.79"/>
    <x v="1483"/>
    <x v="2"/>
    <n v="2025"/>
    <x v="4"/>
    <n v="40.941000000000003"/>
    <n v="-4.9827800981900802E-2"/>
    <x v="1"/>
    <x v="1"/>
  </r>
  <r>
    <x v="1570"/>
    <x v="714"/>
    <x v="1275"/>
    <x v="0"/>
    <x v="11"/>
    <x v="2"/>
    <x v="2"/>
    <x v="32"/>
    <x v="3"/>
    <x v="1465"/>
    <x v="0"/>
    <n v="46.37"/>
    <n v="12.69"/>
    <x v="1484"/>
    <x v="3"/>
    <n v="2025"/>
    <x v="4"/>
    <n v="46.37"/>
    <n v="0.12637481130041001"/>
    <x v="1"/>
    <x v="0"/>
  </r>
  <r>
    <x v="1571"/>
    <x v="715"/>
    <x v="1276"/>
    <x v="1"/>
    <x v="0"/>
    <x v="0"/>
    <x v="2"/>
    <x v="5"/>
    <x v="2"/>
    <x v="1466"/>
    <x v="4"/>
    <n v="253.14"/>
    <n v="6.33"/>
    <x v="1485"/>
    <x v="3"/>
    <n v="2025"/>
    <x v="4"/>
    <n v="240.483"/>
    <n v="0.36148085311643602"/>
    <x v="0"/>
    <x v="0"/>
  </r>
  <r>
    <x v="1572"/>
    <x v="716"/>
    <x v="1277"/>
    <x v="0"/>
    <x v="1"/>
    <x v="1"/>
    <x v="0"/>
    <x v="35"/>
    <x v="3"/>
    <x v="1467"/>
    <x v="1"/>
    <n v="30.06"/>
    <n v="8.2100000000000009"/>
    <x v="378"/>
    <x v="0"/>
    <n v="2025"/>
    <x v="4"/>
    <n v="24.047999999999998"/>
    <n v="4.9068529607451797E-2"/>
    <x v="1"/>
    <x v="0"/>
  </r>
  <r>
    <x v="1573"/>
    <x v="716"/>
    <x v="1278"/>
    <x v="1"/>
    <x v="19"/>
    <x v="1"/>
    <x v="2"/>
    <x v="36"/>
    <x v="5"/>
    <x v="1468"/>
    <x v="4"/>
    <n v="835.43"/>
    <n v="13.32"/>
    <x v="1486"/>
    <x v="1"/>
    <n v="2025"/>
    <x v="4"/>
    <n v="793.6585"/>
    <n v="0.37102859731232002"/>
    <x v="2"/>
    <x v="0"/>
  </r>
  <r>
    <x v="1574"/>
    <x v="717"/>
    <x v="745"/>
    <x v="0"/>
    <x v="5"/>
    <x v="3"/>
    <x v="1"/>
    <x v="6"/>
    <x v="10"/>
    <x v="1469"/>
    <x v="2"/>
    <n v="187.65"/>
    <n v="27.64"/>
    <x v="1487"/>
    <x v="1"/>
    <n v="2025"/>
    <x v="4"/>
    <n v="159.5025"/>
    <n v="0.38030751869092999"/>
    <x v="0"/>
    <x v="0"/>
  </r>
  <r>
    <x v="1575"/>
    <x v="717"/>
    <x v="1279"/>
    <x v="0"/>
    <x v="17"/>
    <x v="3"/>
    <x v="1"/>
    <x v="17"/>
    <x v="0"/>
    <x v="1470"/>
    <x v="2"/>
    <n v="25.88"/>
    <n v="16.059999999999999"/>
    <x v="1488"/>
    <x v="2"/>
    <n v="2025"/>
    <x v="4"/>
    <n v="21.998000000000001"/>
    <n v="-0.176379670879171"/>
    <x v="1"/>
    <x v="1"/>
  </r>
  <r>
    <x v="1576"/>
    <x v="718"/>
    <x v="469"/>
    <x v="2"/>
    <x v="8"/>
    <x v="1"/>
    <x v="2"/>
    <x v="34"/>
    <x v="3"/>
    <x v="1471"/>
    <x v="0"/>
    <n v="33.54"/>
    <n v="7.97"/>
    <x v="1489"/>
    <x v="1"/>
    <n v="2025"/>
    <x v="4"/>
    <n v="33.54"/>
    <n v="0.162492546213476"/>
    <x v="1"/>
    <x v="0"/>
  </r>
  <r>
    <x v="1577"/>
    <x v="719"/>
    <x v="1280"/>
    <x v="1"/>
    <x v="16"/>
    <x v="3"/>
    <x v="2"/>
    <x v="4"/>
    <x v="1"/>
    <x v="1472"/>
    <x v="4"/>
    <n v="810.88"/>
    <n v="18.510000000000002"/>
    <x v="1490"/>
    <x v="1"/>
    <n v="2025"/>
    <x v="4"/>
    <n v="770.33600000000001"/>
    <n v="0.36377632617455202"/>
    <x v="2"/>
    <x v="0"/>
  </r>
  <r>
    <x v="1578"/>
    <x v="720"/>
    <x v="1281"/>
    <x v="0"/>
    <x v="2"/>
    <x v="0"/>
    <x v="2"/>
    <x v="39"/>
    <x v="5"/>
    <x v="1473"/>
    <x v="1"/>
    <n v="459.92"/>
    <n v="8.1300000000000008"/>
    <x v="1491"/>
    <x v="1"/>
    <n v="2025"/>
    <x v="4"/>
    <n v="367.93599999999998"/>
    <n v="0.29040376587232603"/>
    <x v="0"/>
    <x v="0"/>
  </r>
  <r>
    <x v="1579"/>
    <x v="720"/>
    <x v="1282"/>
    <x v="1"/>
    <x v="14"/>
    <x v="1"/>
    <x v="3"/>
    <x v="9"/>
    <x v="4"/>
    <x v="721"/>
    <x v="4"/>
    <n v="162.05000000000001"/>
    <n v="16.940000000000001"/>
    <x v="928"/>
    <x v="2"/>
    <n v="2025"/>
    <x v="4"/>
    <n v="153.94749999999999"/>
    <n v="0.38857402685980602"/>
    <x v="0"/>
    <x v="0"/>
  </r>
  <r>
    <x v="1580"/>
    <x v="720"/>
    <x v="166"/>
    <x v="0"/>
    <x v="5"/>
    <x v="3"/>
    <x v="1"/>
    <x v="25"/>
    <x v="0"/>
    <x v="1474"/>
    <x v="0"/>
    <n v="15.03"/>
    <n v="11.86"/>
    <x v="1492"/>
    <x v="2"/>
    <n v="2025"/>
    <x v="4"/>
    <n v="15.03"/>
    <n v="-0.23885562208915501"/>
    <x v="1"/>
    <x v="1"/>
  </r>
  <r>
    <x v="1581"/>
    <x v="720"/>
    <x v="602"/>
    <x v="1"/>
    <x v="13"/>
    <x v="0"/>
    <x v="1"/>
    <x v="17"/>
    <x v="3"/>
    <x v="1475"/>
    <x v="4"/>
    <n v="9.43"/>
    <n v="5.79"/>
    <x v="1493"/>
    <x v="1"/>
    <n v="2025"/>
    <x v="4"/>
    <n v="8.9585000000000008"/>
    <n v="-9.2649439080203205E-2"/>
    <x v="1"/>
    <x v="1"/>
  </r>
  <r>
    <x v="1582"/>
    <x v="721"/>
    <x v="1283"/>
    <x v="0"/>
    <x v="14"/>
    <x v="1"/>
    <x v="3"/>
    <x v="33"/>
    <x v="0"/>
    <x v="1476"/>
    <x v="4"/>
    <n v="117.56"/>
    <n v="8.91"/>
    <x v="1127"/>
    <x v="2"/>
    <n v="2025"/>
    <x v="4"/>
    <n v="111.682"/>
    <n v="0.418867856950986"/>
    <x v="0"/>
    <x v="0"/>
  </r>
  <r>
    <x v="1583"/>
    <x v="721"/>
    <x v="1284"/>
    <x v="2"/>
    <x v="15"/>
    <x v="2"/>
    <x v="0"/>
    <x v="22"/>
    <x v="5"/>
    <x v="1477"/>
    <x v="4"/>
    <n v="547.01"/>
    <n v="16.63"/>
    <x v="1494"/>
    <x v="0"/>
    <n v="2025"/>
    <x v="4"/>
    <n v="519.65949999999998"/>
    <n v="0.41121157219294602"/>
    <x v="2"/>
    <x v="0"/>
  </r>
  <r>
    <x v="1584"/>
    <x v="721"/>
    <x v="263"/>
    <x v="0"/>
    <x v="16"/>
    <x v="3"/>
    <x v="2"/>
    <x v="34"/>
    <x v="10"/>
    <x v="1478"/>
    <x v="4"/>
    <n v="464.01"/>
    <n v="21.91"/>
    <x v="1495"/>
    <x v="2"/>
    <n v="2025"/>
    <x v="4"/>
    <n v="440.80950000000001"/>
    <n v="0.33810523593525099"/>
    <x v="0"/>
    <x v="0"/>
  </r>
  <r>
    <x v="1585"/>
    <x v="722"/>
    <x v="1285"/>
    <x v="1"/>
    <x v="19"/>
    <x v="1"/>
    <x v="0"/>
    <x v="22"/>
    <x v="3"/>
    <x v="1479"/>
    <x v="3"/>
    <n v="90.48"/>
    <n v="9.2200000000000006"/>
    <x v="1496"/>
    <x v="3"/>
    <n v="2025"/>
    <x v="4"/>
    <n v="81.432000000000002"/>
    <n v="0.31891639650260301"/>
    <x v="1"/>
    <x v="0"/>
  </r>
  <r>
    <x v="1586"/>
    <x v="722"/>
    <x v="989"/>
    <x v="1"/>
    <x v="16"/>
    <x v="3"/>
    <x v="0"/>
    <x v="35"/>
    <x v="4"/>
    <x v="1480"/>
    <x v="4"/>
    <n v="213.41"/>
    <n v="15.54"/>
    <x v="1497"/>
    <x v="1"/>
    <n v="2025"/>
    <x v="4"/>
    <n v="202.73949999999999"/>
    <n v="0.36657878706418801"/>
    <x v="0"/>
    <x v="0"/>
  </r>
  <r>
    <x v="1587"/>
    <x v="723"/>
    <x v="153"/>
    <x v="1"/>
    <x v="0"/>
    <x v="0"/>
    <x v="2"/>
    <x v="21"/>
    <x v="3"/>
    <x v="1481"/>
    <x v="0"/>
    <n v="65.87"/>
    <n v="6.61"/>
    <x v="1498"/>
    <x v="2"/>
    <n v="2025"/>
    <x v="5"/>
    <n v="65.87"/>
    <n v="0.29968119022316703"/>
    <x v="1"/>
    <x v="0"/>
  </r>
  <r>
    <x v="1588"/>
    <x v="723"/>
    <x v="1286"/>
    <x v="1"/>
    <x v="2"/>
    <x v="0"/>
    <x v="1"/>
    <x v="2"/>
    <x v="2"/>
    <x v="1482"/>
    <x v="3"/>
    <n v="20.23"/>
    <n v="6.69"/>
    <x v="985"/>
    <x v="2"/>
    <n v="2025"/>
    <x v="5"/>
    <n v="18.207000000000001"/>
    <n v="0.187839841819081"/>
    <x v="1"/>
    <x v="0"/>
  </r>
  <r>
    <x v="1589"/>
    <x v="723"/>
    <x v="1287"/>
    <x v="1"/>
    <x v="2"/>
    <x v="0"/>
    <x v="2"/>
    <x v="4"/>
    <x v="10"/>
    <x v="1483"/>
    <x v="3"/>
    <n v="1202.53"/>
    <n v="26.88"/>
    <x v="1499"/>
    <x v="0"/>
    <n v="2025"/>
    <x v="5"/>
    <n v="1082.277"/>
    <n v="0.34554000500796"/>
    <x v="2"/>
    <x v="0"/>
  </r>
  <r>
    <x v="1590"/>
    <x v="724"/>
    <x v="1288"/>
    <x v="0"/>
    <x v="2"/>
    <x v="0"/>
    <x v="1"/>
    <x v="38"/>
    <x v="2"/>
    <x v="1484"/>
    <x v="2"/>
    <n v="17.12"/>
    <n v="6.12"/>
    <x v="1500"/>
    <x v="1"/>
    <n v="2025"/>
    <x v="5"/>
    <n v="14.552"/>
    <n v="0.133315008246289"/>
    <x v="1"/>
    <x v="0"/>
  </r>
  <r>
    <x v="1591"/>
    <x v="725"/>
    <x v="1289"/>
    <x v="2"/>
    <x v="19"/>
    <x v="1"/>
    <x v="0"/>
    <x v="0"/>
    <x v="2"/>
    <x v="1485"/>
    <x v="4"/>
    <n v="303.33"/>
    <n v="8.3800000000000008"/>
    <x v="1501"/>
    <x v="3"/>
    <n v="2025"/>
    <x v="5"/>
    <n v="288.1635"/>
    <n v="0.41410518681234798"/>
    <x v="0"/>
    <x v="0"/>
  </r>
  <r>
    <x v="1592"/>
    <x v="725"/>
    <x v="1149"/>
    <x v="2"/>
    <x v="13"/>
    <x v="0"/>
    <x v="1"/>
    <x v="6"/>
    <x v="3"/>
    <x v="1486"/>
    <x v="3"/>
    <n v="10.5"/>
    <n v="6.16"/>
    <x v="1502"/>
    <x v="1"/>
    <n v="2025"/>
    <x v="5"/>
    <n v="9.4499999999999993"/>
    <n v="-9.6296296296296297E-2"/>
    <x v="1"/>
    <x v="1"/>
  </r>
  <r>
    <x v="1593"/>
    <x v="725"/>
    <x v="630"/>
    <x v="2"/>
    <x v="8"/>
    <x v="1"/>
    <x v="3"/>
    <x v="33"/>
    <x v="2"/>
    <x v="1487"/>
    <x v="2"/>
    <n v="28.39"/>
    <n v="11.41"/>
    <x v="1503"/>
    <x v="0"/>
    <n v="2025"/>
    <x v="5"/>
    <n v="24.131499999999999"/>
    <n v="1.16030913950645E-2"/>
    <x v="1"/>
    <x v="0"/>
  </r>
  <r>
    <x v="1594"/>
    <x v="725"/>
    <x v="1261"/>
    <x v="0"/>
    <x v="0"/>
    <x v="0"/>
    <x v="2"/>
    <x v="15"/>
    <x v="5"/>
    <x v="1488"/>
    <x v="2"/>
    <n v="1734.55"/>
    <n v="8.1199999999999992"/>
    <x v="1504"/>
    <x v="1"/>
    <n v="2025"/>
    <x v="5"/>
    <n v="1474.3675000000001"/>
    <n v="0.34051211790818797"/>
    <x v="2"/>
    <x v="0"/>
  </r>
  <r>
    <x v="1595"/>
    <x v="726"/>
    <x v="814"/>
    <x v="1"/>
    <x v="15"/>
    <x v="2"/>
    <x v="3"/>
    <x v="9"/>
    <x v="0"/>
    <x v="1489"/>
    <x v="4"/>
    <n v="65.38"/>
    <n v="13.72"/>
    <x v="1505"/>
    <x v="3"/>
    <n v="2025"/>
    <x v="5"/>
    <n v="62.110999999999997"/>
    <n v="0.27772858269871697"/>
    <x v="1"/>
    <x v="0"/>
  </r>
  <r>
    <x v="1596"/>
    <x v="726"/>
    <x v="1115"/>
    <x v="1"/>
    <x v="13"/>
    <x v="0"/>
    <x v="2"/>
    <x v="39"/>
    <x v="4"/>
    <x v="1490"/>
    <x v="3"/>
    <n v="606.1"/>
    <n v="15.24"/>
    <x v="1506"/>
    <x v="2"/>
    <n v="2025"/>
    <x v="5"/>
    <n v="545.49"/>
    <n v="0.342444407780161"/>
    <x v="2"/>
    <x v="0"/>
  </r>
  <r>
    <x v="1597"/>
    <x v="727"/>
    <x v="1290"/>
    <x v="1"/>
    <x v="17"/>
    <x v="3"/>
    <x v="2"/>
    <x v="36"/>
    <x v="2"/>
    <x v="1491"/>
    <x v="4"/>
    <n v="254.07"/>
    <n v="13.55"/>
    <x v="1507"/>
    <x v="0"/>
    <n v="2025"/>
    <x v="5"/>
    <n v="241.3665"/>
    <n v="0.33169474637118201"/>
    <x v="0"/>
    <x v="0"/>
  </r>
  <r>
    <x v="1598"/>
    <x v="727"/>
    <x v="1291"/>
    <x v="0"/>
    <x v="9"/>
    <x v="3"/>
    <x v="0"/>
    <x v="1"/>
    <x v="1"/>
    <x v="1492"/>
    <x v="6"/>
    <n v="396.42"/>
    <n v="16.649999999999999"/>
    <x v="1508"/>
    <x v="2"/>
    <n v="2025"/>
    <x v="5"/>
    <n v="297.315"/>
    <n v="0.299547617846392"/>
    <x v="0"/>
    <x v="0"/>
  </r>
  <r>
    <x v="1599"/>
    <x v="728"/>
    <x v="954"/>
    <x v="1"/>
    <x v="16"/>
    <x v="3"/>
    <x v="0"/>
    <x v="0"/>
    <x v="9"/>
    <x v="1493"/>
    <x v="0"/>
    <n v="1775"/>
    <n v="15.06"/>
    <x v="1509"/>
    <x v="1"/>
    <n v="2025"/>
    <x v="5"/>
    <n v="1775"/>
    <n v="0.441515492957746"/>
    <x v="2"/>
    <x v="0"/>
  </r>
  <r>
    <x v="1600"/>
    <x v="728"/>
    <x v="1292"/>
    <x v="1"/>
    <x v="7"/>
    <x v="4"/>
    <x v="0"/>
    <x v="22"/>
    <x v="0"/>
    <x v="1494"/>
    <x v="4"/>
    <n v="262"/>
    <n v="17.100000000000001"/>
    <x v="1510"/>
    <x v="0"/>
    <n v="2025"/>
    <x v="5"/>
    <n v="248.9"/>
    <n v="0.374527922860587"/>
    <x v="0"/>
    <x v="0"/>
  </r>
  <r>
    <x v="1601"/>
    <x v="729"/>
    <x v="1293"/>
    <x v="0"/>
    <x v="5"/>
    <x v="3"/>
    <x v="1"/>
    <x v="2"/>
    <x v="0"/>
    <x v="932"/>
    <x v="0"/>
    <n v="29.16"/>
    <n v="13.7"/>
    <x v="1511"/>
    <x v="3"/>
    <n v="2025"/>
    <x v="5"/>
    <n v="29.16"/>
    <n v="8.0246913580246895E-2"/>
    <x v="1"/>
    <x v="0"/>
  </r>
  <r>
    <x v="1602"/>
    <x v="729"/>
    <x v="1294"/>
    <x v="1"/>
    <x v="8"/>
    <x v="1"/>
    <x v="0"/>
    <x v="7"/>
    <x v="3"/>
    <x v="1495"/>
    <x v="4"/>
    <n v="50.04"/>
    <n v="8.6"/>
    <x v="1512"/>
    <x v="1"/>
    <n v="2025"/>
    <x v="5"/>
    <n v="47.537999999999997"/>
    <n v="0.26231646261937802"/>
    <x v="1"/>
    <x v="0"/>
  </r>
  <r>
    <x v="1603"/>
    <x v="729"/>
    <x v="1295"/>
    <x v="0"/>
    <x v="2"/>
    <x v="0"/>
    <x v="1"/>
    <x v="10"/>
    <x v="3"/>
    <x v="1496"/>
    <x v="6"/>
    <n v="2.58"/>
    <n v="6.69"/>
    <x v="1513"/>
    <x v="1"/>
    <n v="2025"/>
    <x v="5"/>
    <n v="1.9350000000000001"/>
    <n v="-2.9250645994831999"/>
    <x v="1"/>
    <x v="1"/>
  </r>
  <r>
    <x v="1604"/>
    <x v="729"/>
    <x v="166"/>
    <x v="1"/>
    <x v="14"/>
    <x v="1"/>
    <x v="3"/>
    <x v="16"/>
    <x v="5"/>
    <x v="1497"/>
    <x v="2"/>
    <n v="72.17"/>
    <n v="10.38"/>
    <x v="1514"/>
    <x v="2"/>
    <n v="2025"/>
    <x v="5"/>
    <n v="61.344499999999996"/>
    <n v="0.31526868749439602"/>
    <x v="1"/>
    <x v="0"/>
  </r>
  <r>
    <x v="1605"/>
    <x v="730"/>
    <x v="549"/>
    <x v="2"/>
    <x v="8"/>
    <x v="1"/>
    <x v="1"/>
    <x v="2"/>
    <x v="1"/>
    <x v="1498"/>
    <x v="2"/>
    <n v="23.66"/>
    <n v="14.15"/>
    <x v="1515"/>
    <x v="1"/>
    <n v="2025"/>
    <x v="5"/>
    <n v="20.111000000000001"/>
    <n v="-0.15016657550594201"/>
    <x v="1"/>
    <x v="1"/>
  </r>
  <r>
    <x v="1606"/>
    <x v="730"/>
    <x v="1296"/>
    <x v="1"/>
    <x v="15"/>
    <x v="2"/>
    <x v="3"/>
    <x v="33"/>
    <x v="2"/>
    <x v="1499"/>
    <x v="0"/>
    <n v="99.48"/>
    <n v="14.2"/>
    <x v="1516"/>
    <x v="1"/>
    <n v="2025"/>
    <x v="5"/>
    <n v="99.48"/>
    <n v="0.35725774024929602"/>
    <x v="1"/>
    <x v="0"/>
  </r>
  <r>
    <x v="1607"/>
    <x v="731"/>
    <x v="164"/>
    <x v="0"/>
    <x v="6"/>
    <x v="2"/>
    <x v="1"/>
    <x v="25"/>
    <x v="3"/>
    <x v="1383"/>
    <x v="3"/>
    <n v="13.24"/>
    <n v="12.16"/>
    <x v="1517"/>
    <x v="1"/>
    <n v="2025"/>
    <x v="5"/>
    <n v="11.916"/>
    <n v="-0.46492111446794199"/>
    <x v="1"/>
    <x v="1"/>
  </r>
  <r>
    <x v="1608"/>
    <x v="731"/>
    <x v="1297"/>
    <x v="1"/>
    <x v="3"/>
    <x v="1"/>
    <x v="2"/>
    <x v="5"/>
    <x v="3"/>
    <x v="1500"/>
    <x v="4"/>
    <n v="120.16"/>
    <n v="9.35"/>
    <x v="1518"/>
    <x v="3"/>
    <n v="2025"/>
    <x v="5"/>
    <n v="114.152"/>
    <n v="0.30590791225734099"/>
    <x v="0"/>
    <x v="0"/>
  </r>
  <r>
    <x v="1609"/>
    <x v="731"/>
    <x v="582"/>
    <x v="1"/>
    <x v="13"/>
    <x v="0"/>
    <x v="2"/>
    <x v="21"/>
    <x v="2"/>
    <x v="1501"/>
    <x v="3"/>
    <n v="145.91"/>
    <n v="9.58"/>
    <x v="1519"/>
    <x v="2"/>
    <n v="2025"/>
    <x v="5"/>
    <n v="131.31899999999999"/>
    <n v="0.297443629634706"/>
    <x v="0"/>
    <x v="0"/>
  </r>
  <r>
    <x v="1610"/>
    <x v="732"/>
    <x v="1298"/>
    <x v="0"/>
    <x v="0"/>
    <x v="0"/>
    <x v="0"/>
    <x v="22"/>
    <x v="3"/>
    <x v="1502"/>
    <x v="5"/>
    <n v="66.900000000000006"/>
    <n v="6.55"/>
    <x v="1520"/>
    <x v="2"/>
    <n v="2025"/>
    <x v="5"/>
    <n v="46.83"/>
    <n v="0.166346359171471"/>
    <x v="1"/>
    <x v="0"/>
  </r>
  <r>
    <x v="1611"/>
    <x v="733"/>
    <x v="1299"/>
    <x v="0"/>
    <x v="14"/>
    <x v="1"/>
    <x v="2"/>
    <x v="5"/>
    <x v="3"/>
    <x v="1503"/>
    <x v="3"/>
    <n v="159.47"/>
    <n v="7.89"/>
    <x v="1521"/>
    <x v="0"/>
    <n v="2025"/>
    <x v="5"/>
    <n v="143.523"/>
    <n v="0.31541982818084902"/>
    <x v="0"/>
    <x v="0"/>
  </r>
  <r>
    <x v="1612"/>
    <x v="734"/>
    <x v="700"/>
    <x v="2"/>
    <x v="10"/>
    <x v="3"/>
    <x v="2"/>
    <x v="4"/>
    <x v="3"/>
    <x v="1504"/>
    <x v="2"/>
    <n v="114.69"/>
    <n v="11.49"/>
    <x v="1522"/>
    <x v="1"/>
    <n v="2025"/>
    <x v="5"/>
    <n v="97.486500000000007"/>
    <n v="0.22813415190821301"/>
    <x v="0"/>
    <x v="0"/>
  </r>
  <r>
    <x v="1613"/>
    <x v="734"/>
    <x v="1300"/>
    <x v="0"/>
    <x v="18"/>
    <x v="4"/>
    <x v="0"/>
    <x v="1"/>
    <x v="7"/>
    <x v="1505"/>
    <x v="4"/>
    <n v="645.91999999999996"/>
    <n v="16.53"/>
    <x v="1523"/>
    <x v="1"/>
    <n v="2025"/>
    <x v="5"/>
    <n v="613.62400000000002"/>
    <n v="0.416264683258803"/>
    <x v="2"/>
    <x v="0"/>
  </r>
  <r>
    <x v="1614"/>
    <x v="734"/>
    <x v="1301"/>
    <x v="0"/>
    <x v="13"/>
    <x v="0"/>
    <x v="2"/>
    <x v="21"/>
    <x v="2"/>
    <x v="1506"/>
    <x v="4"/>
    <n v="170.24"/>
    <n v="9.8800000000000008"/>
    <x v="1524"/>
    <x v="3"/>
    <n v="2025"/>
    <x v="5"/>
    <n v="161.72800000000001"/>
    <n v="0.32672140878512101"/>
    <x v="0"/>
    <x v="0"/>
  </r>
  <r>
    <x v="1615"/>
    <x v="735"/>
    <x v="476"/>
    <x v="2"/>
    <x v="0"/>
    <x v="0"/>
    <x v="1"/>
    <x v="19"/>
    <x v="3"/>
    <x v="1507"/>
    <x v="0"/>
    <n v="4.99"/>
    <n v="6.34"/>
    <x v="1525"/>
    <x v="3"/>
    <n v="2025"/>
    <x v="5"/>
    <n v="4.99"/>
    <n v="-0.72144288577154303"/>
    <x v="1"/>
    <x v="1"/>
  </r>
  <r>
    <x v="1616"/>
    <x v="735"/>
    <x v="1302"/>
    <x v="0"/>
    <x v="9"/>
    <x v="3"/>
    <x v="0"/>
    <x v="35"/>
    <x v="2"/>
    <x v="1508"/>
    <x v="4"/>
    <n v="47.48"/>
    <n v="10.52"/>
    <x v="1526"/>
    <x v="2"/>
    <n v="2025"/>
    <x v="5"/>
    <n v="45.106000000000002"/>
    <n v="0.20994989580100201"/>
    <x v="1"/>
    <x v="0"/>
  </r>
  <r>
    <x v="1617"/>
    <x v="736"/>
    <x v="1303"/>
    <x v="0"/>
    <x v="5"/>
    <x v="3"/>
    <x v="2"/>
    <x v="21"/>
    <x v="3"/>
    <x v="1509"/>
    <x v="1"/>
    <n v="25.69"/>
    <n v="10.11"/>
    <x v="1527"/>
    <x v="3"/>
    <n v="2025"/>
    <x v="5"/>
    <n v="20.552"/>
    <n v="-0.17954456987154499"/>
    <x v="1"/>
    <x v="1"/>
  </r>
  <r>
    <x v="1618"/>
    <x v="737"/>
    <x v="593"/>
    <x v="2"/>
    <x v="15"/>
    <x v="2"/>
    <x v="3"/>
    <x v="11"/>
    <x v="3"/>
    <x v="1510"/>
    <x v="0"/>
    <n v="39.86"/>
    <n v="11.78"/>
    <x v="1528"/>
    <x v="3"/>
    <n v="2025"/>
    <x v="5"/>
    <n v="39.86"/>
    <n v="0.20446562970396401"/>
    <x v="1"/>
    <x v="0"/>
  </r>
  <r>
    <x v="1619"/>
    <x v="737"/>
    <x v="380"/>
    <x v="1"/>
    <x v="8"/>
    <x v="1"/>
    <x v="3"/>
    <x v="9"/>
    <x v="1"/>
    <x v="1511"/>
    <x v="3"/>
    <n v="160.85"/>
    <n v="12.79"/>
    <x v="1529"/>
    <x v="1"/>
    <n v="2025"/>
    <x v="5"/>
    <n v="144.76499999999999"/>
    <n v="0.40548475114841298"/>
    <x v="0"/>
    <x v="0"/>
  </r>
  <r>
    <x v="1620"/>
    <x v="737"/>
    <x v="1304"/>
    <x v="0"/>
    <x v="8"/>
    <x v="1"/>
    <x v="1"/>
    <x v="12"/>
    <x v="3"/>
    <x v="1512"/>
    <x v="2"/>
    <n v="16.16"/>
    <n v="9.44"/>
    <x v="1326"/>
    <x v="1"/>
    <n v="2025"/>
    <x v="5"/>
    <n v="13.736000000000001"/>
    <n v="-0.133226557949913"/>
    <x v="1"/>
    <x v="1"/>
  </r>
  <r>
    <x v="1621"/>
    <x v="737"/>
    <x v="1305"/>
    <x v="0"/>
    <x v="13"/>
    <x v="0"/>
    <x v="2"/>
    <x v="15"/>
    <x v="6"/>
    <x v="1513"/>
    <x v="5"/>
    <n v="2069.7600000000002"/>
    <n v="15.51"/>
    <x v="1530"/>
    <x v="2"/>
    <n v="2025"/>
    <x v="5"/>
    <n v="1448.8320000000001"/>
    <n v="0.193376457725948"/>
    <x v="2"/>
    <x v="0"/>
  </r>
  <r>
    <x v="1622"/>
    <x v="738"/>
    <x v="1306"/>
    <x v="2"/>
    <x v="2"/>
    <x v="0"/>
    <x v="2"/>
    <x v="14"/>
    <x v="0"/>
    <x v="1514"/>
    <x v="0"/>
    <n v="683.82"/>
    <n v="9.86"/>
    <x v="1531"/>
    <x v="1"/>
    <n v="2025"/>
    <x v="5"/>
    <n v="683.82"/>
    <n v="0.38558392559445498"/>
    <x v="2"/>
    <x v="0"/>
  </r>
  <r>
    <x v="1623"/>
    <x v="739"/>
    <x v="1307"/>
    <x v="2"/>
    <x v="5"/>
    <x v="3"/>
    <x v="0"/>
    <x v="28"/>
    <x v="3"/>
    <x v="379"/>
    <x v="4"/>
    <n v="21.34"/>
    <n v="9.83"/>
    <x v="1532"/>
    <x v="2"/>
    <n v="2025"/>
    <x v="5"/>
    <n v="20.273"/>
    <n v="-4.1434420164751101E-2"/>
    <x v="1"/>
    <x v="1"/>
  </r>
  <r>
    <x v="1624"/>
    <x v="739"/>
    <x v="1308"/>
    <x v="1"/>
    <x v="3"/>
    <x v="1"/>
    <x v="1"/>
    <x v="38"/>
    <x v="2"/>
    <x v="1515"/>
    <x v="0"/>
    <n v="22.64"/>
    <n v="10.02"/>
    <x v="786"/>
    <x v="2"/>
    <n v="2025"/>
    <x v="5"/>
    <n v="22.64"/>
    <n v="0.107332155477032"/>
    <x v="1"/>
    <x v="0"/>
  </r>
  <r>
    <x v="1625"/>
    <x v="739"/>
    <x v="1301"/>
    <x v="2"/>
    <x v="1"/>
    <x v="1"/>
    <x v="2"/>
    <x v="21"/>
    <x v="2"/>
    <x v="1516"/>
    <x v="2"/>
    <n v="96.36"/>
    <n v="8.36"/>
    <x v="667"/>
    <x v="1"/>
    <n v="2025"/>
    <x v="5"/>
    <n v="81.906000000000006"/>
    <n v="0.243938173027617"/>
    <x v="1"/>
    <x v="0"/>
  </r>
  <r>
    <x v="1626"/>
    <x v="740"/>
    <x v="1309"/>
    <x v="1"/>
    <x v="5"/>
    <x v="3"/>
    <x v="2"/>
    <x v="8"/>
    <x v="2"/>
    <x v="1517"/>
    <x v="3"/>
    <n v="226.22"/>
    <n v="12.02"/>
    <x v="1533"/>
    <x v="1"/>
    <n v="2025"/>
    <x v="5"/>
    <n v="203.59800000000001"/>
    <n v="0.311299718071887"/>
    <x v="0"/>
    <x v="0"/>
  </r>
  <r>
    <x v="1627"/>
    <x v="741"/>
    <x v="900"/>
    <x v="2"/>
    <x v="2"/>
    <x v="0"/>
    <x v="2"/>
    <x v="36"/>
    <x v="4"/>
    <x v="1518"/>
    <x v="2"/>
    <n v="568.70000000000005"/>
    <n v="11.57"/>
    <x v="1534"/>
    <x v="0"/>
    <n v="2025"/>
    <x v="5"/>
    <n v="483.39499999999998"/>
    <n v="0.32207614890514003"/>
    <x v="2"/>
    <x v="0"/>
  </r>
  <r>
    <x v="1628"/>
    <x v="741"/>
    <x v="1310"/>
    <x v="0"/>
    <x v="8"/>
    <x v="1"/>
    <x v="0"/>
    <x v="7"/>
    <x v="2"/>
    <x v="1519"/>
    <x v="6"/>
    <n v="41.55"/>
    <n v="8.7799999999999994"/>
    <x v="1535"/>
    <x v="1"/>
    <n v="2025"/>
    <x v="5"/>
    <n v="31.162500000000001"/>
    <n v="7.3806658644203799E-2"/>
    <x v="1"/>
    <x v="0"/>
  </r>
  <r>
    <x v="1629"/>
    <x v="741"/>
    <x v="1311"/>
    <x v="0"/>
    <x v="17"/>
    <x v="3"/>
    <x v="1"/>
    <x v="20"/>
    <x v="3"/>
    <x v="1520"/>
    <x v="3"/>
    <n v="11.03"/>
    <n v="10.84"/>
    <x v="1536"/>
    <x v="1"/>
    <n v="2025"/>
    <x v="5"/>
    <n v="9.9269999999999996"/>
    <n v="-0.53691951244081804"/>
    <x v="1"/>
    <x v="1"/>
  </r>
  <r>
    <x v="1630"/>
    <x v="742"/>
    <x v="1312"/>
    <x v="0"/>
    <x v="10"/>
    <x v="3"/>
    <x v="2"/>
    <x v="39"/>
    <x v="5"/>
    <x v="1521"/>
    <x v="6"/>
    <n v="625.88"/>
    <n v="18.86"/>
    <x v="1537"/>
    <x v="2"/>
    <n v="2025"/>
    <x v="5"/>
    <n v="469.41"/>
    <n v="0.226497092094331"/>
    <x v="2"/>
    <x v="0"/>
  </r>
  <r>
    <x v="1631"/>
    <x v="742"/>
    <x v="1313"/>
    <x v="1"/>
    <x v="1"/>
    <x v="1"/>
    <x v="0"/>
    <x v="35"/>
    <x v="3"/>
    <x v="1522"/>
    <x v="0"/>
    <n v="51.63"/>
    <n v="7.8"/>
    <x v="259"/>
    <x v="2"/>
    <n v="2025"/>
    <x v="5"/>
    <n v="51.63"/>
    <n v="0.298857253534767"/>
    <x v="1"/>
    <x v="0"/>
  </r>
  <r>
    <x v="1632"/>
    <x v="742"/>
    <x v="1314"/>
    <x v="1"/>
    <x v="19"/>
    <x v="1"/>
    <x v="2"/>
    <x v="5"/>
    <x v="3"/>
    <x v="1523"/>
    <x v="3"/>
    <n v="130.4"/>
    <n v="8.09"/>
    <x v="1538"/>
    <x v="1"/>
    <n v="2025"/>
    <x v="5"/>
    <n v="117.36"/>
    <n v="0.30146557600545298"/>
    <x v="0"/>
    <x v="0"/>
  </r>
  <r>
    <x v="1633"/>
    <x v="743"/>
    <x v="1315"/>
    <x v="1"/>
    <x v="16"/>
    <x v="3"/>
    <x v="1"/>
    <x v="2"/>
    <x v="6"/>
    <x v="1524"/>
    <x v="0"/>
    <n v="94.71"/>
    <n v="20.02"/>
    <x v="1539"/>
    <x v="1"/>
    <n v="2025"/>
    <x v="5"/>
    <n v="94.71"/>
    <n v="0.33861260690528999"/>
    <x v="1"/>
    <x v="0"/>
  </r>
  <r>
    <x v="1634"/>
    <x v="743"/>
    <x v="1316"/>
    <x v="0"/>
    <x v="6"/>
    <x v="2"/>
    <x v="1"/>
    <x v="12"/>
    <x v="1"/>
    <x v="1525"/>
    <x v="1"/>
    <n v="60.48"/>
    <n v="16.12"/>
    <x v="1540"/>
    <x v="1"/>
    <n v="2025"/>
    <x v="5"/>
    <n v="48.384"/>
    <n v="0.213707010582011"/>
    <x v="1"/>
    <x v="0"/>
  </r>
  <r>
    <x v="1635"/>
    <x v="743"/>
    <x v="1317"/>
    <x v="2"/>
    <x v="14"/>
    <x v="1"/>
    <x v="1"/>
    <x v="25"/>
    <x v="3"/>
    <x v="1526"/>
    <x v="0"/>
    <n v="16.309999999999999"/>
    <n v="8.77"/>
    <x v="1541"/>
    <x v="1"/>
    <n v="2025"/>
    <x v="5"/>
    <n v="16.309999999999999"/>
    <n v="1.22624156958921E-2"/>
    <x v="1"/>
    <x v="0"/>
  </r>
  <r>
    <x v="1636"/>
    <x v="743"/>
    <x v="1318"/>
    <x v="2"/>
    <x v="0"/>
    <x v="0"/>
    <x v="3"/>
    <x v="37"/>
    <x v="2"/>
    <x v="1527"/>
    <x v="2"/>
    <n v="120.43"/>
    <n v="7.08"/>
    <x v="1542"/>
    <x v="2"/>
    <n v="2025"/>
    <x v="5"/>
    <n v="102.3655"/>
    <n v="0.415276631286908"/>
    <x v="0"/>
    <x v="0"/>
  </r>
  <r>
    <x v="1637"/>
    <x v="743"/>
    <x v="597"/>
    <x v="0"/>
    <x v="8"/>
    <x v="1"/>
    <x v="1"/>
    <x v="17"/>
    <x v="5"/>
    <x v="1528"/>
    <x v="1"/>
    <n v="78.44"/>
    <n v="10.31"/>
    <x v="1543"/>
    <x v="0"/>
    <n v="2025"/>
    <x v="5"/>
    <n v="62.752000000000002"/>
    <n v="0.38261728709841902"/>
    <x v="1"/>
    <x v="0"/>
  </r>
  <r>
    <x v="1638"/>
    <x v="744"/>
    <x v="972"/>
    <x v="0"/>
    <x v="14"/>
    <x v="1"/>
    <x v="2"/>
    <x v="36"/>
    <x v="7"/>
    <x v="1529"/>
    <x v="4"/>
    <n v="2164.33"/>
    <n v="25.98"/>
    <x v="1544"/>
    <x v="3"/>
    <n v="2025"/>
    <x v="5"/>
    <n v="2056.1134999999999"/>
    <n v="0.37517870487207999"/>
    <x v="2"/>
    <x v="0"/>
  </r>
  <r>
    <x v="1639"/>
    <x v="744"/>
    <x v="455"/>
    <x v="0"/>
    <x v="9"/>
    <x v="3"/>
    <x v="0"/>
    <x v="0"/>
    <x v="11"/>
    <x v="1530"/>
    <x v="4"/>
    <n v="640.69000000000005"/>
    <n v="33.82"/>
    <x v="1545"/>
    <x v="2"/>
    <n v="2025"/>
    <x v="5"/>
    <n v="608.65549999999996"/>
    <n v="0.38764128476617699"/>
    <x v="2"/>
    <x v="0"/>
  </r>
  <r>
    <x v="1640"/>
    <x v="744"/>
    <x v="1145"/>
    <x v="1"/>
    <x v="2"/>
    <x v="0"/>
    <x v="0"/>
    <x v="29"/>
    <x v="0"/>
    <x v="1531"/>
    <x v="3"/>
    <n v="61.02"/>
    <n v="6.51"/>
    <x v="1546"/>
    <x v="1"/>
    <n v="2025"/>
    <x v="5"/>
    <n v="54.917999999999999"/>
    <n v="0.31355839615426601"/>
    <x v="1"/>
    <x v="0"/>
  </r>
  <r>
    <x v="1641"/>
    <x v="744"/>
    <x v="720"/>
    <x v="1"/>
    <x v="3"/>
    <x v="1"/>
    <x v="1"/>
    <x v="17"/>
    <x v="1"/>
    <x v="1090"/>
    <x v="0"/>
    <n v="28.24"/>
    <n v="13.62"/>
    <x v="1547"/>
    <x v="0"/>
    <n v="2025"/>
    <x v="5"/>
    <n v="28.24"/>
    <n v="6.7634560906515595E-2"/>
    <x v="1"/>
    <x v="0"/>
  </r>
  <r>
    <x v="1642"/>
    <x v="744"/>
    <x v="1319"/>
    <x v="1"/>
    <x v="11"/>
    <x v="2"/>
    <x v="0"/>
    <x v="35"/>
    <x v="3"/>
    <x v="1532"/>
    <x v="0"/>
    <n v="34.770000000000003"/>
    <n v="11.76"/>
    <x v="1051"/>
    <x v="1"/>
    <n v="2025"/>
    <x v="5"/>
    <n v="34.770000000000003"/>
    <n v="0.111878055795226"/>
    <x v="1"/>
    <x v="0"/>
  </r>
  <r>
    <x v="1643"/>
    <x v="744"/>
    <x v="1320"/>
    <x v="1"/>
    <x v="9"/>
    <x v="3"/>
    <x v="3"/>
    <x v="33"/>
    <x v="4"/>
    <x v="1533"/>
    <x v="3"/>
    <n v="96.82"/>
    <n v="15.34"/>
    <x v="1548"/>
    <x v="1"/>
    <n v="2025"/>
    <x v="5"/>
    <n v="87.138000000000005"/>
    <n v="0.31777181023204598"/>
    <x v="1"/>
    <x v="0"/>
  </r>
  <r>
    <x v="1644"/>
    <x v="745"/>
    <x v="1031"/>
    <x v="2"/>
    <x v="2"/>
    <x v="0"/>
    <x v="3"/>
    <x v="27"/>
    <x v="4"/>
    <x v="1534"/>
    <x v="4"/>
    <n v="371.92"/>
    <n v="8.51"/>
    <x v="1549"/>
    <x v="2"/>
    <n v="2025"/>
    <x v="5"/>
    <n v="353.32400000000001"/>
    <n v="0.47452196850482797"/>
    <x v="0"/>
    <x v="0"/>
  </r>
  <r>
    <x v="1645"/>
    <x v="745"/>
    <x v="718"/>
    <x v="1"/>
    <x v="2"/>
    <x v="0"/>
    <x v="0"/>
    <x v="7"/>
    <x v="2"/>
    <x v="1535"/>
    <x v="4"/>
    <n v="72.260000000000005"/>
    <n v="9.2899999999999991"/>
    <x v="1550"/>
    <x v="2"/>
    <n v="2025"/>
    <x v="5"/>
    <n v="68.647000000000006"/>
    <n v="0.30795227759406801"/>
    <x v="1"/>
    <x v="0"/>
  </r>
  <r>
    <x v="1646"/>
    <x v="745"/>
    <x v="385"/>
    <x v="0"/>
    <x v="1"/>
    <x v="1"/>
    <x v="3"/>
    <x v="33"/>
    <x v="0"/>
    <x v="1536"/>
    <x v="0"/>
    <n v="161.72999999999999"/>
    <n v="12.12"/>
    <x v="1551"/>
    <x v="1"/>
    <n v="2025"/>
    <x v="5"/>
    <n v="161.72999999999999"/>
    <n v="0.42502936993754997"/>
    <x v="0"/>
    <x v="0"/>
  </r>
  <r>
    <x v="1647"/>
    <x v="746"/>
    <x v="118"/>
    <x v="0"/>
    <x v="15"/>
    <x v="2"/>
    <x v="0"/>
    <x v="35"/>
    <x v="1"/>
    <x v="1537"/>
    <x v="0"/>
    <n v="160.04"/>
    <n v="16.420000000000002"/>
    <x v="1552"/>
    <x v="0"/>
    <n v="2025"/>
    <x v="5"/>
    <n v="160.04"/>
    <n v="0.34741314671332202"/>
    <x v="0"/>
    <x v="0"/>
  </r>
  <r>
    <x v="1648"/>
    <x v="746"/>
    <x v="1321"/>
    <x v="1"/>
    <x v="5"/>
    <x v="3"/>
    <x v="0"/>
    <x v="7"/>
    <x v="10"/>
    <x v="167"/>
    <x v="4"/>
    <n v="502.91"/>
    <n v="25.7"/>
    <x v="1553"/>
    <x v="2"/>
    <n v="2025"/>
    <x v="5"/>
    <n v="477.7645"/>
    <n v="0.38941779893650502"/>
    <x v="2"/>
    <x v="0"/>
  </r>
  <r>
    <x v="1649"/>
    <x v="747"/>
    <x v="1322"/>
    <x v="0"/>
    <x v="0"/>
    <x v="0"/>
    <x v="1"/>
    <x v="2"/>
    <x v="2"/>
    <x v="1538"/>
    <x v="3"/>
    <n v="16.16"/>
    <n v="9.66"/>
    <x v="415"/>
    <x v="2"/>
    <n v="2025"/>
    <x v="5"/>
    <n v="14.544"/>
    <n v="-0.108635863586359"/>
    <x v="1"/>
    <x v="1"/>
  </r>
  <r>
    <x v="1650"/>
    <x v="747"/>
    <x v="1323"/>
    <x v="1"/>
    <x v="2"/>
    <x v="0"/>
    <x v="2"/>
    <x v="34"/>
    <x v="0"/>
    <x v="1539"/>
    <x v="0"/>
    <n v="87.36"/>
    <n v="11.41"/>
    <x v="1554"/>
    <x v="0"/>
    <n v="2025"/>
    <x v="5"/>
    <n v="87.36"/>
    <n v="0.26934523809523803"/>
    <x v="1"/>
    <x v="0"/>
  </r>
  <r>
    <x v="1651"/>
    <x v="748"/>
    <x v="1324"/>
    <x v="1"/>
    <x v="5"/>
    <x v="3"/>
    <x v="2"/>
    <x v="34"/>
    <x v="1"/>
    <x v="1346"/>
    <x v="3"/>
    <n v="62.93"/>
    <n v="12.78"/>
    <x v="1555"/>
    <x v="0"/>
    <n v="2025"/>
    <x v="6"/>
    <n v="56.637"/>
    <n v="0.14478167982061199"/>
    <x v="1"/>
    <x v="0"/>
  </r>
  <r>
    <x v="1652"/>
    <x v="749"/>
    <x v="1129"/>
    <x v="1"/>
    <x v="0"/>
    <x v="0"/>
    <x v="1"/>
    <x v="6"/>
    <x v="3"/>
    <x v="1540"/>
    <x v="4"/>
    <n v="11.55"/>
    <n v="6.58"/>
    <x v="1556"/>
    <x v="3"/>
    <n v="2025"/>
    <x v="6"/>
    <n v="10.9725"/>
    <n v="-4.5568466621098203E-2"/>
    <x v="1"/>
    <x v="1"/>
  </r>
  <r>
    <x v="1653"/>
    <x v="749"/>
    <x v="1325"/>
    <x v="0"/>
    <x v="8"/>
    <x v="1"/>
    <x v="1"/>
    <x v="25"/>
    <x v="7"/>
    <x v="1541"/>
    <x v="3"/>
    <n v="127.22"/>
    <n v="25.24"/>
    <x v="1557"/>
    <x v="2"/>
    <n v="2025"/>
    <x v="6"/>
    <n v="114.498"/>
    <n v="0.33511502384321101"/>
    <x v="0"/>
    <x v="0"/>
  </r>
  <r>
    <x v="1654"/>
    <x v="749"/>
    <x v="716"/>
    <x v="1"/>
    <x v="8"/>
    <x v="1"/>
    <x v="2"/>
    <x v="8"/>
    <x v="3"/>
    <x v="1542"/>
    <x v="3"/>
    <n v="85.19"/>
    <n v="8.91"/>
    <x v="1558"/>
    <x v="0"/>
    <n v="2025"/>
    <x v="6"/>
    <n v="76.671000000000006"/>
    <n v="0.25420302330737798"/>
    <x v="1"/>
    <x v="0"/>
  </r>
  <r>
    <x v="1655"/>
    <x v="750"/>
    <x v="654"/>
    <x v="0"/>
    <x v="0"/>
    <x v="0"/>
    <x v="2"/>
    <x v="8"/>
    <x v="2"/>
    <x v="1543"/>
    <x v="0"/>
    <n v="99.62"/>
    <n v="8.52"/>
    <x v="1559"/>
    <x v="1"/>
    <n v="2025"/>
    <x v="6"/>
    <n v="99.62"/>
    <n v="0.31449508130897402"/>
    <x v="1"/>
    <x v="0"/>
  </r>
  <r>
    <x v="1656"/>
    <x v="751"/>
    <x v="771"/>
    <x v="2"/>
    <x v="13"/>
    <x v="0"/>
    <x v="0"/>
    <x v="35"/>
    <x v="3"/>
    <x v="1544"/>
    <x v="4"/>
    <n v="40.229999999999997"/>
    <n v="6.81"/>
    <x v="1560"/>
    <x v="1"/>
    <n v="2025"/>
    <x v="6"/>
    <n v="38.218499999999999"/>
    <n v="0.26505488179808201"/>
    <x v="1"/>
    <x v="0"/>
  </r>
  <r>
    <x v="1657"/>
    <x v="751"/>
    <x v="1326"/>
    <x v="2"/>
    <x v="3"/>
    <x v="1"/>
    <x v="3"/>
    <x v="30"/>
    <x v="3"/>
    <x v="579"/>
    <x v="0"/>
    <n v="9.44"/>
    <n v="9.42"/>
    <x v="1026"/>
    <x v="2"/>
    <n v="2025"/>
    <x v="6"/>
    <n v="9.44"/>
    <n v="-0.49788135593220301"/>
    <x v="1"/>
    <x v="1"/>
  </r>
  <r>
    <x v="1658"/>
    <x v="751"/>
    <x v="591"/>
    <x v="1"/>
    <x v="17"/>
    <x v="3"/>
    <x v="0"/>
    <x v="29"/>
    <x v="1"/>
    <x v="1545"/>
    <x v="6"/>
    <n v="48.66"/>
    <n v="16.63"/>
    <x v="1561"/>
    <x v="2"/>
    <n v="2025"/>
    <x v="6"/>
    <n v="36.494999999999997"/>
    <n v="-0.100013700506919"/>
    <x v="1"/>
    <x v="1"/>
  </r>
  <r>
    <x v="1659"/>
    <x v="751"/>
    <x v="1327"/>
    <x v="1"/>
    <x v="15"/>
    <x v="2"/>
    <x v="2"/>
    <x v="21"/>
    <x v="4"/>
    <x v="1546"/>
    <x v="4"/>
    <n v="432.8"/>
    <n v="17.420000000000002"/>
    <x v="1562"/>
    <x v="2"/>
    <n v="2025"/>
    <x v="6"/>
    <n v="411.16"/>
    <n v="0.34543729934818601"/>
    <x v="0"/>
    <x v="0"/>
  </r>
  <r>
    <x v="1660"/>
    <x v="752"/>
    <x v="1328"/>
    <x v="1"/>
    <x v="17"/>
    <x v="3"/>
    <x v="1"/>
    <x v="6"/>
    <x v="5"/>
    <x v="2"/>
    <x v="4"/>
    <n v="51.02"/>
    <n v="15.88"/>
    <x v="91"/>
    <x v="2"/>
    <n v="2025"/>
    <x v="6"/>
    <n v="48.469000000000001"/>
    <n v="0.22633023169448499"/>
    <x v="1"/>
    <x v="0"/>
  </r>
  <r>
    <x v="1661"/>
    <x v="752"/>
    <x v="1315"/>
    <x v="1"/>
    <x v="9"/>
    <x v="3"/>
    <x v="3"/>
    <x v="26"/>
    <x v="0"/>
    <x v="1547"/>
    <x v="0"/>
    <n v="39.03"/>
    <n v="14.95"/>
    <x v="1563"/>
    <x v="2"/>
    <n v="2025"/>
    <x v="6"/>
    <n v="39.03"/>
    <n v="0.117089418396106"/>
    <x v="1"/>
    <x v="0"/>
  </r>
  <r>
    <x v="1662"/>
    <x v="753"/>
    <x v="819"/>
    <x v="2"/>
    <x v="10"/>
    <x v="3"/>
    <x v="1"/>
    <x v="23"/>
    <x v="8"/>
    <x v="1548"/>
    <x v="4"/>
    <n v="175.1"/>
    <n v="38.299999999999997"/>
    <x v="265"/>
    <x v="1"/>
    <n v="2025"/>
    <x v="6"/>
    <n v="166.345"/>
    <n v="0.323784904866392"/>
    <x v="0"/>
    <x v="0"/>
  </r>
  <r>
    <x v="1663"/>
    <x v="753"/>
    <x v="1329"/>
    <x v="1"/>
    <x v="9"/>
    <x v="3"/>
    <x v="0"/>
    <x v="1"/>
    <x v="3"/>
    <x v="1549"/>
    <x v="0"/>
    <n v="59.17"/>
    <n v="11.08"/>
    <x v="1564"/>
    <x v="1"/>
    <n v="2025"/>
    <x v="6"/>
    <n v="59.17"/>
    <n v="0.26280209565658302"/>
    <x v="1"/>
    <x v="0"/>
  </r>
  <r>
    <x v="1664"/>
    <x v="754"/>
    <x v="1330"/>
    <x v="1"/>
    <x v="14"/>
    <x v="1"/>
    <x v="3"/>
    <x v="33"/>
    <x v="2"/>
    <x v="1550"/>
    <x v="0"/>
    <n v="81.92"/>
    <n v="8.07"/>
    <x v="1565"/>
    <x v="1"/>
    <n v="2025"/>
    <x v="6"/>
    <n v="81.92"/>
    <n v="0.4014892578125"/>
    <x v="1"/>
    <x v="0"/>
  </r>
  <r>
    <x v="1665"/>
    <x v="755"/>
    <x v="1331"/>
    <x v="0"/>
    <x v="7"/>
    <x v="4"/>
    <x v="2"/>
    <x v="8"/>
    <x v="3"/>
    <x v="1551"/>
    <x v="3"/>
    <n v="105.71"/>
    <n v="11.69"/>
    <x v="1566"/>
    <x v="2"/>
    <n v="2025"/>
    <x v="6"/>
    <n v="95.138999999999996"/>
    <n v="0.247427448259914"/>
    <x v="0"/>
    <x v="0"/>
  </r>
  <r>
    <x v="1666"/>
    <x v="756"/>
    <x v="145"/>
    <x v="0"/>
    <x v="19"/>
    <x v="1"/>
    <x v="2"/>
    <x v="5"/>
    <x v="1"/>
    <x v="348"/>
    <x v="1"/>
    <n v="308.8"/>
    <n v="15.4"/>
    <x v="1567"/>
    <x v="1"/>
    <n v="2025"/>
    <x v="6"/>
    <n v="247.04"/>
    <n v="0.25016191709844599"/>
    <x v="0"/>
    <x v="0"/>
  </r>
  <r>
    <x v="1667"/>
    <x v="756"/>
    <x v="340"/>
    <x v="1"/>
    <x v="19"/>
    <x v="1"/>
    <x v="3"/>
    <x v="30"/>
    <x v="6"/>
    <x v="1552"/>
    <x v="0"/>
    <n v="88.97"/>
    <n v="11.25"/>
    <x v="1568"/>
    <x v="0"/>
    <n v="2025"/>
    <x v="6"/>
    <n v="88.97"/>
    <n v="0.37349668427559801"/>
    <x v="1"/>
    <x v="0"/>
  </r>
  <r>
    <x v="1668"/>
    <x v="756"/>
    <x v="1332"/>
    <x v="1"/>
    <x v="0"/>
    <x v="0"/>
    <x v="3"/>
    <x v="16"/>
    <x v="5"/>
    <x v="1553"/>
    <x v="0"/>
    <n v="192.45"/>
    <n v="17.329999999999998"/>
    <x v="1569"/>
    <x v="0"/>
    <n v="2025"/>
    <x v="6"/>
    <n v="192.45"/>
    <n v="0.40992465575474202"/>
    <x v="0"/>
    <x v="0"/>
  </r>
  <r>
    <x v="1669"/>
    <x v="756"/>
    <x v="1333"/>
    <x v="0"/>
    <x v="19"/>
    <x v="1"/>
    <x v="2"/>
    <x v="14"/>
    <x v="5"/>
    <x v="1554"/>
    <x v="4"/>
    <n v="2051.5700000000002"/>
    <n v="9.75"/>
    <x v="1570"/>
    <x v="3"/>
    <n v="2025"/>
    <x v="6"/>
    <n v="1948.9915000000001"/>
    <n v="0.38280823697794503"/>
    <x v="2"/>
    <x v="0"/>
  </r>
  <r>
    <x v="1670"/>
    <x v="757"/>
    <x v="1334"/>
    <x v="0"/>
    <x v="4"/>
    <x v="2"/>
    <x v="3"/>
    <x v="9"/>
    <x v="0"/>
    <x v="1555"/>
    <x v="0"/>
    <n v="138.21"/>
    <n v="14.18"/>
    <x v="1571"/>
    <x v="3"/>
    <n v="2025"/>
    <x v="6"/>
    <n v="138.21"/>
    <n v="0.39743868026915602"/>
    <x v="0"/>
    <x v="0"/>
  </r>
  <r>
    <x v="1671"/>
    <x v="757"/>
    <x v="1335"/>
    <x v="1"/>
    <x v="14"/>
    <x v="1"/>
    <x v="3"/>
    <x v="9"/>
    <x v="2"/>
    <x v="568"/>
    <x v="3"/>
    <n v="28.3"/>
    <n v="9.1999999999999993"/>
    <x v="312"/>
    <x v="0"/>
    <n v="2025"/>
    <x v="6"/>
    <n v="25.47"/>
    <n v="0.13270514330585001"/>
    <x v="1"/>
    <x v="0"/>
  </r>
  <r>
    <x v="1672"/>
    <x v="758"/>
    <x v="1336"/>
    <x v="1"/>
    <x v="3"/>
    <x v="1"/>
    <x v="2"/>
    <x v="32"/>
    <x v="1"/>
    <x v="1556"/>
    <x v="0"/>
    <n v="109.84"/>
    <n v="11.74"/>
    <x v="1572"/>
    <x v="1"/>
    <n v="2025"/>
    <x v="6"/>
    <n v="109.84"/>
    <n v="0.29315367807720299"/>
    <x v="0"/>
    <x v="0"/>
  </r>
  <r>
    <x v="1673"/>
    <x v="758"/>
    <x v="978"/>
    <x v="0"/>
    <x v="8"/>
    <x v="1"/>
    <x v="2"/>
    <x v="4"/>
    <x v="3"/>
    <x v="1557"/>
    <x v="2"/>
    <n v="203.68"/>
    <n v="9.4"/>
    <x v="1573"/>
    <x v="1"/>
    <n v="2025"/>
    <x v="6"/>
    <n v="173.12799999999999"/>
    <n v="0.29174945704911998"/>
    <x v="0"/>
    <x v="0"/>
  </r>
  <r>
    <x v="1674"/>
    <x v="758"/>
    <x v="192"/>
    <x v="1"/>
    <x v="19"/>
    <x v="1"/>
    <x v="2"/>
    <x v="34"/>
    <x v="2"/>
    <x v="1558"/>
    <x v="4"/>
    <n v="113.13"/>
    <n v="9.4600000000000009"/>
    <x v="1574"/>
    <x v="1"/>
    <n v="2025"/>
    <x v="6"/>
    <n v="107.4735"/>
    <n v="0.29979483314491501"/>
    <x v="0"/>
    <x v="0"/>
  </r>
  <r>
    <x v="1675"/>
    <x v="758"/>
    <x v="1224"/>
    <x v="1"/>
    <x v="1"/>
    <x v="1"/>
    <x v="2"/>
    <x v="8"/>
    <x v="3"/>
    <x v="1559"/>
    <x v="4"/>
    <n v="73.239999999999995"/>
    <n v="9.2799999999999994"/>
    <x v="1575"/>
    <x v="2"/>
    <n v="2025"/>
    <x v="6"/>
    <n v="69.578000000000003"/>
    <n v="0.25453447928943101"/>
    <x v="1"/>
    <x v="0"/>
  </r>
  <r>
    <x v="1676"/>
    <x v="759"/>
    <x v="555"/>
    <x v="1"/>
    <x v="11"/>
    <x v="2"/>
    <x v="0"/>
    <x v="29"/>
    <x v="8"/>
    <x v="1560"/>
    <x v="1"/>
    <n v="280.51"/>
    <n v="32.57"/>
    <x v="1576"/>
    <x v="2"/>
    <n v="2025"/>
    <x v="6"/>
    <n v="224.40799999999999"/>
    <n v="0.24549035685002299"/>
    <x v="0"/>
    <x v="0"/>
  </r>
  <r>
    <x v="1677"/>
    <x v="759"/>
    <x v="1337"/>
    <x v="1"/>
    <x v="9"/>
    <x v="3"/>
    <x v="3"/>
    <x v="11"/>
    <x v="2"/>
    <x v="1561"/>
    <x v="3"/>
    <n v="170.26"/>
    <n v="12.29"/>
    <x v="1533"/>
    <x v="0"/>
    <n v="2025"/>
    <x v="6"/>
    <n v="153.23400000000001"/>
    <n v="0.41361577717738901"/>
    <x v="0"/>
    <x v="0"/>
  </r>
  <r>
    <x v="1678"/>
    <x v="759"/>
    <x v="1338"/>
    <x v="0"/>
    <x v="9"/>
    <x v="3"/>
    <x v="1"/>
    <x v="12"/>
    <x v="2"/>
    <x v="1562"/>
    <x v="1"/>
    <n v="36.18"/>
    <n v="11.67"/>
    <x v="1144"/>
    <x v="2"/>
    <n v="2025"/>
    <x v="6"/>
    <n v="28.943999999999999"/>
    <n v="0.14372581536760601"/>
    <x v="1"/>
    <x v="0"/>
  </r>
  <r>
    <x v="1679"/>
    <x v="760"/>
    <x v="1152"/>
    <x v="1"/>
    <x v="13"/>
    <x v="0"/>
    <x v="2"/>
    <x v="4"/>
    <x v="2"/>
    <x v="1563"/>
    <x v="0"/>
    <n v="356.28"/>
    <n v="9.81"/>
    <x v="1577"/>
    <x v="2"/>
    <n v="2025"/>
    <x v="6"/>
    <n v="356.28"/>
    <n v="0.37245986302907802"/>
    <x v="0"/>
    <x v="0"/>
  </r>
  <r>
    <x v="1680"/>
    <x v="760"/>
    <x v="1339"/>
    <x v="0"/>
    <x v="9"/>
    <x v="3"/>
    <x v="2"/>
    <x v="36"/>
    <x v="1"/>
    <x v="1564"/>
    <x v="4"/>
    <n v="1044.2"/>
    <n v="18.5"/>
    <x v="1578"/>
    <x v="3"/>
    <n v="2025"/>
    <x v="6"/>
    <n v="991.99"/>
    <n v="0.36915694714664499"/>
    <x v="2"/>
    <x v="0"/>
  </r>
  <r>
    <x v="1681"/>
    <x v="761"/>
    <x v="1340"/>
    <x v="0"/>
    <x v="13"/>
    <x v="0"/>
    <x v="2"/>
    <x v="34"/>
    <x v="2"/>
    <x v="1343"/>
    <x v="6"/>
    <n v="43.53"/>
    <n v="8.3800000000000008"/>
    <x v="205"/>
    <x v="0"/>
    <n v="2025"/>
    <x v="6"/>
    <n v="32.647500000000001"/>
    <n v="1.01079715138985E-2"/>
    <x v="1"/>
    <x v="0"/>
  </r>
  <r>
    <x v="1682"/>
    <x v="761"/>
    <x v="1341"/>
    <x v="0"/>
    <x v="2"/>
    <x v="0"/>
    <x v="0"/>
    <x v="1"/>
    <x v="6"/>
    <x v="1565"/>
    <x v="6"/>
    <n v="751.33"/>
    <n v="19.7"/>
    <x v="1579"/>
    <x v="2"/>
    <n v="2025"/>
    <x v="6"/>
    <n v="563.49749999999995"/>
    <n v="0.32060479416501397"/>
    <x v="2"/>
    <x v="0"/>
  </r>
  <r>
    <x v="1683"/>
    <x v="762"/>
    <x v="345"/>
    <x v="1"/>
    <x v="8"/>
    <x v="1"/>
    <x v="3"/>
    <x v="13"/>
    <x v="7"/>
    <x v="1566"/>
    <x v="3"/>
    <n v="680.76"/>
    <n v="22.09"/>
    <x v="1580"/>
    <x v="2"/>
    <n v="2025"/>
    <x v="6"/>
    <n v="612.68399999999997"/>
    <n v="0.45777268543000998"/>
    <x v="2"/>
    <x v="0"/>
  </r>
  <r>
    <x v="1684"/>
    <x v="762"/>
    <x v="1342"/>
    <x v="0"/>
    <x v="1"/>
    <x v="1"/>
    <x v="2"/>
    <x v="14"/>
    <x v="1"/>
    <x v="1567"/>
    <x v="3"/>
    <n v="1322.93"/>
    <n v="9.83"/>
    <x v="1581"/>
    <x v="1"/>
    <n v="2025"/>
    <x v="6"/>
    <n v="1190.6369999999999"/>
    <n v="0.362117085224128"/>
    <x v="2"/>
    <x v="0"/>
  </r>
  <r>
    <x v="1685"/>
    <x v="762"/>
    <x v="1343"/>
    <x v="1"/>
    <x v="13"/>
    <x v="0"/>
    <x v="2"/>
    <x v="14"/>
    <x v="2"/>
    <x v="1568"/>
    <x v="0"/>
    <n v="392.02"/>
    <n v="9.09"/>
    <x v="1582"/>
    <x v="1"/>
    <n v="2025"/>
    <x v="6"/>
    <n v="392.02"/>
    <n v="0.37681750931074998"/>
    <x v="0"/>
    <x v="0"/>
  </r>
  <r>
    <x v="1686"/>
    <x v="762"/>
    <x v="1344"/>
    <x v="1"/>
    <x v="3"/>
    <x v="1"/>
    <x v="0"/>
    <x v="28"/>
    <x v="3"/>
    <x v="1569"/>
    <x v="3"/>
    <n v="40.299999999999997"/>
    <n v="8.85"/>
    <x v="1583"/>
    <x v="0"/>
    <n v="2025"/>
    <x v="6"/>
    <n v="36.270000000000003"/>
    <n v="0.188034188034188"/>
    <x v="1"/>
    <x v="0"/>
  </r>
  <r>
    <x v="1687"/>
    <x v="763"/>
    <x v="1345"/>
    <x v="0"/>
    <x v="17"/>
    <x v="3"/>
    <x v="3"/>
    <x v="16"/>
    <x v="6"/>
    <x v="1570"/>
    <x v="1"/>
    <n v="230.66"/>
    <n v="13.8"/>
    <x v="1584"/>
    <x v="0"/>
    <n v="2025"/>
    <x v="6"/>
    <n v="184.52799999999999"/>
    <n v="0.39397814965750499"/>
    <x v="0"/>
    <x v="0"/>
  </r>
  <r>
    <x v="1688"/>
    <x v="763"/>
    <x v="1346"/>
    <x v="1"/>
    <x v="5"/>
    <x v="3"/>
    <x v="3"/>
    <x v="11"/>
    <x v="3"/>
    <x v="1571"/>
    <x v="4"/>
    <n v="28.85"/>
    <n v="10.62"/>
    <x v="1585"/>
    <x v="2"/>
    <n v="2025"/>
    <x v="6"/>
    <n v="27.407499999999999"/>
    <n v="0.111283407826325"/>
    <x v="1"/>
    <x v="0"/>
  </r>
  <r>
    <x v="1689"/>
    <x v="763"/>
    <x v="1347"/>
    <x v="1"/>
    <x v="10"/>
    <x v="3"/>
    <x v="0"/>
    <x v="18"/>
    <x v="3"/>
    <x v="1572"/>
    <x v="4"/>
    <n v="43.81"/>
    <n v="10.98"/>
    <x v="1586"/>
    <x v="1"/>
    <n v="2025"/>
    <x v="6"/>
    <n v="41.619500000000002"/>
    <n v="0.179242902966158"/>
    <x v="1"/>
    <x v="0"/>
  </r>
  <r>
    <x v="1690"/>
    <x v="763"/>
    <x v="1348"/>
    <x v="1"/>
    <x v="7"/>
    <x v="4"/>
    <x v="2"/>
    <x v="5"/>
    <x v="6"/>
    <x v="1573"/>
    <x v="0"/>
    <n v="865.13"/>
    <n v="17.52"/>
    <x v="1587"/>
    <x v="3"/>
    <n v="2025"/>
    <x v="6"/>
    <n v="865.13"/>
    <n v="0.37974639649532399"/>
    <x v="2"/>
    <x v="0"/>
  </r>
  <r>
    <x v="1691"/>
    <x v="764"/>
    <x v="1108"/>
    <x v="1"/>
    <x v="0"/>
    <x v="0"/>
    <x v="3"/>
    <x v="11"/>
    <x v="2"/>
    <x v="1574"/>
    <x v="0"/>
    <n v="171.18"/>
    <n v="8.25"/>
    <x v="1588"/>
    <x v="1"/>
    <n v="2025"/>
    <x v="6"/>
    <n v="171.18"/>
    <n v="0.45180511742025897"/>
    <x v="0"/>
    <x v="0"/>
  </r>
  <r>
    <x v="1692"/>
    <x v="765"/>
    <x v="1349"/>
    <x v="0"/>
    <x v="18"/>
    <x v="4"/>
    <x v="0"/>
    <x v="35"/>
    <x v="8"/>
    <x v="1114"/>
    <x v="3"/>
    <n v="576.5"/>
    <n v="38.799999999999997"/>
    <x v="1589"/>
    <x v="0"/>
    <n v="2025"/>
    <x v="6"/>
    <n v="518.85"/>
    <n v="0.357309434325913"/>
    <x v="2"/>
    <x v="0"/>
  </r>
  <r>
    <x v="1693"/>
    <x v="765"/>
    <x v="119"/>
    <x v="1"/>
    <x v="13"/>
    <x v="0"/>
    <x v="0"/>
    <x v="18"/>
    <x v="0"/>
    <x v="1575"/>
    <x v="4"/>
    <n v="169.57"/>
    <n v="11.82"/>
    <x v="1590"/>
    <x v="1"/>
    <n v="2025"/>
    <x v="6"/>
    <n v="161.0915"/>
    <n v="0.36978983993568898"/>
    <x v="0"/>
    <x v="0"/>
  </r>
  <r>
    <x v="1694"/>
    <x v="765"/>
    <x v="1350"/>
    <x v="0"/>
    <x v="15"/>
    <x v="2"/>
    <x v="0"/>
    <x v="31"/>
    <x v="0"/>
    <x v="1266"/>
    <x v="3"/>
    <n v="235.68"/>
    <n v="14.8"/>
    <x v="1591"/>
    <x v="0"/>
    <n v="2025"/>
    <x v="6"/>
    <n v="212.11199999999999"/>
    <n v="0.36230859168740998"/>
    <x v="0"/>
    <x v="0"/>
  </r>
  <r>
    <x v="1695"/>
    <x v="766"/>
    <x v="1021"/>
    <x v="2"/>
    <x v="18"/>
    <x v="4"/>
    <x v="1"/>
    <x v="2"/>
    <x v="0"/>
    <x v="1576"/>
    <x v="3"/>
    <n v="19.170000000000002"/>
    <n v="12.32"/>
    <x v="1592"/>
    <x v="1"/>
    <n v="2025"/>
    <x v="6"/>
    <n v="17.253"/>
    <n v="-0.15823335072161401"/>
    <x v="1"/>
    <x v="1"/>
  </r>
  <r>
    <x v="1696"/>
    <x v="766"/>
    <x v="1351"/>
    <x v="2"/>
    <x v="14"/>
    <x v="1"/>
    <x v="1"/>
    <x v="6"/>
    <x v="3"/>
    <x v="1577"/>
    <x v="3"/>
    <n v="19.73"/>
    <n v="8.01"/>
    <x v="1593"/>
    <x v="3"/>
    <n v="2025"/>
    <x v="6"/>
    <n v="17.757000000000001"/>
    <n v="0.104747423551276"/>
    <x v="1"/>
    <x v="0"/>
  </r>
  <r>
    <x v="1697"/>
    <x v="766"/>
    <x v="1352"/>
    <x v="0"/>
    <x v="10"/>
    <x v="3"/>
    <x v="2"/>
    <x v="36"/>
    <x v="3"/>
    <x v="1578"/>
    <x v="3"/>
    <n v="251.68"/>
    <n v="9.76"/>
    <x v="1594"/>
    <x v="1"/>
    <n v="2025"/>
    <x v="6"/>
    <n v="226.512"/>
    <n v="0.32726742954015697"/>
    <x v="0"/>
    <x v="0"/>
  </r>
  <r>
    <x v="1698"/>
    <x v="767"/>
    <x v="311"/>
    <x v="1"/>
    <x v="13"/>
    <x v="0"/>
    <x v="0"/>
    <x v="35"/>
    <x v="3"/>
    <x v="1579"/>
    <x v="4"/>
    <n v="47.35"/>
    <n v="5.98"/>
    <x v="1595"/>
    <x v="1"/>
    <n v="2025"/>
    <x v="6"/>
    <n v="44.982500000000002"/>
    <n v="0.31034291113210699"/>
    <x v="1"/>
    <x v="0"/>
  </r>
  <r>
    <x v="1699"/>
    <x v="767"/>
    <x v="1353"/>
    <x v="1"/>
    <x v="9"/>
    <x v="3"/>
    <x v="2"/>
    <x v="4"/>
    <x v="3"/>
    <x v="1580"/>
    <x v="3"/>
    <n v="243.95"/>
    <n v="10.25"/>
    <x v="1596"/>
    <x v="1"/>
    <n v="2025"/>
    <x v="6"/>
    <n v="219.55500000000001"/>
    <n v="0.32370021179203401"/>
    <x v="0"/>
    <x v="0"/>
  </r>
  <r>
    <x v="1700"/>
    <x v="768"/>
    <x v="1354"/>
    <x v="0"/>
    <x v="10"/>
    <x v="3"/>
    <x v="0"/>
    <x v="3"/>
    <x v="0"/>
    <x v="1581"/>
    <x v="4"/>
    <n v="222.04"/>
    <n v="13.07"/>
    <x v="1597"/>
    <x v="0"/>
    <n v="2025"/>
    <x v="6"/>
    <n v="210.93799999999999"/>
    <n v="0.38124946666793103"/>
    <x v="0"/>
    <x v="0"/>
  </r>
  <r>
    <x v="1701"/>
    <x v="768"/>
    <x v="1355"/>
    <x v="0"/>
    <x v="0"/>
    <x v="0"/>
    <x v="2"/>
    <x v="39"/>
    <x v="10"/>
    <x v="1582"/>
    <x v="6"/>
    <n v="741.08"/>
    <n v="15.31"/>
    <x v="1598"/>
    <x v="1"/>
    <n v="2025"/>
    <x v="6"/>
    <n v="555.80999999999995"/>
    <n v="0.23911048739677199"/>
    <x v="2"/>
    <x v="0"/>
  </r>
  <r>
    <x v="1702"/>
    <x v="768"/>
    <x v="933"/>
    <x v="1"/>
    <x v="16"/>
    <x v="3"/>
    <x v="3"/>
    <x v="13"/>
    <x v="2"/>
    <x v="1583"/>
    <x v="4"/>
    <n v="221.31"/>
    <n v="10.72"/>
    <x v="1599"/>
    <x v="0"/>
    <n v="2025"/>
    <x v="6"/>
    <n v="210.24449999999999"/>
    <n v="0.44762169759494302"/>
    <x v="0"/>
    <x v="0"/>
  </r>
  <r>
    <x v="1703"/>
    <x v="768"/>
    <x v="418"/>
    <x v="0"/>
    <x v="7"/>
    <x v="4"/>
    <x v="1"/>
    <x v="38"/>
    <x v="7"/>
    <x v="1584"/>
    <x v="3"/>
    <n v="41.11"/>
    <n v="26.4"/>
    <x v="1600"/>
    <x v="2"/>
    <n v="2025"/>
    <x v="6"/>
    <n v="36.999000000000002"/>
    <n v="-0.15811238141571399"/>
    <x v="1"/>
    <x v="1"/>
  </r>
  <r>
    <x v="1704"/>
    <x v="768"/>
    <x v="393"/>
    <x v="1"/>
    <x v="17"/>
    <x v="3"/>
    <x v="3"/>
    <x v="16"/>
    <x v="3"/>
    <x v="1585"/>
    <x v="6"/>
    <n v="42.01"/>
    <n v="11.23"/>
    <x v="1601"/>
    <x v="1"/>
    <n v="2025"/>
    <x v="6"/>
    <n v="31.5075"/>
    <n v="8.7915575656589695E-2"/>
    <x v="1"/>
    <x v="0"/>
  </r>
  <r>
    <x v="1705"/>
    <x v="769"/>
    <x v="1356"/>
    <x v="2"/>
    <x v="19"/>
    <x v="1"/>
    <x v="3"/>
    <x v="27"/>
    <x v="0"/>
    <x v="1586"/>
    <x v="3"/>
    <n v="132.41"/>
    <n v="10.87"/>
    <x v="1602"/>
    <x v="2"/>
    <n v="2025"/>
    <x v="6"/>
    <n v="119.169"/>
    <n v="0.40262148713172002"/>
    <x v="0"/>
    <x v="0"/>
  </r>
  <r>
    <x v="1706"/>
    <x v="769"/>
    <x v="1357"/>
    <x v="1"/>
    <x v="14"/>
    <x v="1"/>
    <x v="3"/>
    <x v="33"/>
    <x v="5"/>
    <x v="1039"/>
    <x v="6"/>
    <n v="56.89"/>
    <n v="12.81"/>
    <x v="763"/>
    <x v="3"/>
    <n v="2025"/>
    <x v="6"/>
    <n v="42.667499999999997"/>
    <n v="0.14437218023085499"/>
    <x v="1"/>
    <x v="0"/>
  </r>
  <r>
    <x v="1707"/>
    <x v="770"/>
    <x v="1358"/>
    <x v="2"/>
    <x v="14"/>
    <x v="1"/>
    <x v="2"/>
    <x v="5"/>
    <x v="3"/>
    <x v="1587"/>
    <x v="4"/>
    <n v="130.52000000000001"/>
    <n v="8.07"/>
    <x v="1603"/>
    <x v="2"/>
    <n v="2025"/>
    <x v="6"/>
    <n v="123.994"/>
    <n v="0.322757552784812"/>
    <x v="0"/>
    <x v="0"/>
  </r>
  <r>
    <x v="1708"/>
    <x v="771"/>
    <x v="94"/>
    <x v="1"/>
    <x v="16"/>
    <x v="3"/>
    <x v="2"/>
    <x v="5"/>
    <x v="3"/>
    <x v="1588"/>
    <x v="0"/>
    <n v="95.66"/>
    <n v="10.25"/>
    <x v="1604"/>
    <x v="2"/>
    <n v="2025"/>
    <x v="6"/>
    <n v="95.66"/>
    <n v="0.29280786117499502"/>
    <x v="1"/>
    <x v="0"/>
  </r>
  <r>
    <x v="1709"/>
    <x v="771"/>
    <x v="1359"/>
    <x v="1"/>
    <x v="2"/>
    <x v="0"/>
    <x v="3"/>
    <x v="24"/>
    <x v="7"/>
    <x v="1589"/>
    <x v="1"/>
    <n v="291.89999999999998"/>
    <n v="10.199999999999999"/>
    <x v="1605"/>
    <x v="0"/>
    <n v="2025"/>
    <x v="6"/>
    <n v="233.52"/>
    <n v="0.42505995203836899"/>
    <x v="0"/>
    <x v="0"/>
  </r>
  <r>
    <x v="1710"/>
    <x v="772"/>
    <x v="1360"/>
    <x v="1"/>
    <x v="1"/>
    <x v="1"/>
    <x v="2"/>
    <x v="34"/>
    <x v="3"/>
    <x v="1590"/>
    <x v="4"/>
    <n v="26.43"/>
    <n v="7.75"/>
    <x v="1423"/>
    <x v="2"/>
    <n v="2025"/>
    <x v="6"/>
    <n v="25.108499999999999"/>
    <n v="7.9256028834856704E-2"/>
    <x v="1"/>
    <x v="0"/>
  </r>
  <r>
    <x v="1711"/>
    <x v="772"/>
    <x v="416"/>
    <x v="1"/>
    <x v="8"/>
    <x v="1"/>
    <x v="3"/>
    <x v="11"/>
    <x v="0"/>
    <x v="1591"/>
    <x v="4"/>
    <n v="305.26"/>
    <n v="11.77"/>
    <x v="1606"/>
    <x v="1"/>
    <n v="2025"/>
    <x v="6"/>
    <n v="289.99700000000001"/>
    <n v="0.45800473798004798"/>
    <x v="0"/>
    <x v="0"/>
  </r>
  <r>
    <x v="1712"/>
    <x v="773"/>
    <x v="268"/>
    <x v="0"/>
    <x v="7"/>
    <x v="4"/>
    <x v="0"/>
    <x v="3"/>
    <x v="5"/>
    <x v="1592"/>
    <x v="1"/>
    <n v="326.83999999999997"/>
    <n v="22.16"/>
    <x v="1607"/>
    <x v="2"/>
    <n v="2025"/>
    <x v="7"/>
    <n v="261.47199999999998"/>
    <n v="0.30588361277689402"/>
    <x v="0"/>
    <x v="0"/>
  </r>
  <r>
    <x v="1713"/>
    <x v="773"/>
    <x v="1361"/>
    <x v="2"/>
    <x v="13"/>
    <x v="0"/>
    <x v="0"/>
    <x v="35"/>
    <x v="3"/>
    <x v="1593"/>
    <x v="0"/>
    <n v="31.28"/>
    <n v="7.32"/>
    <x v="1608"/>
    <x v="1"/>
    <n v="2025"/>
    <x v="7"/>
    <n v="31.28"/>
    <n v="0.21611253196930899"/>
    <x v="1"/>
    <x v="0"/>
  </r>
  <r>
    <x v="1714"/>
    <x v="774"/>
    <x v="1362"/>
    <x v="0"/>
    <x v="7"/>
    <x v="4"/>
    <x v="1"/>
    <x v="25"/>
    <x v="3"/>
    <x v="1594"/>
    <x v="0"/>
    <n v="8.7799999999999994"/>
    <n v="11.95"/>
    <x v="1609"/>
    <x v="2"/>
    <n v="2025"/>
    <x v="7"/>
    <n v="8.7799999999999994"/>
    <n v="-0.81093394077448799"/>
    <x v="1"/>
    <x v="1"/>
  </r>
  <r>
    <x v="1715"/>
    <x v="774"/>
    <x v="1363"/>
    <x v="1"/>
    <x v="15"/>
    <x v="2"/>
    <x v="0"/>
    <x v="22"/>
    <x v="3"/>
    <x v="1595"/>
    <x v="4"/>
    <n v="109.42"/>
    <n v="11.78"/>
    <x v="1610"/>
    <x v="3"/>
    <n v="2025"/>
    <x v="7"/>
    <n v="103.949"/>
    <n v="0.329873303254481"/>
    <x v="0"/>
    <x v="0"/>
  </r>
  <r>
    <x v="1716"/>
    <x v="775"/>
    <x v="789"/>
    <x v="1"/>
    <x v="13"/>
    <x v="0"/>
    <x v="2"/>
    <x v="4"/>
    <x v="3"/>
    <x v="1596"/>
    <x v="0"/>
    <n v="111.03"/>
    <n v="7.07"/>
    <x v="1611"/>
    <x v="1"/>
    <n v="2025"/>
    <x v="7"/>
    <n v="111.03"/>
    <n v="0.33630550301720302"/>
    <x v="0"/>
    <x v="0"/>
  </r>
  <r>
    <x v="1717"/>
    <x v="776"/>
    <x v="1364"/>
    <x v="1"/>
    <x v="0"/>
    <x v="0"/>
    <x v="0"/>
    <x v="35"/>
    <x v="5"/>
    <x v="1597"/>
    <x v="2"/>
    <n v="166"/>
    <n v="11.47"/>
    <x v="1612"/>
    <x v="1"/>
    <n v="2025"/>
    <x v="7"/>
    <n v="141.1"/>
    <n v="0.33387668320340202"/>
    <x v="0"/>
    <x v="0"/>
  </r>
  <r>
    <x v="1718"/>
    <x v="777"/>
    <x v="1365"/>
    <x v="1"/>
    <x v="15"/>
    <x v="2"/>
    <x v="1"/>
    <x v="2"/>
    <x v="3"/>
    <x v="359"/>
    <x v="4"/>
    <n v="14.45"/>
    <n v="12.63"/>
    <x v="734"/>
    <x v="2"/>
    <n v="2025"/>
    <x v="7"/>
    <n v="13.727499999999999"/>
    <n v="-0.36568930977963898"/>
    <x v="1"/>
    <x v="1"/>
  </r>
  <r>
    <x v="1719"/>
    <x v="777"/>
    <x v="1366"/>
    <x v="2"/>
    <x v="19"/>
    <x v="1"/>
    <x v="1"/>
    <x v="25"/>
    <x v="0"/>
    <x v="1598"/>
    <x v="3"/>
    <n v="42.69"/>
    <n v="11.47"/>
    <x v="1315"/>
    <x v="3"/>
    <n v="2025"/>
    <x v="7"/>
    <n v="38.420999999999999"/>
    <n v="0.25715103719320198"/>
    <x v="1"/>
    <x v="0"/>
  </r>
  <r>
    <x v="1720"/>
    <x v="778"/>
    <x v="1367"/>
    <x v="1"/>
    <x v="2"/>
    <x v="0"/>
    <x v="2"/>
    <x v="21"/>
    <x v="0"/>
    <x v="1599"/>
    <x v="4"/>
    <n v="118.42"/>
    <n v="7.02"/>
    <x v="1613"/>
    <x v="2"/>
    <n v="2025"/>
    <x v="7"/>
    <n v="112.499"/>
    <n v="0.32542511488990999"/>
    <x v="0"/>
    <x v="0"/>
  </r>
  <r>
    <x v="1721"/>
    <x v="778"/>
    <x v="1368"/>
    <x v="1"/>
    <x v="16"/>
    <x v="3"/>
    <x v="2"/>
    <x v="34"/>
    <x v="3"/>
    <x v="1600"/>
    <x v="2"/>
    <n v="25.92"/>
    <n v="10.67"/>
    <x v="1199"/>
    <x v="0"/>
    <n v="2025"/>
    <x v="7"/>
    <n v="22.032"/>
    <n v="-0.13798111837327501"/>
    <x v="1"/>
    <x v="1"/>
  </r>
  <r>
    <x v="1722"/>
    <x v="779"/>
    <x v="1060"/>
    <x v="0"/>
    <x v="9"/>
    <x v="3"/>
    <x v="3"/>
    <x v="37"/>
    <x v="1"/>
    <x v="1601"/>
    <x v="3"/>
    <n v="126.22"/>
    <n v="11.96"/>
    <x v="1614"/>
    <x v="1"/>
    <n v="2025"/>
    <x v="7"/>
    <n v="113.598"/>
    <n v="0.388563178929206"/>
    <x v="0"/>
    <x v="0"/>
  </r>
  <r>
    <x v="1723"/>
    <x v="780"/>
    <x v="1369"/>
    <x v="1"/>
    <x v="14"/>
    <x v="1"/>
    <x v="3"/>
    <x v="9"/>
    <x v="4"/>
    <x v="1602"/>
    <x v="0"/>
    <n v="279.54000000000002"/>
    <n v="19.309999999999999"/>
    <x v="1615"/>
    <x v="2"/>
    <n v="2025"/>
    <x v="7"/>
    <n v="279.54000000000002"/>
    <n v="0.430922229376833"/>
    <x v="0"/>
    <x v="0"/>
  </r>
  <r>
    <x v="1724"/>
    <x v="780"/>
    <x v="1060"/>
    <x v="1"/>
    <x v="0"/>
    <x v="0"/>
    <x v="3"/>
    <x v="9"/>
    <x v="3"/>
    <x v="1603"/>
    <x v="4"/>
    <n v="34.479999999999997"/>
    <n v="6.35"/>
    <x v="1616"/>
    <x v="1"/>
    <n v="2025"/>
    <x v="7"/>
    <n v="32.756"/>
    <n v="0.30467700573940698"/>
    <x v="1"/>
    <x v="0"/>
  </r>
  <r>
    <x v="1725"/>
    <x v="781"/>
    <x v="520"/>
    <x v="0"/>
    <x v="18"/>
    <x v="4"/>
    <x v="0"/>
    <x v="0"/>
    <x v="2"/>
    <x v="1604"/>
    <x v="3"/>
    <n v="250.83"/>
    <n v="11.26"/>
    <x v="1617"/>
    <x v="0"/>
    <n v="2025"/>
    <x v="7"/>
    <n v="225.74700000000001"/>
    <n v="0.38224206744718597"/>
    <x v="0"/>
    <x v="0"/>
  </r>
  <r>
    <x v="1726"/>
    <x v="781"/>
    <x v="1370"/>
    <x v="1"/>
    <x v="1"/>
    <x v="1"/>
    <x v="3"/>
    <x v="11"/>
    <x v="1"/>
    <x v="1605"/>
    <x v="1"/>
    <n v="125.54"/>
    <n v="10.84"/>
    <x v="1618"/>
    <x v="3"/>
    <n v="2025"/>
    <x v="7"/>
    <n v="100.432"/>
    <n v="0.36084116616217898"/>
    <x v="0"/>
    <x v="0"/>
  </r>
  <r>
    <x v="1727"/>
    <x v="782"/>
    <x v="12"/>
    <x v="0"/>
    <x v="5"/>
    <x v="3"/>
    <x v="1"/>
    <x v="17"/>
    <x v="0"/>
    <x v="1606"/>
    <x v="3"/>
    <n v="55.03"/>
    <n v="14.11"/>
    <x v="1431"/>
    <x v="2"/>
    <n v="2025"/>
    <x v="7"/>
    <n v="49.527000000000001"/>
    <n v="0.27076140287116102"/>
    <x v="1"/>
    <x v="0"/>
  </r>
  <r>
    <x v="1728"/>
    <x v="783"/>
    <x v="1371"/>
    <x v="0"/>
    <x v="1"/>
    <x v="1"/>
    <x v="3"/>
    <x v="30"/>
    <x v="1"/>
    <x v="1607"/>
    <x v="2"/>
    <n v="53.69"/>
    <n v="14.99"/>
    <x v="1619"/>
    <x v="3"/>
    <n v="2025"/>
    <x v="7"/>
    <n v="45.636499999999998"/>
    <n v="0.156015470073297"/>
    <x v="1"/>
    <x v="0"/>
  </r>
  <r>
    <x v="1729"/>
    <x v="784"/>
    <x v="1372"/>
    <x v="1"/>
    <x v="11"/>
    <x v="2"/>
    <x v="3"/>
    <x v="13"/>
    <x v="5"/>
    <x v="1608"/>
    <x v="2"/>
    <n v="338.72"/>
    <n v="21.72"/>
    <x v="1620"/>
    <x v="3"/>
    <n v="2025"/>
    <x v="7"/>
    <n v="287.91199999999998"/>
    <n v="0.40897913251271201"/>
    <x v="0"/>
    <x v="0"/>
  </r>
  <r>
    <x v="1730"/>
    <x v="784"/>
    <x v="1373"/>
    <x v="2"/>
    <x v="14"/>
    <x v="1"/>
    <x v="3"/>
    <x v="9"/>
    <x v="11"/>
    <x v="125"/>
    <x v="4"/>
    <n v="301.48"/>
    <n v="31.33"/>
    <x v="1621"/>
    <x v="2"/>
    <n v="2025"/>
    <x v="7"/>
    <n v="286.40600000000001"/>
    <n v="0.389237655635706"/>
    <x v="0"/>
    <x v="0"/>
  </r>
  <r>
    <x v="1731"/>
    <x v="784"/>
    <x v="1319"/>
    <x v="0"/>
    <x v="14"/>
    <x v="1"/>
    <x v="0"/>
    <x v="22"/>
    <x v="1"/>
    <x v="1609"/>
    <x v="0"/>
    <n v="567.96"/>
    <n v="15.11"/>
    <x v="1622"/>
    <x v="3"/>
    <n v="2025"/>
    <x v="7"/>
    <n v="567.96"/>
    <n v="0.42339249242904398"/>
    <x v="2"/>
    <x v="0"/>
  </r>
  <r>
    <x v="1732"/>
    <x v="785"/>
    <x v="1374"/>
    <x v="0"/>
    <x v="16"/>
    <x v="3"/>
    <x v="2"/>
    <x v="21"/>
    <x v="4"/>
    <x v="1610"/>
    <x v="3"/>
    <n v="378.65"/>
    <n v="13.58"/>
    <x v="1623"/>
    <x v="1"/>
    <n v="2025"/>
    <x v="7"/>
    <n v="340.78500000000003"/>
    <n v="0.330530979943366"/>
    <x v="0"/>
    <x v="0"/>
  </r>
  <r>
    <x v="1733"/>
    <x v="786"/>
    <x v="587"/>
    <x v="0"/>
    <x v="2"/>
    <x v="0"/>
    <x v="1"/>
    <x v="17"/>
    <x v="2"/>
    <x v="1221"/>
    <x v="3"/>
    <n v="16.09"/>
    <n v="6.66"/>
    <x v="1624"/>
    <x v="1"/>
    <n v="2025"/>
    <x v="7"/>
    <n v="14.481"/>
    <n v="9.5297286099026296E-2"/>
    <x v="1"/>
    <x v="0"/>
  </r>
  <r>
    <x v="1734"/>
    <x v="787"/>
    <x v="1375"/>
    <x v="0"/>
    <x v="8"/>
    <x v="1"/>
    <x v="3"/>
    <x v="37"/>
    <x v="0"/>
    <x v="1611"/>
    <x v="2"/>
    <n v="115.23"/>
    <n v="9.7100000000000009"/>
    <x v="1625"/>
    <x v="1"/>
    <n v="2025"/>
    <x v="7"/>
    <n v="97.945499999999996"/>
    <n v="0.38531632387399101"/>
    <x v="0"/>
    <x v="0"/>
  </r>
  <r>
    <x v="1735"/>
    <x v="788"/>
    <x v="736"/>
    <x v="0"/>
    <x v="8"/>
    <x v="1"/>
    <x v="0"/>
    <x v="35"/>
    <x v="4"/>
    <x v="1612"/>
    <x v="1"/>
    <n v="179.9"/>
    <n v="12.68"/>
    <x v="1626"/>
    <x v="2"/>
    <n v="2025"/>
    <x v="7"/>
    <n v="143.91999999999999"/>
    <n v="0.30252918287937702"/>
    <x v="0"/>
    <x v="0"/>
  </r>
  <r>
    <x v="1736"/>
    <x v="789"/>
    <x v="1376"/>
    <x v="1"/>
    <x v="13"/>
    <x v="0"/>
    <x v="1"/>
    <x v="25"/>
    <x v="3"/>
    <x v="1613"/>
    <x v="3"/>
    <n v="10.91"/>
    <n v="6.34"/>
    <x v="1627"/>
    <x v="0"/>
    <n v="2025"/>
    <x v="7"/>
    <n v="9.8190000000000008"/>
    <n v="-8.9622161116203303E-2"/>
    <x v="1"/>
    <x v="1"/>
  </r>
  <r>
    <x v="1737"/>
    <x v="790"/>
    <x v="308"/>
    <x v="0"/>
    <x v="8"/>
    <x v="1"/>
    <x v="3"/>
    <x v="11"/>
    <x v="1"/>
    <x v="1614"/>
    <x v="0"/>
    <n v="134.63999999999999"/>
    <n v="10.38"/>
    <x v="1628"/>
    <x v="1"/>
    <n v="2025"/>
    <x v="7"/>
    <n v="134.63999999999999"/>
    <n v="0.42290552584670199"/>
    <x v="0"/>
    <x v="0"/>
  </r>
  <r>
    <x v="1738"/>
    <x v="791"/>
    <x v="1377"/>
    <x v="2"/>
    <x v="0"/>
    <x v="0"/>
    <x v="2"/>
    <x v="5"/>
    <x v="9"/>
    <x v="1615"/>
    <x v="0"/>
    <n v="850.5"/>
    <n v="26.06"/>
    <x v="1629"/>
    <x v="3"/>
    <n v="2025"/>
    <x v="7"/>
    <n v="850.5"/>
    <n v="0.36935920047031201"/>
    <x v="2"/>
    <x v="0"/>
  </r>
  <r>
    <x v="1739"/>
    <x v="791"/>
    <x v="1378"/>
    <x v="1"/>
    <x v="7"/>
    <x v="4"/>
    <x v="0"/>
    <x v="0"/>
    <x v="5"/>
    <x v="1616"/>
    <x v="0"/>
    <n v="879.9"/>
    <n v="21.15"/>
    <x v="1630"/>
    <x v="3"/>
    <n v="2025"/>
    <x v="7"/>
    <n v="879.9"/>
    <n v="0.425957495169906"/>
    <x v="2"/>
    <x v="0"/>
  </r>
  <r>
    <x v="1740"/>
    <x v="792"/>
    <x v="196"/>
    <x v="0"/>
    <x v="14"/>
    <x v="1"/>
    <x v="0"/>
    <x v="0"/>
    <x v="13"/>
    <x v="1617"/>
    <x v="1"/>
    <n v="1677.42"/>
    <n v="27.16"/>
    <x v="1631"/>
    <x v="1"/>
    <n v="2025"/>
    <x v="7"/>
    <n v="1341.9359999999999"/>
    <n v="0.37039024215759903"/>
    <x v="2"/>
    <x v="0"/>
  </r>
  <r>
    <x v="1741"/>
    <x v="792"/>
    <x v="165"/>
    <x v="0"/>
    <x v="11"/>
    <x v="2"/>
    <x v="2"/>
    <x v="14"/>
    <x v="3"/>
    <x v="1618"/>
    <x v="0"/>
    <n v="377.92"/>
    <n v="13.11"/>
    <x v="1632"/>
    <x v="2"/>
    <n v="2025"/>
    <x v="7"/>
    <n v="377.92"/>
    <n v="0.36531541066892498"/>
    <x v="0"/>
    <x v="0"/>
  </r>
  <r>
    <x v="1742"/>
    <x v="793"/>
    <x v="1379"/>
    <x v="1"/>
    <x v="16"/>
    <x v="3"/>
    <x v="1"/>
    <x v="17"/>
    <x v="3"/>
    <x v="1619"/>
    <x v="2"/>
    <n v="14.83"/>
    <n v="9.94"/>
    <x v="1633"/>
    <x v="1"/>
    <n v="2025"/>
    <x v="7"/>
    <n v="12.605499999999999"/>
    <n v="-0.23481813494109699"/>
    <x v="1"/>
    <x v="1"/>
  </r>
  <r>
    <x v="1743"/>
    <x v="794"/>
    <x v="32"/>
    <x v="1"/>
    <x v="1"/>
    <x v="1"/>
    <x v="0"/>
    <x v="1"/>
    <x v="1"/>
    <x v="1620"/>
    <x v="2"/>
    <n v="302.94"/>
    <n v="16.32"/>
    <x v="1360"/>
    <x v="2"/>
    <n v="2025"/>
    <x v="7"/>
    <n v="257.49900000000002"/>
    <n v="0.35184602658651098"/>
    <x v="0"/>
    <x v="0"/>
  </r>
  <r>
    <x v="1744"/>
    <x v="794"/>
    <x v="1380"/>
    <x v="2"/>
    <x v="3"/>
    <x v="1"/>
    <x v="0"/>
    <x v="1"/>
    <x v="10"/>
    <x v="1621"/>
    <x v="3"/>
    <n v="1319"/>
    <n v="16.36"/>
    <x v="1634"/>
    <x v="2"/>
    <n v="2025"/>
    <x v="7"/>
    <n v="1187.0999999999999"/>
    <n v="0.41831353719147502"/>
    <x v="2"/>
    <x v="0"/>
  </r>
  <r>
    <x v="1745"/>
    <x v="795"/>
    <x v="1381"/>
    <x v="2"/>
    <x v="8"/>
    <x v="1"/>
    <x v="0"/>
    <x v="1"/>
    <x v="2"/>
    <x v="637"/>
    <x v="2"/>
    <n v="115.14"/>
    <n v="10.18"/>
    <x v="147"/>
    <x v="0"/>
    <n v="2025"/>
    <x v="7"/>
    <n v="97.869"/>
    <n v="0.311232361626256"/>
    <x v="0"/>
    <x v="0"/>
  </r>
  <r>
    <x v="1746"/>
    <x v="795"/>
    <x v="1244"/>
    <x v="1"/>
    <x v="10"/>
    <x v="3"/>
    <x v="0"/>
    <x v="18"/>
    <x v="5"/>
    <x v="1622"/>
    <x v="3"/>
    <n v="256.08999999999997"/>
    <n v="13.57"/>
    <x v="1635"/>
    <x v="0"/>
    <n v="2025"/>
    <x v="7"/>
    <n v="230.48099999999999"/>
    <n v="0.37321948446943598"/>
    <x v="0"/>
    <x v="0"/>
  </r>
  <r>
    <x v="1747"/>
    <x v="795"/>
    <x v="1382"/>
    <x v="0"/>
    <x v="0"/>
    <x v="0"/>
    <x v="3"/>
    <x v="9"/>
    <x v="3"/>
    <x v="1623"/>
    <x v="3"/>
    <n v="18.64"/>
    <n v="7.24"/>
    <x v="1384"/>
    <x v="1"/>
    <n v="2025"/>
    <x v="7"/>
    <n v="16.776"/>
    <n v="6.1993323795898898E-2"/>
    <x v="1"/>
    <x v="0"/>
  </r>
  <r>
    <x v="1748"/>
    <x v="796"/>
    <x v="922"/>
    <x v="1"/>
    <x v="0"/>
    <x v="0"/>
    <x v="2"/>
    <x v="5"/>
    <x v="3"/>
    <x v="1624"/>
    <x v="3"/>
    <n v="138.44"/>
    <n v="6.07"/>
    <x v="1636"/>
    <x v="2"/>
    <n v="2025"/>
    <x v="7"/>
    <n v="124.596"/>
    <n v="0.321679668689204"/>
    <x v="0"/>
    <x v="0"/>
  </r>
  <r>
    <x v="1749"/>
    <x v="796"/>
    <x v="1383"/>
    <x v="1"/>
    <x v="8"/>
    <x v="1"/>
    <x v="3"/>
    <x v="37"/>
    <x v="7"/>
    <x v="1625"/>
    <x v="3"/>
    <n v="544.32000000000005"/>
    <n v="14.7"/>
    <x v="1637"/>
    <x v="1"/>
    <n v="2025"/>
    <x v="7"/>
    <n v="489.88799999999998"/>
    <n v="0.463820301783265"/>
    <x v="2"/>
    <x v="0"/>
  </r>
  <r>
    <x v="1750"/>
    <x v="797"/>
    <x v="1384"/>
    <x v="2"/>
    <x v="14"/>
    <x v="1"/>
    <x v="2"/>
    <x v="39"/>
    <x v="2"/>
    <x v="1626"/>
    <x v="2"/>
    <n v="378.73"/>
    <n v="9.94"/>
    <x v="1638"/>
    <x v="1"/>
    <n v="2025"/>
    <x v="7"/>
    <n v="321.9205"/>
    <n v="0.31513991808536601"/>
    <x v="0"/>
    <x v="0"/>
  </r>
  <r>
    <x v="1751"/>
    <x v="798"/>
    <x v="1385"/>
    <x v="2"/>
    <x v="0"/>
    <x v="0"/>
    <x v="2"/>
    <x v="21"/>
    <x v="6"/>
    <x v="1627"/>
    <x v="3"/>
    <n v="504.5"/>
    <n v="16.07"/>
    <x v="1639"/>
    <x v="1"/>
    <n v="2025"/>
    <x v="7"/>
    <n v="454.05"/>
    <n v="0.33496310978967098"/>
    <x v="2"/>
    <x v="0"/>
  </r>
  <r>
    <x v="1752"/>
    <x v="799"/>
    <x v="1386"/>
    <x v="1"/>
    <x v="19"/>
    <x v="1"/>
    <x v="3"/>
    <x v="27"/>
    <x v="5"/>
    <x v="1628"/>
    <x v="0"/>
    <n v="193.3"/>
    <n v="12.1"/>
    <x v="1640"/>
    <x v="2"/>
    <n v="2025"/>
    <x v="8"/>
    <n v="193.3"/>
    <n v="0.437403000517331"/>
    <x v="0"/>
    <x v="0"/>
  </r>
  <r>
    <x v="1753"/>
    <x v="800"/>
    <x v="1387"/>
    <x v="1"/>
    <x v="19"/>
    <x v="1"/>
    <x v="2"/>
    <x v="21"/>
    <x v="0"/>
    <x v="1629"/>
    <x v="0"/>
    <n v="286.32"/>
    <n v="14.19"/>
    <x v="1641"/>
    <x v="2"/>
    <n v="2025"/>
    <x v="8"/>
    <n v="286.32"/>
    <n v="0.35044705224923201"/>
    <x v="0"/>
    <x v="0"/>
  </r>
  <r>
    <x v="1754"/>
    <x v="800"/>
    <x v="1388"/>
    <x v="0"/>
    <x v="5"/>
    <x v="3"/>
    <x v="2"/>
    <x v="32"/>
    <x v="9"/>
    <x v="1630"/>
    <x v="3"/>
    <n v="555.39"/>
    <n v="27.35"/>
    <x v="1642"/>
    <x v="1"/>
    <n v="2025"/>
    <x v="8"/>
    <n v="499.851"/>
    <n v="0.31565406491134401"/>
    <x v="2"/>
    <x v="0"/>
  </r>
  <r>
    <x v="1755"/>
    <x v="800"/>
    <x v="404"/>
    <x v="1"/>
    <x v="3"/>
    <x v="1"/>
    <x v="2"/>
    <x v="5"/>
    <x v="2"/>
    <x v="1631"/>
    <x v="0"/>
    <n v="322.04000000000002"/>
    <n v="10.83"/>
    <x v="1643"/>
    <x v="2"/>
    <n v="2025"/>
    <x v="8"/>
    <n v="322.04000000000002"/>
    <n v="0.36638305800521698"/>
    <x v="0"/>
    <x v="0"/>
  </r>
  <r>
    <x v="1756"/>
    <x v="800"/>
    <x v="1389"/>
    <x v="0"/>
    <x v="6"/>
    <x v="2"/>
    <x v="1"/>
    <x v="23"/>
    <x v="2"/>
    <x v="1208"/>
    <x v="3"/>
    <n v="20.95"/>
    <n v="13.33"/>
    <x v="1644"/>
    <x v="1"/>
    <n v="2025"/>
    <x v="8"/>
    <n v="18.855"/>
    <n v="-0.15168390347388"/>
    <x v="1"/>
    <x v="1"/>
  </r>
  <r>
    <x v="1757"/>
    <x v="801"/>
    <x v="970"/>
    <x v="1"/>
    <x v="17"/>
    <x v="3"/>
    <x v="3"/>
    <x v="33"/>
    <x v="2"/>
    <x v="1632"/>
    <x v="1"/>
    <n v="28.08"/>
    <n v="11.1"/>
    <x v="1204"/>
    <x v="1"/>
    <n v="2025"/>
    <x v="8"/>
    <n v="22.463999999999999"/>
    <n v="-2.53739316239316E-2"/>
    <x v="1"/>
    <x v="1"/>
  </r>
  <r>
    <x v="1758"/>
    <x v="801"/>
    <x v="1390"/>
    <x v="0"/>
    <x v="0"/>
    <x v="0"/>
    <x v="0"/>
    <x v="18"/>
    <x v="3"/>
    <x v="1633"/>
    <x v="2"/>
    <n v="53.11"/>
    <n v="5.86"/>
    <x v="1645"/>
    <x v="3"/>
    <n v="2025"/>
    <x v="8"/>
    <n v="45.143500000000003"/>
    <n v="0.28553390853611299"/>
    <x v="1"/>
    <x v="0"/>
  </r>
  <r>
    <x v="1759"/>
    <x v="802"/>
    <x v="1391"/>
    <x v="1"/>
    <x v="1"/>
    <x v="1"/>
    <x v="1"/>
    <x v="10"/>
    <x v="5"/>
    <x v="1634"/>
    <x v="0"/>
    <n v="26.25"/>
    <n v="12.14"/>
    <x v="1535"/>
    <x v="1"/>
    <n v="2025"/>
    <x v="8"/>
    <n v="26.25"/>
    <n v="8.7619047619047596E-2"/>
    <x v="1"/>
    <x v="0"/>
  </r>
  <r>
    <x v="1760"/>
    <x v="802"/>
    <x v="145"/>
    <x v="0"/>
    <x v="11"/>
    <x v="2"/>
    <x v="2"/>
    <x v="4"/>
    <x v="3"/>
    <x v="1635"/>
    <x v="2"/>
    <n v="205.31"/>
    <n v="13.18"/>
    <x v="1646"/>
    <x v="1"/>
    <n v="2025"/>
    <x v="8"/>
    <n v="174.51349999999999"/>
    <n v="0.27052348385655001"/>
    <x v="0"/>
    <x v="0"/>
  </r>
  <r>
    <x v="1761"/>
    <x v="803"/>
    <x v="1392"/>
    <x v="1"/>
    <x v="1"/>
    <x v="1"/>
    <x v="1"/>
    <x v="23"/>
    <x v="0"/>
    <x v="1636"/>
    <x v="0"/>
    <n v="22.62"/>
    <n v="10.42"/>
    <x v="1647"/>
    <x v="1"/>
    <n v="2025"/>
    <x v="8"/>
    <n v="22.62"/>
    <n v="8.9301503094606494E-2"/>
    <x v="1"/>
    <x v="0"/>
  </r>
  <r>
    <x v="1762"/>
    <x v="804"/>
    <x v="955"/>
    <x v="2"/>
    <x v="10"/>
    <x v="3"/>
    <x v="2"/>
    <x v="5"/>
    <x v="2"/>
    <x v="1637"/>
    <x v="2"/>
    <n v="331.79"/>
    <n v="10.46"/>
    <x v="1648"/>
    <x v="1"/>
    <n v="2025"/>
    <x v="8"/>
    <n v="282.0215"/>
    <n v="0.30894807665372997"/>
    <x v="0"/>
    <x v="0"/>
  </r>
  <r>
    <x v="1763"/>
    <x v="804"/>
    <x v="1393"/>
    <x v="1"/>
    <x v="10"/>
    <x v="3"/>
    <x v="0"/>
    <x v="28"/>
    <x v="1"/>
    <x v="1638"/>
    <x v="4"/>
    <n v="142.31"/>
    <n v="17.43"/>
    <x v="1649"/>
    <x v="1"/>
    <n v="2025"/>
    <x v="8"/>
    <n v="135.19450000000001"/>
    <n v="0.31428793331089699"/>
    <x v="0"/>
    <x v="0"/>
  </r>
  <r>
    <x v="1764"/>
    <x v="805"/>
    <x v="1394"/>
    <x v="1"/>
    <x v="6"/>
    <x v="2"/>
    <x v="0"/>
    <x v="3"/>
    <x v="7"/>
    <x v="1639"/>
    <x v="0"/>
    <n v="385.52"/>
    <n v="18.04"/>
    <x v="1650"/>
    <x v="3"/>
    <n v="2025"/>
    <x v="8"/>
    <n v="385.52"/>
    <n v="0.40319568375181603"/>
    <x v="0"/>
    <x v="0"/>
  </r>
  <r>
    <x v="1765"/>
    <x v="805"/>
    <x v="852"/>
    <x v="1"/>
    <x v="18"/>
    <x v="4"/>
    <x v="2"/>
    <x v="36"/>
    <x v="2"/>
    <x v="1640"/>
    <x v="3"/>
    <n v="528.16999999999996"/>
    <n v="12.96"/>
    <x v="1651"/>
    <x v="2"/>
    <n v="2025"/>
    <x v="8"/>
    <n v="475.35300000000001"/>
    <n v="0.34309239659789698"/>
    <x v="2"/>
    <x v="0"/>
  </r>
  <r>
    <x v="1766"/>
    <x v="805"/>
    <x v="1395"/>
    <x v="1"/>
    <x v="1"/>
    <x v="1"/>
    <x v="0"/>
    <x v="22"/>
    <x v="2"/>
    <x v="1641"/>
    <x v="3"/>
    <n v="170.05"/>
    <n v="11.19"/>
    <x v="1652"/>
    <x v="1"/>
    <n v="2025"/>
    <x v="8"/>
    <n v="153.04499999999999"/>
    <n v="0.35897938514815902"/>
    <x v="0"/>
    <x v="0"/>
  </r>
  <r>
    <x v="1767"/>
    <x v="806"/>
    <x v="750"/>
    <x v="1"/>
    <x v="17"/>
    <x v="3"/>
    <x v="2"/>
    <x v="32"/>
    <x v="0"/>
    <x v="1642"/>
    <x v="4"/>
    <n v="116.37"/>
    <n v="15.87"/>
    <x v="1653"/>
    <x v="1"/>
    <n v="2025"/>
    <x v="8"/>
    <n v="110.5515"/>
    <n v="0.244320520300493"/>
    <x v="0"/>
    <x v="0"/>
  </r>
  <r>
    <x v="1768"/>
    <x v="806"/>
    <x v="1396"/>
    <x v="0"/>
    <x v="8"/>
    <x v="1"/>
    <x v="0"/>
    <x v="7"/>
    <x v="3"/>
    <x v="1643"/>
    <x v="3"/>
    <n v="61.82"/>
    <n v="8.7899999999999991"/>
    <x v="1654"/>
    <x v="2"/>
    <n v="2025"/>
    <x v="8"/>
    <n v="55.637999999999998"/>
    <n v="0.27409324562349502"/>
    <x v="1"/>
    <x v="0"/>
  </r>
  <r>
    <x v="1769"/>
    <x v="806"/>
    <x v="203"/>
    <x v="1"/>
    <x v="17"/>
    <x v="3"/>
    <x v="2"/>
    <x v="15"/>
    <x v="2"/>
    <x v="1644"/>
    <x v="3"/>
    <n v="714.29"/>
    <n v="12.78"/>
    <x v="1655"/>
    <x v="3"/>
    <n v="2025"/>
    <x v="8"/>
    <n v="642.86099999999999"/>
    <n v="0.35048011934150602"/>
    <x v="2"/>
    <x v="0"/>
  </r>
  <r>
    <x v="1770"/>
    <x v="807"/>
    <x v="1397"/>
    <x v="0"/>
    <x v="11"/>
    <x v="2"/>
    <x v="3"/>
    <x v="30"/>
    <x v="1"/>
    <x v="1645"/>
    <x v="3"/>
    <n v="102.78"/>
    <n v="14"/>
    <x v="1656"/>
    <x v="1"/>
    <n v="2025"/>
    <x v="8"/>
    <n v="92.501999999999995"/>
    <n v="0.34247908153337198"/>
    <x v="0"/>
    <x v="0"/>
  </r>
  <r>
    <x v="1771"/>
    <x v="807"/>
    <x v="1398"/>
    <x v="1"/>
    <x v="3"/>
    <x v="1"/>
    <x v="0"/>
    <x v="28"/>
    <x v="3"/>
    <x v="1646"/>
    <x v="1"/>
    <n v="41.74"/>
    <n v="7.51"/>
    <x v="1657"/>
    <x v="0"/>
    <n v="2025"/>
    <x v="8"/>
    <n v="33.392000000000003"/>
    <n v="0.165908001916627"/>
    <x v="1"/>
    <x v="0"/>
  </r>
  <r>
    <x v="1772"/>
    <x v="808"/>
    <x v="974"/>
    <x v="1"/>
    <x v="12"/>
    <x v="4"/>
    <x v="1"/>
    <x v="19"/>
    <x v="2"/>
    <x v="61"/>
    <x v="2"/>
    <n v="24.7"/>
    <n v="12.13"/>
    <x v="1658"/>
    <x v="3"/>
    <n v="2025"/>
    <x v="8"/>
    <n v="20.995000000000001"/>
    <n v="-2.4291497975708499E-2"/>
    <x v="1"/>
    <x v="1"/>
  </r>
  <r>
    <x v="1773"/>
    <x v="809"/>
    <x v="1399"/>
    <x v="1"/>
    <x v="9"/>
    <x v="3"/>
    <x v="0"/>
    <x v="1"/>
    <x v="0"/>
    <x v="1647"/>
    <x v="2"/>
    <n v="179.32"/>
    <n v="16.16"/>
    <x v="1659"/>
    <x v="2"/>
    <n v="2025"/>
    <x v="8"/>
    <n v="152.422"/>
    <n v="0.30920733227486802"/>
    <x v="0"/>
    <x v="0"/>
  </r>
  <r>
    <x v="1774"/>
    <x v="809"/>
    <x v="749"/>
    <x v="0"/>
    <x v="1"/>
    <x v="1"/>
    <x v="1"/>
    <x v="10"/>
    <x v="0"/>
    <x v="1648"/>
    <x v="4"/>
    <n v="27.64"/>
    <n v="13.8"/>
    <x v="1480"/>
    <x v="1"/>
    <n v="2025"/>
    <x v="8"/>
    <n v="26.257999999999999"/>
    <n v="2.8562723741336001E-2"/>
    <x v="1"/>
    <x v="0"/>
  </r>
  <r>
    <x v="1775"/>
    <x v="809"/>
    <x v="1400"/>
    <x v="2"/>
    <x v="17"/>
    <x v="3"/>
    <x v="1"/>
    <x v="19"/>
    <x v="10"/>
    <x v="1649"/>
    <x v="0"/>
    <n v="92.61"/>
    <n v="30.73"/>
    <x v="1660"/>
    <x v="0"/>
    <n v="2025"/>
    <x v="8"/>
    <n v="92.61"/>
    <n v="0.218226973329014"/>
    <x v="1"/>
    <x v="0"/>
  </r>
  <r>
    <x v="1776"/>
    <x v="810"/>
    <x v="768"/>
    <x v="2"/>
    <x v="19"/>
    <x v="1"/>
    <x v="0"/>
    <x v="18"/>
    <x v="3"/>
    <x v="1650"/>
    <x v="0"/>
    <n v="39.869999999999997"/>
    <n v="8.3800000000000008"/>
    <x v="1661"/>
    <x v="2"/>
    <n v="2025"/>
    <x v="8"/>
    <n v="39.869999999999997"/>
    <n v="0.23977928266867299"/>
    <x v="1"/>
    <x v="0"/>
  </r>
  <r>
    <x v="1777"/>
    <x v="810"/>
    <x v="1342"/>
    <x v="0"/>
    <x v="6"/>
    <x v="2"/>
    <x v="3"/>
    <x v="27"/>
    <x v="2"/>
    <x v="1651"/>
    <x v="0"/>
    <n v="128.76"/>
    <n v="14.62"/>
    <x v="1662"/>
    <x v="1"/>
    <n v="2025"/>
    <x v="8"/>
    <n v="128.76"/>
    <n v="0.38645542093818003"/>
    <x v="0"/>
    <x v="0"/>
  </r>
  <r>
    <x v="1778"/>
    <x v="810"/>
    <x v="1401"/>
    <x v="0"/>
    <x v="13"/>
    <x v="0"/>
    <x v="3"/>
    <x v="33"/>
    <x v="3"/>
    <x v="1652"/>
    <x v="1"/>
    <n v="34.14"/>
    <n v="5.71"/>
    <x v="1663"/>
    <x v="2"/>
    <n v="2025"/>
    <x v="8"/>
    <n v="27.312000000000001"/>
    <n v="0.25959285295840701"/>
    <x v="1"/>
    <x v="0"/>
  </r>
  <r>
    <x v="1779"/>
    <x v="810"/>
    <x v="1402"/>
    <x v="2"/>
    <x v="13"/>
    <x v="0"/>
    <x v="2"/>
    <x v="4"/>
    <x v="2"/>
    <x v="1653"/>
    <x v="0"/>
    <n v="660.62"/>
    <n v="6.51"/>
    <x v="1664"/>
    <x v="1"/>
    <n v="2025"/>
    <x v="8"/>
    <n v="660.62"/>
    <n v="0.39014864823953299"/>
    <x v="2"/>
    <x v="0"/>
  </r>
  <r>
    <x v="1780"/>
    <x v="810"/>
    <x v="1403"/>
    <x v="1"/>
    <x v="16"/>
    <x v="3"/>
    <x v="3"/>
    <x v="13"/>
    <x v="3"/>
    <x v="1654"/>
    <x v="3"/>
    <n v="95.06"/>
    <n v="9.73"/>
    <x v="1665"/>
    <x v="2"/>
    <n v="2025"/>
    <x v="8"/>
    <n v="85.554000000000002"/>
    <n v="0.38011080720948198"/>
    <x v="1"/>
    <x v="0"/>
  </r>
  <r>
    <x v="1781"/>
    <x v="810"/>
    <x v="1404"/>
    <x v="1"/>
    <x v="1"/>
    <x v="1"/>
    <x v="0"/>
    <x v="31"/>
    <x v="2"/>
    <x v="1655"/>
    <x v="4"/>
    <n v="371.64"/>
    <n v="8.1999999999999993"/>
    <x v="1666"/>
    <x v="2"/>
    <n v="2025"/>
    <x v="8"/>
    <n v="353.05799999999999"/>
    <n v="0.41998765075426697"/>
    <x v="0"/>
    <x v="0"/>
  </r>
  <r>
    <x v="1782"/>
    <x v="811"/>
    <x v="0"/>
    <x v="1"/>
    <x v="19"/>
    <x v="1"/>
    <x v="2"/>
    <x v="8"/>
    <x v="4"/>
    <x v="1656"/>
    <x v="2"/>
    <n v="327.22000000000003"/>
    <n v="11.04"/>
    <x v="1667"/>
    <x v="0"/>
    <n v="2025"/>
    <x v="8"/>
    <n v="278.137"/>
    <n v="0.30632386198168499"/>
    <x v="0"/>
    <x v="0"/>
  </r>
  <r>
    <x v="1783"/>
    <x v="812"/>
    <x v="1405"/>
    <x v="0"/>
    <x v="1"/>
    <x v="1"/>
    <x v="2"/>
    <x v="8"/>
    <x v="2"/>
    <x v="1657"/>
    <x v="4"/>
    <n v="161.91999999999999"/>
    <n v="9.2799999999999994"/>
    <x v="1668"/>
    <x v="1"/>
    <n v="2025"/>
    <x v="8"/>
    <n v="153.82400000000001"/>
    <n v="0.32751716247139601"/>
    <x v="0"/>
    <x v="0"/>
  </r>
  <r>
    <x v="1784"/>
    <x v="812"/>
    <x v="1406"/>
    <x v="2"/>
    <x v="13"/>
    <x v="0"/>
    <x v="3"/>
    <x v="30"/>
    <x v="3"/>
    <x v="1658"/>
    <x v="1"/>
    <n v="7.95"/>
    <n v="6.62"/>
    <x v="1669"/>
    <x v="3"/>
    <n v="2025"/>
    <x v="8"/>
    <n v="6.36"/>
    <n v="-0.57232704402515699"/>
    <x v="1"/>
    <x v="1"/>
  </r>
  <r>
    <x v="1785"/>
    <x v="812"/>
    <x v="1407"/>
    <x v="1"/>
    <x v="10"/>
    <x v="3"/>
    <x v="2"/>
    <x v="5"/>
    <x v="3"/>
    <x v="1659"/>
    <x v="0"/>
    <n v="167.52"/>
    <n v="10.49"/>
    <x v="1670"/>
    <x v="2"/>
    <n v="2025"/>
    <x v="8"/>
    <n v="167.52"/>
    <n v="0.33739255014326602"/>
    <x v="0"/>
    <x v="0"/>
  </r>
  <r>
    <x v="1786"/>
    <x v="812"/>
    <x v="1408"/>
    <x v="2"/>
    <x v="3"/>
    <x v="1"/>
    <x v="2"/>
    <x v="4"/>
    <x v="3"/>
    <x v="1660"/>
    <x v="1"/>
    <n v="189.69"/>
    <n v="7.78"/>
    <x v="1671"/>
    <x v="3"/>
    <n v="2025"/>
    <x v="8"/>
    <n v="151.75200000000001"/>
    <n v="0.26121566766830101"/>
    <x v="0"/>
    <x v="0"/>
  </r>
  <r>
    <x v="1787"/>
    <x v="812"/>
    <x v="1409"/>
    <x v="2"/>
    <x v="7"/>
    <x v="4"/>
    <x v="1"/>
    <x v="12"/>
    <x v="4"/>
    <x v="1059"/>
    <x v="3"/>
    <n v="108.22"/>
    <n v="13.93"/>
    <x v="1672"/>
    <x v="2"/>
    <n v="2025"/>
    <x v="8"/>
    <n v="97.397999999999996"/>
    <n v="0.41253413827799301"/>
    <x v="0"/>
    <x v="0"/>
  </r>
  <r>
    <x v="1788"/>
    <x v="813"/>
    <x v="1167"/>
    <x v="1"/>
    <x v="1"/>
    <x v="1"/>
    <x v="2"/>
    <x v="4"/>
    <x v="6"/>
    <x v="1661"/>
    <x v="0"/>
    <n v="2180.2199999999998"/>
    <n v="11.81"/>
    <x v="1673"/>
    <x v="0"/>
    <n v="2025"/>
    <x v="8"/>
    <n v="2180.2199999999998"/>
    <n v="0.39458403280402898"/>
    <x v="2"/>
    <x v="0"/>
  </r>
  <r>
    <x v="1789"/>
    <x v="814"/>
    <x v="1410"/>
    <x v="0"/>
    <x v="12"/>
    <x v="4"/>
    <x v="2"/>
    <x v="34"/>
    <x v="2"/>
    <x v="1662"/>
    <x v="2"/>
    <n v="71.739999999999995"/>
    <n v="12.37"/>
    <x v="1674"/>
    <x v="1"/>
    <n v="2025"/>
    <x v="8"/>
    <n v="60.978999999999999"/>
    <n v="0.143164040079372"/>
    <x v="1"/>
    <x v="0"/>
  </r>
  <r>
    <x v="1790"/>
    <x v="814"/>
    <x v="1411"/>
    <x v="0"/>
    <x v="13"/>
    <x v="0"/>
    <x v="3"/>
    <x v="9"/>
    <x v="7"/>
    <x v="1663"/>
    <x v="3"/>
    <n v="110.16"/>
    <n v="9.77"/>
    <x v="1675"/>
    <x v="0"/>
    <n v="2025"/>
    <x v="8"/>
    <n v="99.144000000000005"/>
    <n v="0.39528362785443399"/>
    <x v="0"/>
    <x v="0"/>
  </r>
  <r>
    <x v="1791"/>
    <x v="815"/>
    <x v="1412"/>
    <x v="1"/>
    <x v="16"/>
    <x v="3"/>
    <x v="2"/>
    <x v="8"/>
    <x v="1"/>
    <x v="1664"/>
    <x v="3"/>
    <n v="260.89"/>
    <n v="14.16"/>
    <x v="1676"/>
    <x v="1"/>
    <n v="2025"/>
    <x v="8"/>
    <n v="234.80099999999999"/>
    <n v="0.310049786840772"/>
    <x v="0"/>
    <x v="0"/>
  </r>
  <r>
    <x v="1792"/>
    <x v="815"/>
    <x v="1123"/>
    <x v="1"/>
    <x v="3"/>
    <x v="1"/>
    <x v="1"/>
    <x v="12"/>
    <x v="8"/>
    <x v="37"/>
    <x v="4"/>
    <n v="102.83"/>
    <n v="26.58"/>
    <x v="1677"/>
    <x v="0"/>
    <n v="2025"/>
    <x v="8"/>
    <n v="97.688500000000005"/>
    <n v="0.281916499895075"/>
    <x v="0"/>
    <x v="0"/>
  </r>
  <r>
    <x v="1793"/>
    <x v="815"/>
    <x v="1413"/>
    <x v="2"/>
    <x v="0"/>
    <x v="0"/>
    <x v="2"/>
    <x v="36"/>
    <x v="4"/>
    <x v="1665"/>
    <x v="2"/>
    <n v="602.87"/>
    <n v="11.16"/>
    <x v="1678"/>
    <x v="1"/>
    <n v="2025"/>
    <x v="8"/>
    <n v="512.43949999999995"/>
    <n v="0.32423339730836498"/>
    <x v="2"/>
    <x v="0"/>
  </r>
  <r>
    <x v="1794"/>
    <x v="816"/>
    <x v="1414"/>
    <x v="1"/>
    <x v="19"/>
    <x v="1"/>
    <x v="1"/>
    <x v="20"/>
    <x v="3"/>
    <x v="1666"/>
    <x v="0"/>
    <n v="15.04"/>
    <n v="9.15"/>
    <x v="1627"/>
    <x v="0"/>
    <n v="2025"/>
    <x v="8"/>
    <n v="15.04"/>
    <n v="-5.85106382978723E-2"/>
    <x v="1"/>
    <x v="1"/>
  </r>
  <r>
    <x v="1795"/>
    <x v="816"/>
    <x v="154"/>
    <x v="1"/>
    <x v="15"/>
    <x v="2"/>
    <x v="1"/>
    <x v="23"/>
    <x v="6"/>
    <x v="1667"/>
    <x v="4"/>
    <n v="47.15"/>
    <n v="17.72"/>
    <x v="1679"/>
    <x v="2"/>
    <n v="2025"/>
    <x v="8"/>
    <n v="44.792499999999997"/>
    <n v="0.15850867890829901"/>
    <x v="1"/>
    <x v="0"/>
  </r>
  <r>
    <x v="1796"/>
    <x v="817"/>
    <x v="1415"/>
    <x v="1"/>
    <x v="9"/>
    <x v="3"/>
    <x v="2"/>
    <x v="5"/>
    <x v="3"/>
    <x v="1668"/>
    <x v="4"/>
    <n v="98.69"/>
    <n v="9.92"/>
    <x v="1680"/>
    <x v="3"/>
    <n v="2025"/>
    <x v="8"/>
    <n v="93.755499999999998"/>
    <n v="0.28201012207283799"/>
    <x v="1"/>
    <x v="0"/>
  </r>
  <r>
    <x v="1797"/>
    <x v="817"/>
    <x v="1416"/>
    <x v="1"/>
    <x v="3"/>
    <x v="1"/>
    <x v="1"/>
    <x v="23"/>
    <x v="1"/>
    <x v="1669"/>
    <x v="3"/>
    <n v="56.81"/>
    <n v="13.58"/>
    <x v="1681"/>
    <x v="2"/>
    <n v="2025"/>
    <x v="8"/>
    <n v="51.128999999999998"/>
    <n v="0.290050656183379"/>
    <x v="1"/>
    <x v="0"/>
  </r>
  <r>
    <x v="1798"/>
    <x v="817"/>
    <x v="1417"/>
    <x v="2"/>
    <x v="13"/>
    <x v="0"/>
    <x v="1"/>
    <x v="38"/>
    <x v="1"/>
    <x v="1670"/>
    <x v="4"/>
    <n v="40.39"/>
    <n v="11.15"/>
    <x v="1682"/>
    <x v="1"/>
    <n v="2025"/>
    <x v="8"/>
    <n v="38.3705"/>
    <n v="0.26348366583703597"/>
    <x v="1"/>
    <x v="0"/>
  </r>
  <r>
    <x v="1799"/>
    <x v="817"/>
    <x v="1418"/>
    <x v="0"/>
    <x v="14"/>
    <x v="1"/>
    <x v="3"/>
    <x v="13"/>
    <x v="3"/>
    <x v="1671"/>
    <x v="6"/>
    <n v="59.15"/>
    <n v="8.91"/>
    <x v="1683"/>
    <x v="2"/>
    <n v="2025"/>
    <x v="8"/>
    <n v="44.362499999999997"/>
    <n v="0.243448858833474"/>
    <x v="1"/>
    <x v="0"/>
  </r>
  <r>
    <x v="1800"/>
    <x v="818"/>
    <x v="1048"/>
    <x v="1"/>
    <x v="1"/>
    <x v="1"/>
    <x v="0"/>
    <x v="0"/>
    <x v="2"/>
    <x v="1672"/>
    <x v="4"/>
    <n v="291.27"/>
    <n v="8.25"/>
    <x v="1684"/>
    <x v="0"/>
    <n v="2025"/>
    <x v="8"/>
    <n v="276.70650000000001"/>
    <n v="0.41339831192978799"/>
    <x v="0"/>
    <x v="0"/>
  </r>
  <r>
    <x v="1801"/>
    <x v="818"/>
    <x v="1419"/>
    <x v="0"/>
    <x v="4"/>
    <x v="2"/>
    <x v="0"/>
    <x v="0"/>
    <x v="2"/>
    <x v="1673"/>
    <x v="3"/>
    <n v="308.12"/>
    <n v="12.02"/>
    <x v="1685"/>
    <x v="0"/>
    <n v="2025"/>
    <x v="8"/>
    <n v="277.30799999999999"/>
    <n v="0.38873743274625999"/>
    <x v="0"/>
    <x v="0"/>
  </r>
  <r>
    <x v="1802"/>
    <x v="818"/>
    <x v="67"/>
    <x v="0"/>
    <x v="9"/>
    <x v="3"/>
    <x v="1"/>
    <x v="23"/>
    <x v="0"/>
    <x v="660"/>
    <x v="6"/>
    <n v="26.75"/>
    <n v="12.8"/>
    <x v="1686"/>
    <x v="2"/>
    <n v="2025"/>
    <x v="8"/>
    <n v="20.0625"/>
    <n v="-0.10467289719626199"/>
    <x v="1"/>
    <x v="1"/>
  </r>
  <r>
    <x v="1803"/>
    <x v="819"/>
    <x v="130"/>
    <x v="0"/>
    <x v="2"/>
    <x v="0"/>
    <x v="0"/>
    <x v="31"/>
    <x v="9"/>
    <x v="1674"/>
    <x v="3"/>
    <n v="1786.05"/>
    <n v="26.78"/>
    <x v="1687"/>
    <x v="1"/>
    <n v="2025"/>
    <x v="8"/>
    <n v="1607.4449999999999"/>
    <n v="0.41543567587071401"/>
    <x v="2"/>
    <x v="0"/>
  </r>
  <r>
    <x v="1804"/>
    <x v="819"/>
    <x v="1420"/>
    <x v="0"/>
    <x v="0"/>
    <x v="0"/>
    <x v="1"/>
    <x v="6"/>
    <x v="6"/>
    <x v="733"/>
    <x v="3"/>
    <n v="83.98"/>
    <n v="10.58"/>
    <x v="1688"/>
    <x v="1"/>
    <n v="2025"/>
    <x v="8"/>
    <n v="75.581999999999994"/>
    <n v="0.41557513693736597"/>
    <x v="1"/>
    <x v="0"/>
  </r>
  <r>
    <x v="1805"/>
    <x v="820"/>
    <x v="324"/>
    <x v="1"/>
    <x v="13"/>
    <x v="0"/>
    <x v="1"/>
    <x v="19"/>
    <x v="2"/>
    <x v="1675"/>
    <x v="0"/>
    <n v="8.64"/>
    <n v="9.4"/>
    <x v="949"/>
    <x v="2"/>
    <n v="2025"/>
    <x v="8"/>
    <n v="8.64"/>
    <n v="-0.53819444444444398"/>
    <x v="1"/>
    <x v="1"/>
  </r>
  <r>
    <x v="1806"/>
    <x v="820"/>
    <x v="1036"/>
    <x v="1"/>
    <x v="17"/>
    <x v="3"/>
    <x v="0"/>
    <x v="3"/>
    <x v="2"/>
    <x v="1676"/>
    <x v="3"/>
    <n v="113.24"/>
    <n v="11.57"/>
    <x v="1689"/>
    <x v="2"/>
    <n v="2025"/>
    <x v="8"/>
    <n v="101.916"/>
    <n v="0.31859570626790701"/>
    <x v="0"/>
    <x v="0"/>
  </r>
  <r>
    <x v="1807"/>
    <x v="821"/>
    <x v="1421"/>
    <x v="1"/>
    <x v="19"/>
    <x v="1"/>
    <x v="2"/>
    <x v="34"/>
    <x v="1"/>
    <x v="1677"/>
    <x v="3"/>
    <n v="150.69999999999999"/>
    <n v="11.78"/>
    <x v="623"/>
    <x v="3"/>
    <n v="2025"/>
    <x v="8"/>
    <n v="135.63"/>
    <n v="0.28356558283565603"/>
    <x v="0"/>
    <x v="0"/>
  </r>
  <r>
    <x v="1808"/>
    <x v="821"/>
    <x v="478"/>
    <x v="0"/>
    <x v="4"/>
    <x v="2"/>
    <x v="0"/>
    <x v="22"/>
    <x v="2"/>
    <x v="1678"/>
    <x v="0"/>
    <n v="233"/>
    <n v="15.18"/>
    <x v="1690"/>
    <x v="3"/>
    <n v="2025"/>
    <x v="8"/>
    <n v="233"/>
    <n v="0.38484978540772502"/>
    <x v="0"/>
    <x v="0"/>
  </r>
  <r>
    <x v="1809"/>
    <x v="821"/>
    <x v="1422"/>
    <x v="0"/>
    <x v="6"/>
    <x v="2"/>
    <x v="2"/>
    <x v="36"/>
    <x v="0"/>
    <x v="1679"/>
    <x v="3"/>
    <n v="513.14"/>
    <n v="17.04"/>
    <x v="1691"/>
    <x v="3"/>
    <n v="2025"/>
    <x v="8"/>
    <n v="461.82600000000002"/>
    <n v="0.33348057493514899"/>
    <x v="2"/>
    <x v="0"/>
  </r>
  <r>
    <x v="1810"/>
    <x v="822"/>
    <x v="1423"/>
    <x v="1"/>
    <x v="10"/>
    <x v="3"/>
    <x v="2"/>
    <x v="8"/>
    <x v="2"/>
    <x v="1680"/>
    <x v="3"/>
    <n v="113.45"/>
    <n v="10.28"/>
    <x v="1692"/>
    <x v="0"/>
    <n v="2025"/>
    <x v="8"/>
    <n v="102.105"/>
    <n v="0.26962440624847001"/>
    <x v="0"/>
    <x v="0"/>
  </r>
  <r>
    <x v="1811"/>
    <x v="822"/>
    <x v="1424"/>
    <x v="1"/>
    <x v="14"/>
    <x v="1"/>
    <x v="3"/>
    <x v="11"/>
    <x v="1"/>
    <x v="1681"/>
    <x v="1"/>
    <n v="176.58"/>
    <n v="14.34"/>
    <x v="1693"/>
    <x v="0"/>
    <n v="2025"/>
    <x v="8"/>
    <n v="141.26400000000001"/>
    <n v="0.367255634839733"/>
    <x v="0"/>
    <x v="0"/>
  </r>
  <r>
    <x v="1812"/>
    <x v="823"/>
    <x v="118"/>
    <x v="0"/>
    <x v="10"/>
    <x v="3"/>
    <x v="0"/>
    <x v="31"/>
    <x v="2"/>
    <x v="1682"/>
    <x v="2"/>
    <n v="323.99"/>
    <n v="12.64"/>
    <x v="1694"/>
    <x v="1"/>
    <n v="2025"/>
    <x v="9"/>
    <n v="275.39150000000001"/>
    <n v="0.369328755607925"/>
    <x v="0"/>
    <x v="0"/>
  </r>
  <r>
    <x v="1813"/>
    <x v="823"/>
    <x v="1425"/>
    <x v="2"/>
    <x v="17"/>
    <x v="3"/>
    <x v="1"/>
    <x v="12"/>
    <x v="5"/>
    <x v="1683"/>
    <x v="4"/>
    <n v="66.930000000000007"/>
    <n v="13.7"/>
    <x v="1695"/>
    <x v="1"/>
    <n v="2025"/>
    <x v="9"/>
    <n v="63.583500000000001"/>
    <n v="0.33860985947612199"/>
    <x v="1"/>
    <x v="0"/>
  </r>
  <r>
    <x v="1814"/>
    <x v="823"/>
    <x v="1426"/>
    <x v="2"/>
    <x v="10"/>
    <x v="3"/>
    <x v="0"/>
    <x v="29"/>
    <x v="4"/>
    <x v="1684"/>
    <x v="0"/>
    <n v="159.96"/>
    <n v="19.350000000000001"/>
    <x v="1696"/>
    <x v="1"/>
    <n v="2025"/>
    <x v="9"/>
    <n v="159.96"/>
    <n v="0.32901975493873498"/>
    <x v="0"/>
    <x v="0"/>
  </r>
  <r>
    <x v="1815"/>
    <x v="823"/>
    <x v="1427"/>
    <x v="1"/>
    <x v="11"/>
    <x v="2"/>
    <x v="0"/>
    <x v="22"/>
    <x v="2"/>
    <x v="1685"/>
    <x v="4"/>
    <n v="207.42"/>
    <n v="13.67"/>
    <x v="1697"/>
    <x v="2"/>
    <n v="2025"/>
    <x v="9"/>
    <n v="197.04900000000001"/>
    <n v="0.37381564991448801"/>
    <x v="0"/>
    <x v="0"/>
  </r>
  <r>
    <x v="1816"/>
    <x v="824"/>
    <x v="1428"/>
    <x v="2"/>
    <x v="19"/>
    <x v="1"/>
    <x v="0"/>
    <x v="28"/>
    <x v="9"/>
    <x v="1686"/>
    <x v="3"/>
    <n v="308.79000000000002"/>
    <n v="21.64"/>
    <x v="1698"/>
    <x v="2"/>
    <n v="2025"/>
    <x v="9"/>
    <n v="277.911"/>
    <n v="0.35421411890857102"/>
    <x v="0"/>
    <x v="0"/>
  </r>
  <r>
    <x v="1817"/>
    <x v="825"/>
    <x v="160"/>
    <x v="0"/>
    <x v="2"/>
    <x v="0"/>
    <x v="1"/>
    <x v="10"/>
    <x v="1"/>
    <x v="1687"/>
    <x v="4"/>
    <n v="20.52"/>
    <n v="10.6"/>
    <x v="1541"/>
    <x v="1"/>
    <n v="2025"/>
    <x v="9"/>
    <n v="19.494"/>
    <n v="1.0259567046270599E-2"/>
    <x v="1"/>
    <x v="0"/>
  </r>
  <r>
    <x v="1818"/>
    <x v="825"/>
    <x v="1429"/>
    <x v="1"/>
    <x v="0"/>
    <x v="0"/>
    <x v="0"/>
    <x v="7"/>
    <x v="2"/>
    <x v="1688"/>
    <x v="2"/>
    <n v="96.88"/>
    <n v="6.66"/>
    <x v="1692"/>
    <x v="1"/>
    <n v="2025"/>
    <x v="9"/>
    <n v="82.347999999999999"/>
    <n v="0.33431291591781198"/>
    <x v="1"/>
    <x v="0"/>
  </r>
  <r>
    <x v="1819"/>
    <x v="825"/>
    <x v="1347"/>
    <x v="1"/>
    <x v="2"/>
    <x v="0"/>
    <x v="1"/>
    <x v="20"/>
    <x v="2"/>
    <x v="1689"/>
    <x v="4"/>
    <n v="34.450000000000003"/>
    <n v="9.51"/>
    <x v="1699"/>
    <x v="3"/>
    <n v="2025"/>
    <x v="9"/>
    <n v="32.727499999999999"/>
    <n v="0.26338705981208499"/>
    <x v="1"/>
    <x v="0"/>
  </r>
  <r>
    <x v="1820"/>
    <x v="826"/>
    <x v="1430"/>
    <x v="1"/>
    <x v="14"/>
    <x v="1"/>
    <x v="0"/>
    <x v="7"/>
    <x v="2"/>
    <x v="1690"/>
    <x v="4"/>
    <n v="128.36000000000001"/>
    <n v="9.15"/>
    <x v="1700"/>
    <x v="2"/>
    <n v="2025"/>
    <x v="9"/>
    <n v="121.94199999999999"/>
    <n v="0.36812583031277202"/>
    <x v="0"/>
    <x v="0"/>
  </r>
  <r>
    <x v="1821"/>
    <x v="827"/>
    <x v="1093"/>
    <x v="0"/>
    <x v="5"/>
    <x v="3"/>
    <x v="2"/>
    <x v="5"/>
    <x v="3"/>
    <x v="1691"/>
    <x v="4"/>
    <n v="122.23"/>
    <n v="9.94"/>
    <x v="1701"/>
    <x v="2"/>
    <n v="2025"/>
    <x v="9"/>
    <n v="116.1185"/>
    <n v="0.30219129596059202"/>
    <x v="0"/>
    <x v="0"/>
  </r>
  <r>
    <x v="1822"/>
    <x v="827"/>
    <x v="1431"/>
    <x v="1"/>
    <x v="1"/>
    <x v="1"/>
    <x v="2"/>
    <x v="39"/>
    <x v="0"/>
    <x v="1692"/>
    <x v="4"/>
    <n v="414.36"/>
    <n v="11.97"/>
    <x v="1702"/>
    <x v="2"/>
    <n v="2025"/>
    <x v="9"/>
    <n v="393.642"/>
    <n v="0.35740596785912099"/>
    <x v="0"/>
    <x v="0"/>
  </r>
  <r>
    <x v="1823"/>
    <x v="827"/>
    <x v="1432"/>
    <x v="0"/>
    <x v="2"/>
    <x v="0"/>
    <x v="2"/>
    <x v="14"/>
    <x v="2"/>
    <x v="1693"/>
    <x v="4"/>
    <n v="572.74"/>
    <n v="7.89"/>
    <x v="1703"/>
    <x v="1"/>
    <n v="2025"/>
    <x v="9"/>
    <n v="544.10299999999995"/>
    <n v="0.37331167076821897"/>
    <x v="2"/>
    <x v="0"/>
  </r>
  <r>
    <x v="1824"/>
    <x v="827"/>
    <x v="1433"/>
    <x v="1"/>
    <x v="8"/>
    <x v="1"/>
    <x v="2"/>
    <x v="15"/>
    <x v="1"/>
    <x v="1694"/>
    <x v="4"/>
    <n v="1267.83"/>
    <n v="10.24"/>
    <x v="1704"/>
    <x v="3"/>
    <n v="2025"/>
    <x v="9"/>
    <n v="1204.4385"/>
    <n v="0.37930537756805399"/>
    <x v="2"/>
    <x v="0"/>
  </r>
  <r>
    <x v="1825"/>
    <x v="827"/>
    <x v="1155"/>
    <x v="0"/>
    <x v="5"/>
    <x v="3"/>
    <x v="0"/>
    <x v="18"/>
    <x v="12"/>
    <x v="1695"/>
    <x v="0"/>
    <n v="858"/>
    <n v="28.7"/>
    <x v="1705"/>
    <x v="1"/>
    <n v="2025"/>
    <x v="9"/>
    <n v="858"/>
    <n v="0.41655011655011698"/>
    <x v="2"/>
    <x v="0"/>
  </r>
  <r>
    <x v="1826"/>
    <x v="828"/>
    <x v="1434"/>
    <x v="1"/>
    <x v="2"/>
    <x v="0"/>
    <x v="0"/>
    <x v="35"/>
    <x v="10"/>
    <x v="1696"/>
    <x v="0"/>
    <n v="543.78"/>
    <n v="12.46"/>
    <x v="1706"/>
    <x v="1"/>
    <n v="2025"/>
    <x v="9"/>
    <n v="543.78"/>
    <n v="0.42708448269520799"/>
    <x v="2"/>
    <x v="0"/>
  </r>
  <r>
    <x v="1827"/>
    <x v="828"/>
    <x v="1435"/>
    <x v="0"/>
    <x v="12"/>
    <x v="4"/>
    <x v="1"/>
    <x v="6"/>
    <x v="3"/>
    <x v="1697"/>
    <x v="3"/>
    <n v="8.33"/>
    <n v="10.71"/>
    <x v="1707"/>
    <x v="1"/>
    <n v="2025"/>
    <x v="9"/>
    <n v="7.4969999999999999"/>
    <n v="-0.87368280645591601"/>
    <x v="1"/>
    <x v="1"/>
  </r>
  <r>
    <x v="1828"/>
    <x v="829"/>
    <x v="2"/>
    <x v="1"/>
    <x v="14"/>
    <x v="1"/>
    <x v="1"/>
    <x v="19"/>
    <x v="6"/>
    <x v="1101"/>
    <x v="0"/>
    <n v="97.3"/>
    <n v="12.19"/>
    <x v="1708"/>
    <x v="1"/>
    <n v="2025"/>
    <x v="9"/>
    <n v="97.3"/>
    <n v="0.42476875642343298"/>
    <x v="1"/>
    <x v="0"/>
  </r>
  <r>
    <x v="1829"/>
    <x v="829"/>
    <x v="1436"/>
    <x v="1"/>
    <x v="18"/>
    <x v="4"/>
    <x v="0"/>
    <x v="1"/>
    <x v="3"/>
    <x v="1698"/>
    <x v="3"/>
    <n v="73.709999999999994"/>
    <n v="10.93"/>
    <x v="1709"/>
    <x v="1"/>
    <n v="2025"/>
    <x v="9"/>
    <n v="66.338999999999999"/>
    <n v="0.26726360059693399"/>
    <x v="1"/>
    <x v="0"/>
  </r>
  <r>
    <x v="1830"/>
    <x v="829"/>
    <x v="1121"/>
    <x v="1"/>
    <x v="19"/>
    <x v="1"/>
    <x v="2"/>
    <x v="21"/>
    <x v="2"/>
    <x v="1699"/>
    <x v="0"/>
    <n v="101.54"/>
    <n v="11.84"/>
    <x v="1710"/>
    <x v="0"/>
    <n v="2025"/>
    <x v="9"/>
    <n v="101.54"/>
    <n v="0.28343509946819001"/>
    <x v="0"/>
    <x v="0"/>
  </r>
  <r>
    <x v="1831"/>
    <x v="829"/>
    <x v="532"/>
    <x v="1"/>
    <x v="13"/>
    <x v="0"/>
    <x v="0"/>
    <x v="7"/>
    <x v="4"/>
    <x v="1700"/>
    <x v="4"/>
    <n v="203.83"/>
    <n v="16.97"/>
    <x v="1711"/>
    <x v="3"/>
    <n v="2025"/>
    <x v="9"/>
    <n v="193.63849999999999"/>
    <n v="0.35555945744260598"/>
    <x v="0"/>
    <x v="0"/>
  </r>
  <r>
    <x v="1832"/>
    <x v="830"/>
    <x v="1437"/>
    <x v="0"/>
    <x v="5"/>
    <x v="3"/>
    <x v="2"/>
    <x v="39"/>
    <x v="0"/>
    <x v="1701"/>
    <x v="3"/>
    <n v="445.31"/>
    <n v="16.37"/>
    <x v="1218"/>
    <x v="0"/>
    <n v="2025"/>
    <x v="9"/>
    <n v="400.779"/>
    <n v="0.32953323402673301"/>
    <x v="0"/>
    <x v="0"/>
  </r>
  <r>
    <x v="1833"/>
    <x v="830"/>
    <x v="1438"/>
    <x v="0"/>
    <x v="17"/>
    <x v="3"/>
    <x v="0"/>
    <x v="29"/>
    <x v="3"/>
    <x v="93"/>
    <x v="1"/>
    <n v="25.37"/>
    <n v="9.8800000000000008"/>
    <x v="404"/>
    <x v="1"/>
    <n v="2025"/>
    <x v="9"/>
    <n v="20.295999999999999"/>
    <n v="-9.6078044934962595E-2"/>
    <x v="1"/>
    <x v="1"/>
  </r>
  <r>
    <x v="1834"/>
    <x v="830"/>
    <x v="49"/>
    <x v="1"/>
    <x v="15"/>
    <x v="2"/>
    <x v="2"/>
    <x v="21"/>
    <x v="2"/>
    <x v="1702"/>
    <x v="3"/>
    <n v="127.53"/>
    <n v="12.8"/>
    <x v="1712"/>
    <x v="1"/>
    <n v="2025"/>
    <x v="9"/>
    <n v="114.777"/>
    <n v="0.25884976955313399"/>
    <x v="0"/>
    <x v="0"/>
  </r>
  <r>
    <x v="1835"/>
    <x v="830"/>
    <x v="361"/>
    <x v="1"/>
    <x v="0"/>
    <x v="0"/>
    <x v="0"/>
    <x v="28"/>
    <x v="3"/>
    <x v="1703"/>
    <x v="3"/>
    <n v="42.26"/>
    <n v="7.43"/>
    <x v="1713"/>
    <x v="2"/>
    <n v="2025"/>
    <x v="9"/>
    <n v="38.033999999999999"/>
    <n v="0.236630383341221"/>
    <x v="1"/>
    <x v="0"/>
  </r>
  <r>
    <x v="1836"/>
    <x v="831"/>
    <x v="1439"/>
    <x v="2"/>
    <x v="5"/>
    <x v="3"/>
    <x v="3"/>
    <x v="33"/>
    <x v="0"/>
    <x v="1704"/>
    <x v="2"/>
    <n v="89.48"/>
    <n v="15.75"/>
    <x v="1714"/>
    <x v="2"/>
    <n v="2025"/>
    <x v="9"/>
    <n v="76.058000000000007"/>
    <n v="0.27728838517973098"/>
    <x v="1"/>
    <x v="0"/>
  </r>
  <r>
    <x v="1837"/>
    <x v="831"/>
    <x v="21"/>
    <x v="1"/>
    <x v="12"/>
    <x v="4"/>
    <x v="0"/>
    <x v="29"/>
    <x v="3"/>
    <x v="1705"/>
    <x v="2"/>
    <n v="26.37"/>
    <n v="11.99"/>
    <x v="286"/>
    <x v="1"/>
    <n v="2025"/>
    <x v="9"/>
    <n v="22.4145"/>
    <n v="-0.119565459858574"/>
    <x v="1"/>
    <x v="1"/>
  </r>
  <r>
    <x v="1838"/>
    <x v="832"/>
    <x v="1440"/>
    <x v="0"/>
    <x v="13"/>
    <x v="0"/>
    <x v="3"/>
    <x v="27"/>
    <x v="2"/>
    <x v="1706"/>
    <x v="4"/>
    <n v="109.38"/>
    <n v="7.11"/>
    <x v="1394"/>
    <x v="2"/>
    <n v="2025"/>
    <x v="9"/>
    <n v="103.911"/>
    <n v="0.43017582354130002"/>
    <x v="0"/>
    <x v="0"/>
  </r>
  <r>
    <x v="1839"/>
    <x v="832"/>
    <x v="844"/>
    <x v="1"/>
    <x v="4"/>
    <x v="2"/>
    <x v="0"/>
    <x v="7"/>
    <x v="1"/>
    <x v="1707"/>
    <x v="0"/>
    <n v="267.27999999999997"/>
    <n v="19.899999999999999"/>
    <x v="1715"/>
    <x v="1"/>
    <n v="2025"/>
    <x v="9"/>
    <n v="267.27999999999997"/>
    <n v="0.37556120921879699"/>
    <x v="0"/>
    <x v="0"/>
  </r>
  <r>
    <x v="1840"/>
    <x v="833"/>
    <x v="45"/>
    <x v="0"/>
    <x v="5"/>
    <x v="3"/>
    <x v="3"/>
    <x v="27"/>
    <x v="0"/>
    <x v="1708"/>
    <x v="0"/>
    <n v="94.32"/>
    <n v="11.64"/>
    <x v="1716"/>
    <x v="0"/>
    <n v="2025"/>
    <x v="9"/>
    <n v="94.32"/>
    <n v="0.376590330788804"/>
    <x v="1"/>
    <x v="0"/>
  </r>
  <r>
    <x v="1841"/>
    <x v="834"/>
    <x v="1441"/>
    <x v="1"/>
    <x v="5"/>
    <x v="3"/>
    <x v="0"/>
    <x v="7"/>
    <x v="3"/>
    <x v="1709"/>
    <x v="0"/>
    <n v="32.700000000000003"/>
    <n v="10.93"/>
    <x v="1717"/>
    <x v="1"/>
    <n v="2025"/>
    <x v="9"/>
    <n v="32.700000000000003"/>
    <n v="0.115902140672783"/>
    <x v="1"/>
    <x v="0"/>
  </r>
  <r>
    <x v="1842"/>
    <x v="834"/>
    <x v="1442"/>
    <x v="2"/>
    <x v="16"/>
    <x v="3"/>
    <x v="1"/>
    <x v="17"/>
    <x v="3"/>
    <x v="1710"/>
    <x v="1"/>
    <n v="17.489999999999998"/>
    <n v="11.22"/>
    <x v="1718"/>
    <x v="3"/>
    <n v="2025"/>
    <x v="9"/>
    <n v="13.992000000000001"/>
    <n v="-0.25514579759862799"/>
    <x v="1"/>
    <x v="1"/>
  </r>
  <r>
    <x v="1843"/>
    <x v="834"/>
    <x v="824"/>
    <x v="2"/>
    <x v="9"/>
    <x v="3"/>
    <x v="1"/>
    <x v="25"/>
    <x v="3"/>
    <x v="532"/>
    <x v="4"/>
    <n v="12.72"/>
    <n v="9.93"/>
    <x v="1719"/>
    <x v="2"/>
    <n v="2025"/>
    <x v="9"/>
    <n v="12.084"/>
    <n v="-0.26812313803376397"/>
    <x v="1"/>
    <x v="1"/>
  </r>
  <r>
    <x v="1844"/>
    <x v="834"/>
    <x v="8"/>
    <x v="2"/>
    <x v="13"/>
    <x v="0"/>
    <x v="3"/>
    <x v="11"/>
    <x v="5"/>
    <x v="1708"/>
    <x v="0"/>
    <n v="157.19999999999999"/>
    <n v="11.49"/>
    <x v="1720"/>
    <x v="0"/>
    <n v="2025"/>
    <x v="9"/>
    <n v="157.19999999999999"/>
    <n v="0.42690839694656502"/>
    <x v="0"/>
    <x v="0"/>
  </r>
  <r>
    <x v="1845"/>
    <x v="834"/>
    <x v="671"/>
    <x v="2"/>
    <x v="2"/>
    <x v="0"/>
    <x v="1"/>
    <x v="25"/>
    <x v="1"/>
    <x v="1711"/>
    <x v="4"/>
    <n v="19.11"/>
    <n v="12.77"/>
    <x v="1721"/>
    <x v="1"/>
    <n v="2025"/>
    <x v="9"/>
    <n v="18.154499999999999"/>
    <n v="-0.14927428461263001"/>
    <x v="1"/>
    <x v="1"/>
  </r>
  <r>
    <x v="1846"/>
    <x v="835"/>
    <x v="261"/>
    <x v="1"/>
    <x v="8"/>
    <x v="1"/>
    <x v="1"/>
    <x v="20"/>
    <x v="0"/>
    <x v="1712"/>
    <x v="0"/>
    <n v="23.43"/>
    <n v="11.85"/>
    <x v="1384"/>
    <x v="2"/>
    <n v="2025"/>
    <x v="9"/>
    <n v="23.43"/>
    <n v="4.4387537345283799E-2"/>
    <x v="1"/>
    <x v="0"/>
  </r>
  <r>
    <x v="1847"/>
    <x v="836"/>
    <x v="1377"/>
    <x v="0"/>
    <x v="2"/>
    <x v="0"/>
    <x v="2"/>
    <x v="21"/>
    <x v="4"/>
    <x v="1713"/>
    <x v="3"/>
    <n v="343.6"/>
    <n v="17.309999999999999"/>
    <x v="1722"/>
    <x v="0"/>
    <n v="2025"/>
    <x v="9"/>
    <n v="309.24"/>
    <n v="0.31438365023929599"/>
    <x v="0"/>
    <x v="0"/>
  </r>
  <r>
    <x v="1848"/>
    <x v="836"/>
    <x v="1443"/>
    <x v="2"/>
    <x v="15"/>
    <x v="2"/>
    <x v="2"/>
    <x v="5"/>
    <x v="1"/>
    <x v="1714"/>
    <x v="3"/>
    <n v="387.86"/>
    <n v="18.57"/>
    <x v="1723"/>
    <x v="1"/>
    <n v="2025"/>
    <x v="9"/>
    <n v="349.07400000000001"/>
    <n v="0.31715338295031997"/>
    <x v="0"/>
    <x v="0"/>
  </r>
  <r>
    <x v="1849"/>
    <x v="837"/>
    <x v="616"/>
    <x v="1"/>
    <x v="0"/>
    <x v="0"/>
    <x v="1"/>
    <x v="20"/>
    <x v="1"/>
    <x v="1715"/>
    <x v="0"/>
    <n v="45.44"/>
    <n v="11.98"/>
    <x v="1724"/>
    <x v="1"/>
    <n v="2025"/>
    <x v="9"/>
    <n v="45.44"/>
    <n v="0.28631161971830998"/>
    <x v="1"/>
    <x v="0"/>
  </r>
  <r>
    <x v="1850"/>
    <x v="837"/>
    <x v="1444"/>
    <x v="0"/>
    <x v="3"/>
    <x v="1"/>
    <x v="3"/>
    <x v="26"/>
    <x v="2"/>
    <x v="1716"/>
    <x v="2"/>
    <n v="53.72"/>
    <n v="10.11"/>
    <x v="1725"/>
    <x v="1"/>
    <n v="2025"/>
    <x v="9"/>
    <n v="45.661999999999999"/>
    <n v="0.26301957864307302"/>
    <x v="1"/>
    <x v="0"/>
  </r>
  <r>
    <x v="1851"/>
    <x v="837"/>
    <x v="326"/>
    <x v="1"/>
    <x v="10"/>
    <x v="3"/>
    <x v="0"/>
    <x v="3"/>
    <x v="1"/>
    <x v="1602"/>
    <x v="4"/>
    <n v="177.04"/>
    <n v="18.989999999999998"/>
    <x v="1726"/>
    <x v="0"/>
    <n v="2025"/>
    <x v="9"/>
    <n v="168.18799999999999"/>
    <n v="0.330285157086118"/>
    <x v="0"/>
    <x v="0"/>
  </r>
  <r>
    <x v="1852"/>
    <x v="838"/>
    <x v="1445"/>
    <x v="0"/>
    <x v="8"/>
    <x v="1"/>
    <x v="0"/>
    <x v="3"/>
    <x v="2"/>
    <x v="288"/>
    <x v="0"/>
    <n v="80.36"/>
    <n v="10.31"/>
    <x v="1727"/>
    <x v="1"/>
    <n v="2025"/>
    <x v="9"/>
    <n v="80.36"/>
    <n v="0.32167745146839199"/>
    <x v="1"/>
    <x v="0"/>
  </r>
  <r>
    <x v="1853"/>
    <x v="838"/>
    <x v="1446"/>
    <x v="0"/>
    <x v="0"/>
    <x v="0"/>
    <x v="0"/>
    <x v="29"/>
    <x v="3"/>
    <x v="1717"/>
    <x v="1"/>
    <n v="29.3"/>
    <n v="6.08"/>
    <x v="1728"/>
    <x v="3"/>
    <n v="2025"/>
    <x v="9"/>
    <n v="23.44"/>
    <n v="0.131399317406143"/>
    <x v="1"/>
    <x v="0"/>
  </r>
  <r>
    <x v="1854"/>
    <x v="839"/>
    <x v="1447"/>
    <x v="2"/>
    <x v="0"/>
    <x v="0"/>
    <x v="2"/>
    <x v="21"/>
    <x v="5"/>
    <x v="1718"/>
    <x v="3"/>
    <n v="172.08"/>
    <n v="9.65"/>
    <x v="1729"/>
    <x v="2"/>
    <n v="2025"/>
    <x v="9"/>
    <n v="154.87200000000001"/>
    <n v="0.30806085025052898"/>
    <x v="0"/>
    <x v="0"/>
  </r>
  <r>
    <x v="1855"/>
    <x v="839"/>
    <x v="1448"/>
    <x v="1"/>
    <x v="14"/>
    <x v="1"/>
    <x v="3"/>
    <x v="27"/>
    <x v="1"/>
    <x v="1719"/>
    <x v="0"/>
    <n v="238.4"/>
    <n v="14.78"/>
    <x v="1730"/>
    <x v="0"/>
    <n v="2025"/>
    <x v="9"/>
    <n v="238.4"/>
    <n v="0.43800335570469801"/>
    <x v="0"/>
    <x v="0"/>
  </r>
  <r>
    <x v="1856"/>
    <x v="840"/>
    <x v="1449"/>
    <x v="0"/>
    <x v="9"/>
    <x v="3"/>
    <x v="3"/>
    <x v="16"/>
    <x v="4"/>
    <x v="1720"/>
    <x v="0"/>
    <n v="242.76"/>
    <n v="18.34"/>
    <x v="1731"/>
    <x v="1"/>
    <n v="2025"/>
    <x v="9"/>
    <n v="242.76"/>
    <n v="0.42445213379469399"/>
    <x v="0"/>
    <x v="0"/>
  </r>
  <r>
    <x v="1857"/>
    <x v="840"/>
    <x v="1450"/>
    <x v="0"/>
    <x v="12"/>
    <x v="4"/>
    <x v="1"/>
    <x v="20"/>
    <x v="3"/>
    <x v="1721"/>
    <x v="1"/>
    <n v="15.05"/>
    <n v="11.78"/>
    <x v="1732"/>
    <x v="0"/>
    <n v="2025"/>
    <x v="9"/>
    <n v="12.04"/>
    <n v="-0.431063122923588"/>
    <x v="1"/>
    <x v="1"/>
  </r>
  <r>
    <x v="1858"/>
    <x v="841"/>
    <x v="360"/>
    <x v="0"/>
    <x v="1"/>
    <x v="1"/>
    <x v="1"/>
    <x v="17"/>
    <x v="0"/>
    <x v="1712"/>
    <x v="2"/>
    <n v="19.920000000000002"/>
    <n v="9.35"/>
    <x v="1140"/>
    <x v="3"/>
    <n v="2025"/>
    <x v="9"/>
    <n v="16.931999999999999"/>
    <n v="1.7717930545712299E-3"/>
    <x v="1"/>
    <x v="0"/>
  </r>
  <r>
    <x v="1859"/>
    <x v="841"/>
    <x v="1451"/>
    <x v="2"/>
    <x v="10"/>
    <x v="3"/>
    <x v="0"/>
    <x v="18"/>
    <x v="11"/>
    <x v="1722"/>
    <x v="3"/>
    <n v="606.66999999999996"/>
    <n v="16.64"/>
    <x v="1733"/>
    <x v="2"/>
    <n v="2025"/>
    <x v="9"/>
    <n v="546.00300000000004"/>
    <n v="0.40162782988371898"/>
    <x v="2"/>
    <x v="0"/>
  </r>
  <r>
    <x v="1860"/>
    <x v="841"/>
    <x v="478"/>
    <x v="1"/>
    <x v="0"/>
    <x v="0"/>
    <x v="3"/>
    <x v="11"/>
    <x v="11"/>
    <x v="1723"/>
    <x v="0"/>
    <n v="874.5"/>
    <n v="14.35"/>
    <x v="1734"/>
    <x v="1"/>
    <n v="2025"/>
    <x v="9"/>
    <n v="874.5"/>
    <n v="0.48359062321326501"/>
    <x v="2"/>
    <x v="0"/>
  </r>
  <r>
    <x v="1861"/>
    <x v="842"/>
    <x v="336"/>
    <x v="1"/>
    <x v="0"/>
    <x v="0"/>
    <x v="2"/>
    <x v="32"/>
    <x v="11"/>
    <x v="1724"/>
    <x v="4"/>
    <n v="451.86"/>
    <n v="28.8"/>
    <x v="1735"/>
    <x v="1"/>
    <n v="2025"/>
    <x v="9"/>
    <n v="429.267"/>
    <n v="0.320732784024861"/>
    <x v="0"/>
    <x v="0"/>
  </r>
  <r>
    <x v="1862"/>
    <x v="843"/>
    <x v="1452"/>
    <x v="2"/>
    <x v="19"/>
    <x v="1"/>
    <x v="1"/>
    <x v="2"/>
    <x v="3"/>
    <x v="1460"/>
    <x v="3"/>
    <n v="11.45"/>
    <n v="8.73"/>
    <x v="1736"/>
    <x v="1"/>
    <n v="2025"/>
    <x v="9"/>
    <n v="10.305"/>
    <n v="-0.29112081513828197"/>
    <x v="1"/>
    <x v="1"/>
  </r>
  <r>
    <x v="1863"/>
    <x v="844"/>
    <x v="1453"/>
    <x v="2"/>
    <x v="5"/>
    <x v="3"/>
    <x v="2"/>
    <x v="8"/>
    <x v="7"/>
    <x v="1725"/>
    <x v="4"/>
    <n v="749.59"/>
    <n v="25.57"/>
    <x v="1737"/>
    <x v="1"/>
    <n v="2025"/>
    <x v="9"/>
    <n v="712.1105"/>
    <n v="0.35191167662883799"/>
    <x v="2"/>
    <x v="0"/>
  </r>
  <r>
    <x v="1864"/>
    <x v="845"/>
    <x v="202"/>
    <x v="1"/>
    <x v="8"/>
    <x v="1"/>
    <x v="1"/>
    <x v="12"/>
    <x v="1"/>
    <x v="695"/>
    <x v="3"/>
    <n v="77.8"/>
    <n v="9.9600000000000009"/>
    <x v="1738"/>
    <x v="3"/>
    <n v="2025"/>
    <x v="9"/>
    <n v="70.02"/>
    <n v="0.41331048271922299"/>
    <x v="1"/>
    <x v="0"/>
  </r>
  <r>
    <x v="1865"/>
    <x v="845"/>
    <x v="1160"/>
    <x v="0"/>
    <x v="13"/>
    <x v="0"/>
    <x v="3"/>
    <x v="13"/>
    <x v="2"/>
    <x v="1726"/>
    <x v="2"/>
    <n v="140.25"/>
    <n v="8.65"/>
    <x v="1739"/>
    <x v="2"/>
    <n v="2025"/>
    <x v="9"/>
    <n v="119.21250000000001"/>
    <n v="0.41186956065848801"/>
    <x v="0"/>
    <x v="0"/>
  </r>
  <r>
    <x v="1866"/>
    <x v="846"/>
    <x v="1454"/>
    <x v="1"/>
    <x v="13"/>
    <x v="0"/>
    <x v="3"/>
    <x v="30"/>
    <x v="9"/>
    <x v="1727"/>
    <x v="0"/>
    <n v="114.6"/>
    <n v="13.72"/>
    <x v="1740"/>
    <x v="2"/>
    <n v="2025"/>
    <x v="9"/>
    <n v="114.6"/>
    <n v="0.38027923211169301"/>
    <x v="0"/>
    <x v="0"/>
  </r>
  <r>
    <x v="1867"/>
    <x v="846"/>
    <x v="1455"/>
    <x v="0"/>
    <x v="2"/>
    <x v="0"/>
    <x v="3"/>
    <x v="13"/>
    <x v="6"/>
    <x v="1728"/>
    <x v="4"/>
    <n v="983.4"/>
    <n v="18.010000000000002"/>
    <x v="1741"/>
    <x v="2"/>
    <n v="2025"/>
    <x v="9"/>
    <n v="934.23"/>
    <n v="0.479335923701872"/>
    <x v="2"/>
    <x v="0"/>
  </r>
  <r>
    <x v="1868"/>
    <x v="847"/>
    <x v="854"/>
    <x v="1"/>
    <x v="16"/>
    <x v="3"/>
    <x v="0"/>
    <x v="0"/>
    <x v="3"/>
    <x v="1729"/>
    <x v="3"/>
    <n v="224.91"/>
    <n v="10.6"/>
    <x v="1742"/>
    <x v="2"/>
    <n v="2025"/>
    <x v="9"/>
    <n v="202.41900000000001"/>
    <n v="0.379707438530968"/>
    <x v="0"/>
    <x v="0"/>
  </r>
  <r>
    <x v="1869"/>
    <x v="847"/>
    <x v="599"/>
    <x v="1"/>
    <x v="19"/>
    <x v="1"/>
    <x v="0"/>
    <x v="0"/>
    <x v="7"/>
    <x v="1730"/>
    <x v="3"/>
    <n v="339.05"/>
    <n v="20.61"/>
    <x v="1743"/>
    <x v="3"/>
    <n v="2025"/>
    <x v="9"/>
    <n v="305.14499999999998"/>
    <n v="0.36454800176965002"/>
    <x v="0"/>
    <x v="0"/>
  </r>
  <r>
    <x v="1870"/>
    <x v="848"/>
    <x v="1456"/>
    <x v="0"/>
    <x v="17"/>
    <x v="3"/>
    <x v="1"/>
    <x v="6"/>
    <x v="0"/>
    <x v="1731"/>
    <x v="1"/>
    <n v="34.75"/>
    <n v="15.11"/>
    <x v="1347"/>
    <x v="1"/>
    <n v="2025"/>
    <x v="9"/>
    <n v="27.8"/>
    <n v="3.2374100719424499E-3"/>
    <x v="1"/>
    <x v="0"/>
  </r>
  <r>
    <x v="1871"/>
    <x v="848"/>
    <x v="1457"/>
    <x v="1"/>
    <x v="5"/>
    <x v="3"/>
    <x v="2"/>
    <x v="32"/>
    <x v="5"/>
    <x v="1732"/>
    <x v="1"/>
    <n v="179.64"/>
    <n v="11.97"/>
    <x v="1744"/>
    <x v="2"/>
    <n v="2025"/>
    <x v="9"/>
    <n v="143.71199999999999"/>
    <n v="0.22920841683366699"/>
    <x v="0"/>
    <x v="0"/>
  </r>
  <r>
    <x v="1872"/>
    <x v="848"/>
    <x v="63"/>
    <x v="1"/>
    <x v="15"/>
    <x v="2"/>
    <x v="1"/>
    <x v="17"/>
    <x v="0"/>
    <x v="1733"/>
    <x v="2"/>
    <n v="45.29"/>
    <n v="15.75"/>
    <x v="1745"/>
    <x v="0"/>
    <n v="2025"/>
    <x v="9"/>
    <n v="38.496499999999997"/>
    <n v="0.14442871429870199"/>
    <x v="1"/>
    <x v="0"/>
  </r>
  <r>
    <x v="1873"/>
    <x v="849"/>
    <x v="1309"/>
    <x v="1"/>
    <x v="18"/>
    <x v="4"/>
    <x v="3"/>
    <x v="27"/>
    <x v="3"/>
    <x v="1734"/>
    <x v="2"/>
    <n v="34.47"/>
    <n v="11.54"/>
    <x v="1746"/>
    <x v="2"/>
    <n v="2025"/>
    <x v="9"/>
    <n v="29.299499999999998"/>
    <n v="9.0786532193382105E-2"/>
    <x v="1"/>
    <x v="0"/>
  </r>
  <r>
    <x v="1874"/>
    <x v="850"/>
    <x v="1458"/>
    <x v="2"/>
    <x v="19"/>
    <x v="1"/>
    <x v="2"/>
    <x v="15"/>
    <x v="0"/>
    <x v="1735"/>
    <x v="3"/>
    <n v="1118.04"/>
    <n v="13.11"/>
    <x v="1747"/>
    <x v="2"/>
    <n v="2025"/>
    <x v="9"/>
    <n v="1006.236"/>
    <n v="0.35734161767219602"/>
    <x v="2"/>
    <x v="0"/>
  </r>
  <r>
    <x v="1875"/>
    <x v="850"/>
    <x v="1459"/>
    <x v="1"/>
    <x v="1"/>
    <x v="1"/>
    <x v="3"/>
    <x v="11"/>
    <x v="1"/>
    <x v="1736"/>
    <x v="2"/>
    <n v="306.95"/>
    <n v="11.43"/>
    <x v="1748"/>
    <x v="1"/>
    <n v="2025"/>
    <x v="9"/>
    <n v="260.90750000000003"/>
    <n v="0.44061592710060099"/>
    <x v="0"/>
    <x v="0"/>
  </r>
  <r>
    <x v="1876"/>
    <x v="851"/>
    <x v="1460"/>
    <x v="2"/>
    <x v="3"/>
    <x v="1"/>
    <x v="0"/>
    <x v="0"/>
    <x v="2"/>
    <x v="1737"/>
    <x v="3"/>
    <n v="391.54"/>
    <n v="8.5"/>
    <x v="1749"/>
    <x v="3"/>
    <n v="2025"/>
    <x v="9"/>
    <n v="352.38600000000002"/>
    <n v="0.407990101763407"/>
    <x v="0"/>
    <x v="0"/>
  </r>
  <r>
    <x v="1877"/>
    <x v="851"/>
    <x v="51"/>
    <x v="1"/>
    <x v="0"/>
    <x v="0"/>
    <x v="3"/>
    <x v="37"/>
    <x v="1"/>
    <x v="1738"/>
    <x v="0"/>
    <n v="283.56"/>
    <n v="8.25"/>
    <x v="1750"/>
    <x v="0"/>
    <n v="2025"/>
    <x v="9"/>
    <n v="283.56"/>
    <n v="0.47090562843842598"/>
    <x v="0"/>
    <x v="0"/>
  </r>
  <r>
    <x v="1878"/>
    <x v="852"/>
    <x v="784"/>
    <x v="2"/>
    <x v="7"/>
    <x v="4"/>
    <x v="2"/>
    <x v="36"/>
    <x v="2"/>
    <x v="1739"/>
    <x v="0"/>
    <n v="356.1"/>
    <n v="11.65"/>
    <x v="1751"/>
    <x v="2"/>
    <n v="2025"/>
    <x v="10"/>
    <n v="356.1"/>
    <n v="0.36728447065431002"/>
    <x v="0"/>
    <x v="0"/>
  </r>
  <r>
    <x v="1879"/>
    <x v="852"/>
    <x v="1461"/>
    <x v="2"/>
    <x v="8"/>
    <x v="1"/>
    <x v="2"/>
    <x v="4"/>
    <x v="9"/>
    <x v="1740"/>
    <x v="1"/>
    <n v="2566.56"/>
    <n v="27"/>
    <x v="1752"/>
    <x v="3"/>
    <n v="2025"/>
    <x v="10"/>
    <n v="2053.248"/>
    <n v="0.299350102861418"/>
    <x v="2"/>
    <x v="0"/>
  </r>
  <r>
    <x v="1880"/>
    <x v="852"/>
    <x v="1462"/>
    <x v="1"/>
    <x v="12"/>
    <x v="4"/>
    <x v="3"/>
    <x v="11"/>
    <x v="4"/>
    <x v="1741"/>
    <x v="0"/>
    <n v="557.88"/>
    <n v="18.670000000000002"/>
    <x v="1753"/>
    <x v="2"/>
    <n v="2025"/>
    <x v="10"/>
    <n v="557.88"/>
    <n v="0.46653402165340202"/>
    <x v="2"/>
    <x v="0"/>
  </r>
  <r>
    <x v="1881"/>
    <x v="853"/>
    <x v="1300"/>
    <x v="0"/>
    <x v="2"/>
    <x v="0"/>
    <x v="0"/>
    <x v="28"/>
    <x v="2"/>
    <x v="1742"/>
    <x v="2"/>
    <n v="105.37"/>
    <n v="7.76"/>
    <x v="1754"/>
    <x v="3"/>
    <n v="2025"/>
    <x v="10"/>
    <n v="89.564499999999995"/>
    <n v="0.32859001055105502"/>
    <x v="0"/>
    <x v="0"/>
  </r>
  <r>
    <x v="1882"/>
    <x v="853"/>
    <x v="1463"/>
    <x v="1"/>
    <x v="2"/>
    <x v="0"/>
    <x v="1"/>
    <x v="6"/>
    <x v="2"/>
    <x v="1743"/>
    <x v="0"/>
    <n v="48.46"/>
    <n v="7.91"/>
    <x v="1755"/>
    <x v="0"/>
    <n v="2025"/>
    <x v="10"/>
    <n v="48.46"/>
    <n v="0.38671068922822899"/>
    <x v="1"/>
    <x v="0"/>
  </r>
  <r>
    <x v="1883"/>
    <x v="854"/>
    <x v="1464"/>
    <x v="0"/>
    <x v="1"/>
    <x v="1"/>
    <x v="0"/>
    <x v="0"/>
    <x v="5"/>
    <x v="1744"/>
    <x v="6"/>
    <n v="932.25"/>
    <n v="17.13"/>
    <x v="1756"/>
    <x v="3"/>
    <n v="2025"/>
    <x v="10"/>
    <n v="699.1875"/>
    <n v="0.33105568963976001"/>
    <x v="2"/>
    <x v="0"/>
  </r>
  <r>
    <x v="1884"/>
    <x v="854"/>
    <x v="1465"/>
    <x v="1"/>
    <x v="1"/>
    <x v="1"/>
    <x v="2"/>
    <x v="14"/>
    <x v="2"/>
    <x v="1745"/>
    <x v="2"/>
    <n v="506.33"/>
    <n v="8.5500000000000007"/>
    <x v="1757"/>
    <x v="3"/>
    <n v="2025"/>
    <x v="10"/>
    <n v="430.38049999999998"/>
    <n v="0.32615325276121998"/>
    <x v="2"/>
    <x v="0"/>
  </r>
  <r>
    <x v="1885"/>
    <x v="854"/>
    <x v="1466"/>
    <x v="2"/>
    <x v="19"/>
    <x v="1"/>
    <x v="0"/>
    <x v="22"/>
    <x v="4"/>
    <x v="1746"/>
    <x v="3"/>
    <n v="596.91999999999996"/>
    <n v="21.12"/>
    <x v="1758"/>
    <x v="2"/>
    <n v="2025"/>
    <x v="10"/>
    <n v="537.22799999999995"/>
    <n v="0.39279412093189497"/>
    <x v="2"/>
    <x v="0"/>
  </r>
  <r>
    <x v="1886"/>
    <x v="855"/>
    <x v="1467"/>
    <x v="1"/>
    <x v="3"/>
    <x v="1"/>
    <x v="0"/>
    <x v="29"/>
    <x v="3"/>
    <x v="1747"/>
    <x v="2"/>
    <n v="41.28"/>
    <n v="8.92"/>
    <x v="1759"/>
    <x v="2"/>
    <n v="2025"/>
    <x v="10"/>
    <n v="35.088000000000001"/>
    <n v="0.161023711810306"/>
    <x v="1"/>
    <x v="0"/>
  </r>
  <r>
    <x v="1887"/>
    <x v="856"/>
    <x v="329"/>
    <x v="2"/>
    <x v="10"/>
    <x v="3"/>
    <x v="1"/>
    <x v="25"/>
    <x v="6"/>
    <x v="1748"/>
    <x v="0"/>
    <n v="90.72"/>
    <n v="22.05"/>
    <x v="1760"/>
    <x v="2"/>
    <n v="2025"/>
    <x v="10"/>
    <n v="90.72"/>
    <n v="0.306988536155203"/>
    <x v="1"/>
    <x v="0"/>
  </r>
  <r>
    <x v="1888"/>
    <x v="857"/>
    <x v="603"/>
    <x v="0"/>
    <x v="13"/>
    <x v="0"/>
    <x v="2"/>
    <x v="32"/>
    <x v="3"/>
    <x v="1749"/>
    <x v="0"/>
    <n v="79.069999999999993"/>
    <n v="7.11"/>
    <x v="1761"/>
    <x v="1"/>
    <n v="2025"/>
    <x v="10"/>
    <n v="79.069999999999993"/>
    <n v="0.31010497027949901"/>
    <x v="1"/>
    <x v="0"/>
  </r>
  <r>
    <x v="1889"/>
    <x v="857"/>
    <x v="1468"/>
    <x v="1"/>
    <x v="15"/>
    <x v="2"/>
    <x v="0"/>
    <x v="3"/>
    <x v="2"/>
    <x v="1750"/>
    <x v="0"/>
    <n v="82.24"/>
    <n v="15.15"/>
    <x v="1762"/>
    <x v="1"/>
    <n v="2025"/>
    <x v="10"/>
    <n v="82.24"/>
    <n v="0.265807392996109"/>
    <x v="1"/>
    <x v="0"/>
  </r>
  <r>
    <x v="1890"/>
    <x v="857"/>
    <x v="1469"/>
    <x v="0"/>
    <x v="2"/>
    <x v="0"/>
    <x v="1"/>
    <x v="19"/>
    <x v="3"/>
    <x v="1751"/>
    <x v="2"/>
    <n v="6.66"/>
    <n v="6.96"/>
    <x v="1763"/>
    <x v="1"/>
    <n v="2025"/>
    <x v="10"/>
    <n v="5.6609999999999996"/>
    <n v="-0.67655891185302997"/>
    <x v="1"/>
    <x v="1"/>
  </r>
  <r>
    <x v="1891"/>
    <x v="858"/>
    <x v="1470"/>
    <x v="2"/>
    <x v="5"/>
    <x v="3"/>
    <x v="2"/>
    <x v="8"/>
    <x v="1"/>
    <x v="1752"/>
    <x v="0"/>
    <n v="408.32"/>
    <n v="18.68"/>
    <x v="1764"/>
    <x v="1"/>
    <n v="2025"/>
    <x v="10"/>
    <n v="408.32"/>
    <n v="0.35425646551724099"/>
    <x v="0"/>
    <x v="0"/>
  </r>
  <r>
    <x v="1892"/>
    <x v="859"/>
    <x v="1471"/>
    <x v="2"/>
    <x v="5"/>
    <x v="3"/>
    <x v="2"/>
    <x v="15"/>
    <x v="3"/>
    <x v="1753"/>
    <x v="4"/>
    <n v="157.57"/>
    <n v="10.45"/>
    <x v="1765"/>
    <x v="2"/>
    <n v="2025"/>
    <x v="10"/>
    <n v="149.69149999999999"/>
    <n v="0.31798732726975198"/>
    <x v="0"/>
    <x v="0"/>
  </r>
  <r>
    <x v="1893"/>
    <x v="859"/>
    <x v="1391"/>
    <x v="1"/>
    <x v="17"/>
    <x v="3"/>
    <x v="3"/>
    <x v="13"/>
    <x v="4"/>
    <x v="1754"/>
    <x v="0"/>
    <n v="775.08"/>
    <n v="12.89"/>
    <x v="1766"/>
    <x v="1"/>
    <n v="2025"/>
    <x v="10"/>
    <n v="775.08"/>
    <n v="0.48336945863652803"/>
    <x v="2"/>
    <x v="0"/>
  </r>
  <r>
    <x v="1894"/>
    <x v="859"/>
    <x v="1472"/>
    <x v="1"/>
    <x v="19"/>
    <x v="1"/>
    <x v="2"/>
    <x v="32"/>
    <x v="5"/>
    <x v="1755"/>
    <x v="4"/>
    <n v="346.32"/>
    <n v="18.059999999999999"/>
    <x v="1767"/>
    <x v="1"/>
    <n v="2025"/>
    <x v="10"/>
    <n v="329.00400000000002"/>
    <n v="0.33291388554546397"/>
    <x v="0"/>
    <x v="0"/>
  </r>
  <r>
    <x v="1895"/>
    <x v="859"/>
    <x v="1037"/>
    <x v="1"/>
    <x v="6"/>
    <x v="2"/>
    <x v="3"/>
    <x v="27"/>
    <x v="0"/>
    <x v="1756"/>
    <x v="4"/>
    <n v="152.9"/>
    <n v="13.46"/>
    <x v="1768"/>
    <x v="1"/>
    <n v="2025"/>
    <x v="10"/>
    <n v="145.255"/>
    <n v="0.40597569791057098"/>
    <x v="0"/>
    <x v="0"/>
  </r>
  <r>
    <x v="1896"/>
    <x v="859"/>
    <x v="1473"/>
    <x v="2"/>
    <x v="8"/>
    <x v="1"/>
    <x v="2"/>
    <x v="36"/>
    <x v="3"/>
    <x v="1757"/>
    <x v="3"/>
    <n v="245.38"/>
    <n v="9.1199999999999992"/>
    <x v="1769"/>
    <x v="1"/>
    <n v="2025"/>
    <x v="10"/>
    <n v="220.84200000000001"/>
    <n v="0.32910406534988801"/>
    <x v="0"/>
    <x v="0"/>
  </r>
  <r>
    <x v="1897"/>
    <x v="860"/>
    <x v="822"/>
    <x v="0"/>
    <x v="5"/>
    <x v="3"/>
    <x v="0"/>
    <x v="0"/>
    <x v="2"/>
    <x v="1758"/>
    <x v="2"/>
    <n v="283.36"/>
    <n v="11.52"/>
    <x v="1770"/>
    <x v="2"/>
    <n v="2025"/>
    <x v="10"/>
    <n v="240.85599999999999"/>
    <n v="0.367397947321221"/>
    <x v="0"/>
    <x v="0"/>
  </r>
  <r>
    <x v="1898"/>
    <x v="860"/>
    <x v="488"/>
    <x v="0"/>
    <x v="8"/>
    <x v="1"/>
    <x v="2"/>
    <x v="4"/>
    <x v="0"/>
    <x v="1759"/>
    <x v="4"/>
    <n v="751.74"/>
    <n v="8.65"/>
    <x v="1771"/>
    <x v="3"/>
    <n v="2025"/>
    <x v="10"/>
    <n v="714.15300000000002"/>
    <n v="0.37568980316542799"/>
    <x v="2"/>
    <x v="0"/>
  </r>
  <r>
    <x v="1899"/>
    <x v="861"/>
    <x v="420"/>
    <x v="1"/>
    <x v="14"/>
    <x v="1"/>
    <x v="2"/>
    <x v="21"/>
    <x v="1"/>
    <x v="1760"/>
    <x v="0"/>
    <n v="313.64"/>
    <n v="10.24"/>
    <x v="1772"/>
    <x v="1"/>
    <n v="2025"/>
    <x v="10"/>
    <n v="313.64"/>
    <n v="0.36736385665093702"/>
    <x v="0"/>
    <x v="0"/>
  </r>
  <r>
    <x v="1900"/>
    <x v="862"/>
    <x v="1474"/>
    <x v="1"/>
    <x v="7"/>
    <x v="4"/>
    <x v="1"/>
    <x v="38"/>
    <x v="5"/>
    <x v="1761"/>
    <x v="2"/>
    <n v="28.73"/>
    <n v="18"/>
    <x v="1773"/>
    <x v="1"/>
    <n v="2025"/>
    <x v="10"/>
    <n v="24.420500000000001"/>
    <n v="-0.18345242726397901"/>
    <x v="1"/>
    <x v="1"/>
  </r>
  <r>
    <x v="1901"/>
    <x v="862"/>
    <x v="1475"/>
    <x v="1"/>
    <x v="2"/>
    <x v="0"/>
    <x v="1"/>
    <x v="10"/>
    <x v="2"/>
    <x v="1636"/>
    <x v="0"/>
    <n v="15.08"/>
    <n v="6.17"/>
    <x v="588"/>
    <x v="1"/>
    <n v="2025"/>
    <x v="10"/>
    <n v="15.08"/>
    <n v="0.14058355437665801"/>
    <x v="1"/>
    <x v="0"/>
  </r>
  <r>
    <x v="1902"/>
    <x v="863"/>
    <x v="1100"/>
    <x v="1"/>
    <x v="17"/>
    <x v="3"/>
    <x v="1"/>
    <x v="12"/>
    <x v="1"/>
    <x v="604"/>
    <x v="1"/>
    <n v="68.22"/>
    <n v="14.03"/>
    <x v="1774"/>
    <x v="2"/>
    <n v="2025"/>
    <x v="10"/>
    <n v="54.576000000000001"/>
    <n v="0.28968777484608599"/>
    <x v="1"/>
    <x v="0"/>
  </r>
  <r>
    <x v="1903"/>
    <x v="864"/>
    <x v="1132"/>
    <x v="2"/>
    <x v="0"/>
    <x v="0"/>
    <x v="1"/>
    <x v="12"/>
    <x v="1"/>
    <x v="1762"/>
    <x v="0"/>
    <n v="55.16"/>
    <n v="14.12"/>
    <x v="1775"/>
    <x v="2"/>
    <n v="2025"/>
    <x v="10"/>
    <n v="55.16"/>
    <n v="0.29405366207396699"/>
    <x v="1"/>
    <x v="0"/>
  </r>
  <r>
    <x v="1904"/>
    <x v="864"/>
    <x v="888"/>
    <x v="0"/>
    <x v="13"/>
    <x v="0"/>
    <x v="1"/>
    <x v="2"/>
    <x v="2"/>
    <x v="1763"/>
    <x v="2"/>
    <n v="23.87"/>
    <n v="7.52"/>
    <x v="1776"/>
    <x v="0"/>
    <n v="2025"/>
    <x v="10"/>
    <n v="20.2895"/>
    <n v="0.18285319993099899"/>
    <x v="1"/>
    <x v="0"/>
  </r>
  <r>
    <x v="1905"/>
    <x v="865"/>
    <x v="1476"/>
    <x v="0"/>
    <x v="1"/>
    <x v="1"/>
    <x v="1"/>
    <x v="19"/>
    <x v="3"/>
    <x v="1764"/>
    <x v="4"/>
    <n v="12.86"/>
    <n v="8.16"/>
    <x v="1777"/>
    <x v="1"/>
    <n v="2025"/>
    <x v="10"/>
    <n v="12.217000000000001"/>
    <n v="-0.113775886060408"/>
    <x v="1"/>
    <x v="1"/>
  </r>
  <r>
    <x v="1906"/>
    <x v="866"/>
    <x v="806"/>
    <x v="0"/>
    <x v="13"/>
    <x v="0"/>
    <x v="0"/>
    <x v="18"/>
    <x v="0"/>
    <x v="1765"/>
    <x v="4"/>
    <n v="210.39"/>
    <n v="11.99"/>
    <x v="1778"/>
    <x v="0"/>
    <n v="2025"/>
    <x v="10"/>
    <n v="199.87049999999999"/>
    <n v="0.38324815317918398"/>
    <x v="0"/>
    <x v="0"/>
  </r>
  <r>
    <x v="1907"/>
    <x v="867"/>
    <x v="1477"/>
    <x v="1"/>
    <x v="19"/>
    <x v="1"/>
    <x v="1"/>
    <x v="38"/>
    <x v="10"/>
    <x v="1766"/>
    <x v="0"/>
    <n v="81.36"/>
    <n v="25.6"/>
    <x v="1779"/>
    <x v="0"/>
    <n v="2025"/>
    <x v="10"/>
    <n v="81.36"/>
    <n v="0.23537364798426699"/>
    <x v="1"/>
    <x v="0"/>
  </r>
  <r>
    <x v="1908"/>
    <x v="867"/>
    <x v="1478"/>
    <x v="0"/>
    <x v="2"/>
    <x v="0"/>
    <x v="1"/>
    <x v="20"/>
    <x v="0"/>
    <x v="1767"/>
    <x v="4"/>
    <n v="22.8"/>
    <n v="12.01"/>
    <x v="739"/>
    <x v="2"/>
    <n v="2025"/>
    <x v="10"/>
    <n v="21.66"/>
    <n v="-4.6168051708217901E-4"/>
    <x v="1"/>
    <x v="1"/>
  </r>
  <r>
    <x v="1909"/>
    <x v="867"/>
    <x v="1479"/>
    <x v="0"/>
    <x v="3"/>
    <x v="1"/>
    <x v="0"/>
    <x v="35"/>
    <x v="6"/>
    <x v="1768"/>
    <x v="4"/>
    <n v="278.17"/>
    <n v="10.79"/>
    <x v="1780"/>
    <x v="2"/>
    <n v="2025"/>
    <x v="10"/>
    <n v="264.26150000000001"/>
    <n v="0.402366595209669"/>
    <x v="0"/>
    <x v="0"/>
  </r>
  <r>
    <x v="1910"/>
    <x v="867"/>
    <x v="1480"/>
    <x v="0"/>
    <x v="2"/>
    <x v="0"/>
    <x v="1"/>
    <x v="6"/>
    <x v="0"/>
    <x v="1769"/>
    <x v="5"/>
    <n v="35.85"/>
    <n v="12.2"/>
    <x v="1781"/>
    <x v="2"/>
    <n v="2025"/>
    <x v="10"/>
    <n v="25.094999999999999"/>
    <n v="2.4307631002191701E-2"/>
    <x v="1"/>
    <x v="0"/>
  </r>
  <r>
    <x v="1911"/>
    <x v="868"/>
    <x v="1481"/>
    <x v="1"/>
    <x v="17"/>
    <x v="3"/>
    <x v="0"/>
    <x v="7"/>
    <x v="10"/>
    <x v="1770"/>
    <x v="4"/>
    <n v="292.5"/>
    <n v="13.63"/>
    <x v="1767"/>
    <x v="1"/>
    <n v="2025"/>
    <x v="10"/>
    <n v="277.875"/>
    <n v="0.39417004048582999"/>
    <x v="0"/>
    <x v="0"/>
  </r>
  <r>
    <x v="1912"/>
    <x v="868"/>
    <x v="1482"/>
    <x v="1"/>
    <x v="16"/>
    <x v="3"/>
    <x v="3"/>
    <x v="24"/>
    <x v="1"/>
    <x v="1771"/>
    <x v="2"/>
    <n v="241.57"/>
    <n v="11.85"/>
    <x v="1782"/>
    <x v="1"/>
    <n v="2025"/>
    <x v="10"/>
    <n v="205.33449999999999"/>
    <n v="0.42671835468467301"/>
    <x v="0"/>
    <x v="0"/>
  </r>
  <r>
    <x v="1913"/>
    <x v="868"/>
    <x v="606"/>
    <x v="0"/>
    <x v="17"/>
    <x v="3"/>
    <x v="2"/>
    <x v="39"/>
    <x v="3"/>
    <x v="1772"/>
    <x v="3"/>
    <n v="178.22"/>
    <n v="9.93"/>
    <x v="1783"/>
    <x v="0"/>
    <n v="2025"/>
    <x v="10"/>
    <n v="160.398"/>
    <n v="0.30848264940959402"/>
    <x v="0"/>
    <x v="0"/>
  </r>
  <r>
    <x v="1914"/>
    <x v="868"/>
    <x v="710"/>
    <x v="0"/>
    <x v="2"/>
    <x v="0"/>
    <x v="2"/>
    <x v="36"/>
    <x v="2"/>
    <x v="1773"/>
    <x v="5"/>
    <n v="392.76"/>
    <n v="6.47"/>
    <x v="1784"/>
    <x v="0"/>
    <n v="2025"/>
    <x v="10"/>
    <n v="274.93200000000002"/>
    <n v="0.180553736924039"/>
    <x v="0"/>
    <x v="0"/>
  </r>
  <r>
    <x v="1915"/>
    <x v="869"/>
    <x v="1483"/>
    <x v="1"/>
    <x v="12"/>
    <x v="4"/>
    <x v="3"/>
    <x v="13"/>
    <x v="0"/>
    <x v="1774"/>
    <x v="4"/>
    <n v="320.17"/>
    <n v="12.63"/>
    <x v="1785"/>
    <x v="1"/>
    <n v="2025"/>
    <x v="10"/>
    <n v="304.16149999999999"/>
    <n v="0.45709269582113499"/>
    <x v="0"/>
    <x v="0"/>
  </r>
  <r>
    <x v="1916"/>
    <x v="869"/>
    <x v="1484"/>
    <x v="0"/>
    <x v="17"/>
    <x v="3"/>
    <x v="2"/>
    <x v="39"/>
    <x v="2"/>
    <x v="1775"/>
    <x v="0"/>
    <n v="376.72"/>
    <n v="13.35"/>
    <x v="1786"/>
    <x v="3"/>
    <n v="2025"/>
    <x v="10"/>
    <n v="376.72"/>
    <n v="0.36456784880017001"/>
    <x v="0"/>
    <x v="0"/>
  </r>
  <r>
    <x v="1917"/>
    <x v="870"/>
    <x v="447"/>
    <x v="2"/>
    <x v="2"/>
    <x v="0"/>
    <x v="0"/>
    <x v="29"/>
    <x v="2"/>
    <x v="1776"/>
    <x v="4"/>
    <n v="45.5"/>
    <n v="7.35"/>
    <x v="1787"/>
    <x v="1"/>
    <n v="2025"/>
    <x v="10"/>
    <n v="43.225000000000001"/>
    <n v="0.27299016772701001"/>
    <x v="1"/>
    <x v="0"/>
  </r>
  <r>
    <x v="1918"/>
    <x v="870"/>
    <x v="1485"/>
    <x v="1"/>
    <x v="11"/>
    <x v="2"/>
    <x v="3"/>
    <x v="9"/>
    <x v="2"/>
    <x v="1777"/>
    <x v="4"/>
    <n v="47.71"/>
    <n v="12.85"/>
    <x v="1788"/>
    <x v="3"/>
    <n v="2025"/>
    <x v="10"/>
    <n v="45.3245"/>
    <n v="0.215115445288972"/>
    <x v="1"/>
    <x v="0"/>
  </r>
  <r>
    <x v="1919"/>
    <x v="870"/>
    <x v="1486"/>
    <x v="0"/>
    <x v="17"/>
    <x v="3"/>
    <x v="1"/>
    <x v="38"/>
    <x v="2"/>
    <x v="1576"/>
    <x v="3"/>
    <n v="12.78"/>
    <n v="10.79"/>
    <x v="1789"/>
    <x v="2"/>
    <n v="2025"/>
    <x v="10"/>
    <n v="11.502000000000001"/>
    <n v="-0.38254216657972501"/>
    <x v="1"/>
    <x v="1"/>
  </r>
  <r>
    <x v="1920"/>
    <x v="871"/>
    <x v="542"/>
    <x v="2"/>
    <x v="12"/>
    <x v="4"/>
    <x v="1"/>
    <x v="12"/>
    <x v="6"/>
    <x v="448"/>
    <x v="4"/>
    <n v="85.25"/>
    <n v="25.24"/>
    <x v="1790"/>
    <x v="3"/>
    <n v="2025"/>
    <x v="10"/>
    <n v="80.987499999999997"/>
    <n v="0.24238308380922999"/>
    <x v="1"/>
    <x v="0"/>
  </r>
  <r>
    <x v="1921"/>
    <x v="872"/>
    <x v="692"/>
    <x v="1"/>
    <x v="9"/>
    <x v="3"/>
    <x v="1"/>
    <x v="20"/>
    <x v="3"/>
    <x v="593"/>
    <x v="4"/>
    <n v="8.43"/>
    <n v="11.23"/>
    <x v="1791"/>
    <x v="1"/>
    <n v="2025"/>
    <x v="10"/>
    <n v="8.0084999999999997"/>
    <n v="-0.84784916026721602"/>
    <x v="1"/>
    <x v="1"/>
  </r>
  <r>
    <x v="1922"/>
    <x v="873"/>
    <x v="1487"/>
    <x v="1"/>
    <x v="1"/>
    <x v="1"/>
    <x v="2"/>
    <x v="8"/>
    <x v="11"/>
    <x v="1778"/>
    <x v="3"/>
    <n v="1197.9000000000001"/>
    <n v="25.42"/>
    <x v="1792"/>
    <x v="2"/>
    <n v="2025"/>
    <x v="10"/>
    <n v="1078.1099999999999"/>
    <n v="0.34679207130997802"/>
    <x v="2"/>
    <x v="0"/>
  </r>
  <r>
    <x v="1923"/>
    <x v="873"/>
    <x v="1488"/>
    <x v="0"/>
    <x v="16"/>
    <x v="3"/>
    <x v="2"/>
    <x v="34"/>
    <x v="3"/>
    <x v="1779"/>
    <x v="2"/>
    <n v="20.92"/>
    <n v="10.08"/>
    <x v="1793"/>
    <x v="2"/>
    <n v="2025"/>
    <x v="10"/>
    <n v="17.782"/>
    <n v="-0.221010010122596"/>
    <x v="1"/>
    <x v="1"/>
  </r>
  <r>
    <x v="1924"/>
    <x v="874"/>
    <x v="1489"/>
    <x v="2"/>
    <x v="10"/>
    <x v="3"/>
    <x v="2"/>
    <x v="39"/>
    <x v="2"/>
    <x v="1780"/>
    <x v="3"/>
    <n v="212.76"/>
    <n v="10.92"/>
    <x v="1794"/>
    <x v="1"/>
    <n v="2025"/>
    <x v="10"/>
    <n v="191.48400000000001"/>
    <n v="0.313342106912327"/>
    <x v="0"/>
    <x v="0"/>
  </r>
  <r>
    <x v="1925"/>
    <x v="875"/>
    <x v="1407"/>
    <x v="0"/>
    <x v="14"/>
    <x v="1"/>
    <x v="0"/>
    <x v="7"/>
    <x v="0"/>
    <x v="1781"/>
    <x v="2"/>
    <n v="192.65"/>
    <n v="11.85"/>
    <x v="1795"/>
    <x v="2"/>
    <n v="2025"/>
    <x v="10"/>
    <n v="163.7525"/>
    <n v="0.34283446054258698"/>
    <x v="0"/>
    <x v="0"/>
  </r>
  <r>
    <x v="1926"/>
    <x v="875"/>
    <x v="1490"/>
    <x v="0"/>
    <x v="9"/>
    <x v="3"/>
    <x v="0"/>
    <x v="35"/>
    <x v="1"/>
    <x v="1782"/>
    <x v="3"/>
    <n v="84.85"/>
    <n v="16.899999999999999"/>
    <x v="1796"/>
    <x v="1"/>
    <n v="2025"/>
    <x v="10"/>
    <n v="76.364999999999995"/>
    <n v="0.21082956851960999"/>
    <x v="1"/>
    <x v="0"/>
  </r>
  <r>
    <x v="1927"/>
    <x v="875"/>
    <x v="1491"/>
    <x v="1"/>
    <x v="9"/>
    <x v="3"/>
    <x v="3"/>
    <x v="13"/>
    <x v="3"/>
    <x v="1783"/>
    <x v="0"/>
    <n v="45.56"/>
    <n v="11.16"/>
    <x v="1797"/>
    <x v="1"/>
    <n v="2025"/>
    <x v="10"/>
    <n v="45.56"/>
    <n v="0.25504828797190499"/>
    <x v="1"/>
    <x v="0"/>
  </r>
  <r>
    <x v="1928"/>
    <x v="876"/>
    <x v="651"/>
    <x v="0"/>
    <x v="11"/>
    <x v="2"/>
    <x v="0"/>
    <x v="28"/>
    <x v="7"/>
    <x v="1378"/>
    <x v="4"/>
    <n v="207.4"/>
    <n v="30.16"/>
    <x v="1798"/>
    <x v="2"/>
    <n v="2025"/>
    <x v="10"/>
    <n v="197.03"/>
    <n v="0.29010810536466503"/>
    <x v="0"/>
    <x v="0"/>
  </r>
  <r>
    <x v="1929"/>
    <x v="876"/>
    <x v="898"/>
    <x v="2"/>
    <x v="8"/>
    <x v="1"/>
    <x v="2"/>
    <x v="34"/>
    <x v="3"/>
    <x v="1784"/>
    <x v="3"/>
    <n v="34.450000000000003"/>
    <n v="7.59"/>
    <x v="1051"/>
    <x v="0"/>
    <n v="2025"/>
    <x v="10"/>
    <n v="31.004999999999999"/>
    <n v="0.12546363489759699"/>
    <x v="1"/>
    <x v="0"/>
  </r>
  <r>
    <x v="1930"/>
    <x v="877"/>
    <x v="215"/>
    <x v="1"/>
    <x v="10"/>
    <x v="3"/>
    <x v="1"/>
    <x v="10"/>
    <x v="0"/>
    <x v="1785"/>
    <x v="3"/>
    <n v="11.53"/>
    <n v="13.45"/>
    <x v="1799"/>
    <x v="1"/>
    <n v="2025"/>
    <x v="10"/>
    <n v="10.377000000000001"/>
    <n v="-0.74009829430471197"/>
    <x v="1"/>
    <x v="1"/>
  </r>
  <r>
    <x v="1931"/>
    <x v="877"/>
    <x v="1492"/>
    <x v="1"/>
    <x v="2"/>
    <x v="0"/>
    <x v="1"/>
    <x v="23"/>
    <x v="2"/>
    <x v="1786"/>
    <x v="4"/>
    <n v="18.75"/>
    <n v="8.7200000000000006"/>
    <x v="365"/>
    <x v="2"/>
    <n v="2025"/>
    <x v="10"/>
    <n v="17.8125"/>
    <n v="6.4561403508771903E-2"/>
    <x v="1"/>
    <x v="0"/>
  </r>
  <r>
    <x v="1932"/>
    <x v="877"/>
    <x v="1493"/>
    <x v="1"/>
    <x v="12"/>
    <x v="4"/>
    <x v="1"/>
    <x v="38"/>
    <x v="4"/>
    <x v="1670"/>
    <x v="0"/>
    <n v="63.78"/>
    <n v="17.670000000000002"/>
    <x v="1800"/>
    <x v="1"/>
    <n v="2025"/>
    <x v="10"/>
    <n v="63.78"/>
    <n v="0.27296958294136098"/>
    <x v="1"/>
    <x v="0"/>
  </r>
  <r>
    <x v="1933"/>
    <x v="878"/>
    <x v="1494"/>
    <x v="2"/>
    <x v="19"/>
    <x v="1"/>
    <x v="1"/>
    <x v="17"/>
    <x v="2"/>
    <x v="1787"/>
    <x v="4"/>
    <n v="25.08"/>
    <n v="9.67"/>
    <x v="1801"/>
    <x v="3"/>
    <n v="2025"/>
    <x v="10"/>
    <n v="23.826000000000001"/>
    <n v="0.14815747502728099"/>
    <x v="1"/>
    <x v="0"/>
  </r>
  <r>
    <x v="1934"/>
    <x v="878"/>
    <x v="910"/>
    <x v="1"/>
    <x v="5"/>
    <x v="3"/>
    <x v="0"/>
    <x v="29"/>
    <x v="13"/>
    <x v="1788"/>
    <x v="3"/>
    <n v="367.03"/>
    <n v="38.630000000000003"/>
    <x v="1802"/>
    <x v="0"/>
    <n v="2025"/>
    <x v="10"/>
    <n v="330.327"/>
    <n v="0.31514226811613899"/>
    <x v="0"/>
    <x v="0"/>
  </r>
  <r>
    <x v="1935"/>
    <x v="879"/>
    <x v="1495"/>
    <x v="0"/>
    <x v="1"/>
    <x v="1"/>
    <x v="2"/>
    <x v="32"/>
    <x v="3"/>
    <x v="1789"/>
    <x v="3"/>
    <n v="60.11"/>
    <n v="8.82"/>
    <x v="1803"/>
    <x v="2"/>
    <n v="2025"/>
    <x v="10"/>
    <n v="54.098999999999997"/>
    <n v="0.20739754893805801"/>
    <x v="1"/>
    <x v="0"/>
  </r>
  <r>
    <x v="1936"/>
    <x v="880"/>
    <x v="1496"/>
    <x v="1"/>
    <x v="16"/>
    <x v="3"/>
    <x v="1"/>
    <x v="23"/>
    <x v="3"/>
    <x v="1790"/>
    <x v="2"/>
    <n v="14.55"/>
    <n v="10.37"/>
    <x v="301"/>
    <x v="1"/>
    <n v="2025"/>
    <x v="11"/>
    <n v="12.3675"/>
    <n v="-0.28461693955932899"/>
    <x v="1"/>
    <x v="1"/>
  </r>
  <r>
    <x v="1937"/>
    <x v="880"/>
    <x v="1497"/>
    <x v="1"/>
    <x v="5"/>
    <x v="3"/>
    <x v="2"/>
    <x v="15"/>
    <x v="8"/>
    <x v="1791"/>
    <x v="2"/>
    <n v="1932.8"/>
    <n v="34.81"/>
    <x v="1804"/>
    <x v="1"/>
    <n v="2025"/>
    <x v="11"/>
    <n v="1642.88"/>
    <n v="0.32483200233735898"/>
    <x v="2"/>
    <x v="0"/>
  </r>
  <r>
    <x v="1938"/>
    <x v="881"/>
    <x v="490"/>
    <x v="1"/>
    <x v="0"/>
    <x v="0"/>
    <x v="3"/>
    <x v="13"/>
    <x v="9"/>
    <x v="1792"/>
    <x v="4"/>
    <n v="686.38"/>
    <n v="12.64"/>
    <x v="1805"/>
    <x v="1"/>
    <n v="2025"/>
    <x v="11"/>
    <n v="652.06100000000004"/>
    <n v="0.47923430476596501"/>
    <x v="2"/>
    <x v="0"/>
  </r>
  <r>
    <x v="1939"/>
    <x v="881"/>
    <x v="1498"/>
    <x v="2"/>
    <x v="0"/>
    <x v="0"/>
    <x v="1"/>
    <x v="25"/>
    <x v="0"/>
    <x v="1552"/>
    <x v="3"/>
    <n v="34.32"/>
    <n v="9.81"/>
    <x v="231"/>
    <x v="3"/>
    <n v="2025"/>
    <x v="11"/>
    <n v="30.888000000000002"/>
    <n v="0.23795648795648799"/>
    <x v="1"/>
    <x v="0"/>
  </r>
  <r>
    <x v="1940"/>
    <x v="881"/>
    <x v="907"/>
    <x v="0"/>
    <x v="17"/>
    <x v="3"/>
    <x v="2"/>
    <x v="34"/>
    <x v="1"/>
    <x v="361"/>
    <x v="3"/>
    <n v="123.01"/>
    <n v="18.86"/>
    <x v="1806"/>
    <x v="2"/>
    <n v="2025"/>
    <x v="11"/>
    <n v="110.709"/>
    <n v="0.19998374115925499"/>
    <x v="0"/>
    <x v="0"/>
  </r>
  <r>
    <x v="1941"/>
    <x v="881"/>
    <x v="1499"/>
    <x v="0"/>
    <x v="7"/>
    <x v="4"/>
    <x v="1"/>
    <x v="20"/>
    <x v="2"/>
    <x v="1793"/>
    <x v="3"/>
    <n v="22.39"/>
    <n v="11.74"/>
    <x v="1187"/>
    <x v="2"/>
    <n v="2025"/>
    <x v="11"/>
    <n v="20.151"/>
    <n v="-2.7293930822291701E-2"/>
    <x v="1"/>
    <x v="1"/>
  </r>
  <r>
    <x v="1942"/>
    <x v="882"/>
    <x v="1500"/>
    <x v="2"/>
    <x v="15"/>
    <x v="2"/>
    <x v="2"/>
    <x v="21"/>
    <x v="3"/>
    <x v="1794"/>
    <x v="4"/>
    <n v="39.07"/>
    <n v="13.01"/>
    <x v="1624"/>
    <x v="2"/>
    <n v="2025"/>
    <x v="11"/>
    <n v="37.116500000000002"/>
    <n v="3.7180229816927798E-2"/>
    <x v="1"/>
    <x v="0"/>
  </r>
  <r>
    <x v="1943"/>
    <x v="883"/>
    <x v="884"/>
    <x v="1"/>
    <x v="9"/>
    <x v="3"/>
    <x v="1"/>
    <x v="23"/>
    <x v="7"/>
    <x v="1795"/>
    <x v="0"/>
    <n v="154.80000000000001"/>
    <n v="27.15"/>
    <x v="1807"/>
    <x v="1"/>
    <n v="2025"/>
    <x v="11"/>
    <n v="154.80000000000001"/>
    <n v="0.37461240310077498"/>
    <x v="0"/>
    <x v="0"/>
  </r>
  <r>
    <x v="1944"/>
    <x v="883"/>
    <x v="1501"/>
    <x v="0"/>
    <x v="0"/>
    <x v="0"/>
    <x v="3"/>
    <x v="16"/>
    <x v="2"/>
    <x v="1570"/>
    <x v="0"/>
    <n v="82.38"/>
    <n v="9.35"/>
    <x v="1808"/>
    <x v="1"/>
    <n v="2025"/>
    <x v="11"/>
    <n v="82.38"/>
    <n v="0.38650157805292601"/>
    <x v="1"/>
    <x v="0"/>
  </r>
  <r>
    <x v="1945"/>
    <x v="884"/>
    <x v="1262"/>
    <x v="1"/>
    <x v="9"/>
    <x v="3"/>
    <x v="0"/>
    <x v="0"/>
    <x v="3"/>
    <x v="1796"/>
    <x v="2"/>
    <n v="103.6"/>
    <n v="10.32"/>
    <x v="1809"/>
    <x v="1"/>
    <n v="2025"/>
    <x v="11"/>
    <n v="88.06"/>
    <n v="0.29809220985691598"/>
    <x v="0"/>
    <x v="0"/>
  </r>
  <r>
    <x v="1946"/>
    <x v="884"/>
    <x v="1502"/>
    <x v="1"/>
    <x v="9"/>
    <x v="3"/>
    <x v="0"/>
    <x v="3"/>
    <x v="2"/>
    <x v="1797"/>
    <x v="0"/>
    <n v="96.6"/>
    <n v="10.11"/>
    <x v="1810"/>
    <x v="1"/>
    <n v="2025"/>
    <x v="11"/>
    <n v="96.6"/>
    <n v="0.34534161490683202"/>
    <x v="1"/>
    <x v="0"/>
  </r>
  <r>
    <x v="1947"/>
    <x v="884"/>
    <x v="822"/>
    <x v="0"/>
    <x v="15"/>
    <x v="2"/>
    <x v="2"/>
    <x v="34"/>
    <x v="3"/>
    <x v="1798"/>
    <x v="4"/>
    <n v="38.35"/>
    <n v="12.87"/>
    <x v="1811"/>
    <x v="3"/>
    <n v="2025"/>
    <x v="11"/>
    <n v="36.432499999999997"/>
    <n v="3.45845055925341E-2"/>
    <x v="1"/>
    <x v="0"/>
  </r>
  <r>
    <x v="1948"/>
    <x v="884"/>
    <x v="1503"/>
    <x v="1"/>
    <x v="2"/>
    <x v="0"/>
    <x v="1"/>
    <x v="20"/>
    <x v="3"/>
    <x v="1015"/>
    <x v="3"/>
    <n v="8.9600000000000009"/>
    <n v="5.73"/>
    <x v="873"/>
    <x v="2"/>
    <n v="2025"/>
    <x v="11"/>
    <n v="8.0640000000000001"/>
    <n v="-0.155009920634921"/>
    <x v="1"/>
    <x v="1"/>
  </r>
  <r>
    <x v="1949"/>
    <x v="884"/>
    <x v="1504"/>
    <x v="1"/>
    <x v="5"/>
    <x v="3"/>
    <x v="3"/>
    <x v="30"/>
    <x v="0"/>
    <x v="1799"/>
    <x v="3"/>
    <n v="71.23"/>
    <n v="16.45"/>
    <x v="1812"/>
    <x v="2"/>
    <n v="2025"/>
    <x v="11"/>
    <n v="64.106999999999999"/>
    <n v="0.23725958163695099"/>
    <x v="1"/>
    <x v="0"/>
  </r>
  <r>
    <x v="1950"/>
    <x v="885"/>
    <x v="495"/>
    <x v="1"/>
    <x v="13"/>
    <x v="0"/>
    <x v="3"/>
    <x v="16"/>
    <x v="2"/>
    <x v="1800"/>
    <x v="0"/>
    <n v="93.3"/>
    <n v="7.99"/>
    <x v="849"/>
    <x v="1"/>
    <n v="2025"/>
    <x v="11"/>
    <n v="93.3"/>
    <n v="0.41436227224008598"/>
    <x v="1"/>
    <x v="0"/>
  </r>
  <r>
    <x v="1951"/>
    <x v="885"/>
    <x v="1074"/>
    <x v="1"/>
    <x v="8"/>
    <x v="1"/>
    <x v="3"/>
    <x v="33"/>
    <x v="0"/>
    <x v="1801"/>
    <x v="0"/>
    <n v="86.28"/>
    <n v="14.03"/>
    <x v="1813"/>
    <x v="0"/>
    <n v="2025"/>
    <x v="11"/>
    <n v="86.28"/>
    <n v="0.33738989337042202"/>
    <x v="1"/>
    <x v="0"/>
  </r>
  <r>
    <x v="1952"/>
    <x v="885"/>
    <x v="1505"/>
    <x v="1"/>
    <x v="13"/>
    <x v="0"/>
    <x v="0"/>
    <x v="0"/>
    <x v="1"/>
    <x v="1802"/>
    <x v="1"/>
    <n v="410.43"/>
    <n v="9.52"/>
    <x v="1814"/>
    <x v="0"/>
    <n v="2025"/>
    <x v="11"/>
    <n v="328.34399999999999"/>
    <n v="0.36163292157006099"/>
    <x v="0"/>
    <x v="0"/>
  </r>
  <r>
    <x v="1953"/>
    <x v="885"/>
    <x v="1506"/>
    <x v="2"/>
    <x v="16"/>
    <x v="3"/>
    <x v="1"/>
    <x v="25"/>
    <x v="3"/>
    <x v="1208"/>
    <x v="2"/>
    <n v="9.89"/>
    <n v="10.8"/>
    <x v="1815"/>
    <x v="2"/>
    <n v="2025"/>
    <x v="11"/>
    <n v="8.4064999999999994"/>
    <n v="-0.731576756081604"/>
    <x v="1"/>
    <x v="1"/>
  </r>
  <r>
    <x v="1954"/>
    <x v="886"/>
    <x v="415"/>
    <x v="0"/>
    <x v="4"/>
    <x v="2"/>
    <x v="1"/>
    <x v="12"/>
    <x v="2"/>
    <x v="1803"/>
    <x v="3"/>
    <n v="23.87"/>
    <n v="15.22"/>
    <x v="1816"/>
    <x v="2"/>
    <n v="2025"/>
    <x v="11"/>
    <n v="21.483000000000001"/>
    <n v="-0.152678862356282"/>
    <x v="1"/>
    <x v="1"/>
  </r>
  <r>
    <x v="1955"/>
    <x v="886"/>
    <x v="468"/>
    <x v="0"/>
    <x v="4"/>
    <x v="2"/>
    <x v="2"/>
    <x v="34"/>
    <x v="1"/>
    <x v="1804"/>
    <x v="0"/>
    <n v="225.84"/>
    <n v="20.67"/>
    <x v="1817"/>
    <x v="1"/>
    <n v="2025"/>
    <x v="11"/>
    <n v="225.84"/>
    <n v="0.30849273822175"/>
    <x v="0"/>
    <x v="0"/>
  </r>
  <r>
    <x v="1956"/>
    <x v="887"/>
    <x v="285"/>
    <x v="2"/>
    <x v="0"/>
    <x v="0"/>
    <x v="0"/>
    <x v="1"/>
    <x v="2"/>
    <x v="1805"/>
    <x v="4"/>
    <n v="248.08"/>
    <n v="9.18"/>
    <x v="1818"/>
    <x v="1"/>
    <n v="2025"/>
    <x v="11"/>
    <n v="235.67599999999999"/>
    <n v="0.40424141618153703"/>
    <x v="0"/>
    <x v="0"/>
  </r>
  <r>
    <x v="1957"/>
    <x v="887"/>
    <x v="1389"/>
    <x v="2"/>
    <x v="1"/>
    <x v="1"/>
    <x v="2"/>
    <x v="5"/>
    <x v="6"/>
    <x v="1806"/>
    <x v="4"/>
    <n v="718.07"/>
    <n v="13.14"/>
    <x v="1819"/>
    <x v="0"/>
    <n v="2025"/>
    <x v="11"/>
    <n v="682.16650000000004"/>
    <n v="0.36854638860160999"/>
    <x v="2"/>
    <x v="0"/>
  </r>
  <r>
    <x v="1958"/>
    <x v="887"/>
    <x v="235"/>
    <x v="1"/>
    <x v="1"/>
    <x v="1"/>
    <x v="0"/>
    <x v="29"/>
    <x v="3"/>
    <x v="1807"/>
    <x v="4"/>
    <n v="42.82"/>
    <n v="9.42"/>
    <x v="1820"/>
    <x v="0"/>
    <n v="2025"/>
    <x v="11"/>
    <n v="40.679000000000002"/>
    <n v="0.21165712038152401"/>
    <x v="1"/>
    <x v="0"/>
  </r>
  <r>
    <x v="1959"/>
    <x v="888"/>
    <x v="1507"/>
    <x v="0"/>
    <x v="15"/>
    <x v="2"/>
    <x v="0"/>
    <x v="22"/>
    <x v="3"/>
    <x v="1808"/>
    <x v="6"/>
    <n v="65.290000000000006"/>
    <n v="12.28"/>
    <x v="1821"/>
    <x v="1"/>
    <n v="2025"/>
    <x v="11"/>
    <n v="48.967500000000001"/>
    <n v="0.104763363455353"/>
    <x v="1"/>
    <x v="0"/>
  </r>
  <r>
    <x v="1960"/>
    <x v="888"/>
    <x v="282"/>
    <x v="0"/>
    <x v="18"/>
    <x v="4"/>
    <x v="2"/>
    <x v="5"/>
    <x v="0"/>
    <x v="1809"/>
    <x v="0"/>
    <n v="583.71"/>
    <n v="13.8"/>
    <x v="1822"/>
    <x v="1"/>
    <n v="2025"/>
    <x v="11"/>
    <n v="583.71"/>
    <n v="0.37635127032259202"/>
    <x v="2"/>
    <x v="0"/>
  </r>
  <r>
    <x v="1961"/>
    <x v="889"/>
    <x v="1508"/>
    <x v="2"/>
    <x v="14"/>
    <x v="1"/>
    <x v="2"/>
    <x v="14"/>
    <x v="3"/>
    <x v="1810"/>
    <x v="1"/>
    <n v="332.84"/>
    <n v="8.18"/>
    <x v="1823"/>
    <x v="1"/>
    <n v="2025"/>
    <x v="11"/>
    <n v="266.27199999999999"/>
    <n v="0.28177953370989101"/>
    <x v="0"/>
    <x v="0"/>
  </r>
  <r>
    <x v="1962"/>
    <x v="889"/>
    <x v="1509"/>
    <x v="0"/>
    <x v="2"/>
    <x v="0"/>
    <x v="0"/>
    <x v="31"/>
    <x v="3"/>
    <x v="1811"/>
    <x v="6"/>
    <n v="73.52"/>
    <n v="6.56"/>
    <x v="1824"/>
    <x v="1"/>
    <n v="2025"/>
    <x v="11"/>
    <n v="55.14"/>
    <n v="0.23667029379760601"/>
    <x v="1"/>
    <x v="0"/>
  </r>
  <r>
    <x v="1963"/>
    <x v="890"/>
    <x v="1510"/>
    <x v="1"/>
    <x v="9"/>
    <x v="3"/>
    <x v="2"/>
    <x v="34"/>
    <x v="0"/>
    <x v="566"/>
    <x v="0"/>
    <n v="55.53"/>
    <n v="13.79"/>
    <x v="1825"/>
    <x v="2"/>
    <n v="2025"/>
    <x v="11"/>
    <n v="55.53"/>
    <n v="0.15162974968485499"/>
    <x v="1"/>
    <x v="0"/>
  </r>
  <r>
    <x v="1964"/>
    <x v="891"/>
    <x v="1511"/>
    <x v="1"/>
    <x v="2"/>
    <x v="0"/>
    <x v="1"/>
    <x v="17"/>
    <x v="6"/>
    <x v="1793"/>
    <x v="1"/>
    <n v="69.66"/>
    <n v="16.3"/>
    <x v="1826"/>
    <x v="0"/>
    <n v="2025"/>
    <x v="11"/>
    <n v="55.728000000000002"/>
    <n v="0.254270743611829"/>
    <x v="1"/>
    <x v="0"/>
  </r>
  <r>
    <x v="1965"/>
    <x v="892"/>
    <x v="606"/>
    <x v="1"/>
    <x v="10"/>
    <x v="3"/>
    <x v="1"/>
    <x v="6"/>
    <x v="8"/>
    <x v="1812"/>
    <x v="0"/>
    <n v="141"/>
    <n v="19.91"/>
    <x v="1827"/>
    <x v="0"/>
    <n v="2025"/>
    <x v="11"/>
    <n v="141"/>
    <n v="0.40879432624113499"/>
    <x v="0"/>
    <x v="0"/>
  </r>
  <r>
    <x v="1966"/>
    <x v="892"/>
    <x v="194"/>
    <x v="1"/>
    <x v="15"/>
    <x v="2"/>
    <x v="2"/>
    <x v="39"/>
    <x v="0"/>
    <x v="1813"/>
    <x v="2"/>
    <n v="617.46"/>
    <n v="15.04"/>
    <x v="1828"/>
    <x v="3"/>
    <n v="2025"/>
    <x v="11"/>
    <n v="524.84100000000001"/>
    <n v="0.31737230894689999"/>
    <x v="2"/>
    <x v="0"/>
  </r>
  <r>
    <x v="1967"/>
    <x v="892"/>
    <x v="1512"/>
    <x v="2"/>
    <x v="2"/>
    <x v="0"/>
    <x v="1"/>
    <x v="19"/>
    <x v="3"/>
    <x v="1814"/>
    <x v="0"/>
    <n v="9.32"/>
    <n v="6.23"/>
    <x v="1829"/>
    <x v="0"/>
    <n v="2025"/>
    <x v="11"/>
    <n v="9.32"/>
    <n v="-0.118025751072961"/>
    <x v="1"/>
    <x v="1"/>
  </r>
  <r>
    <x v="1968"/>
    <x v="893"/>
    <x v="1513"/>
    <x v="0"/>
    <x v="14"/>
    <x v="1"/>
    <x v="1"/>
    <x v="10"/>
    <x v="1"/>
    <x v="129"/>
    <x v="3"/>
    <n v="22.64"/>
    <n v="14.16"/>
    <x v="1830"/>
    <x v="1"/>
    <n v="2025"/>
    <x v="11"/>
    <n v="20.376000000000001"/>
    <n v="-0.13937966234786001"/>
    <x v="1"/>
    <x v="1"/>
  </r>
  <r>
    <x v="1969"/>
    <x v="893"/>
    <x v="288"/>
    <x v="1"/>
    <x v="10"/>
    <x v="3"/>
    <x v="1"/>
    <x v="2"/>
    <x v="2"/>
    <x v="1188"/>
    <x v="0"/>
    <n v="29.56"/>
    <n v="12.49"/>
    <x v="1831"/>
    <x v="1"/>
    <n v="2025"/>
    <x v="11"/>
    <n v="29.56"/>
    <n v="0.127537212449256"/>
    <x v="1"/>
    <x v="0"/>
  </r>
  <r>
    <x v="1970"/>
    <x v="893"/>
    <x v="1514"/>
    <x v="0"/>
    <x v="16"/>
    <x v="3"/>
    <x v="2"/>
    <x v="5"/>
    <x v="5"/>
    <x v="1815"/>
    <x v="3"/>
    <n v="827.42"/>
    <n v="14.56"/>
    <x v="1832"/>
    <x v="0"/>
    <n v="2025"/>
    <x v="11"/>
    <n v="744.678"/>
    <n v="0.35082277172146897"/>
    <x v="2"/>
    <x v="0"/>
  </r>
  <r>
    <x v="1971"/>
    <x v="894"/>
    <x v="1515"/>
    <x v="1"/>
    <x v="1"/>
    <x v="1"/>
    <x v="0"/>
    <x v="29"/>
    <x v="3"/>
    <x v="1816"/>
    <x v="0"/>
    <n v="52.93"/>
    <n v="8.1300000000000008"/>
    <x v="1365"/>
    <x v="1"/>
    <n v="2025"/>
    <x v="11"/>
    <n v="52.93"/>
    <n v="0.29642924617419197"/>
    <x v="1"/>
    <x v="0"/>
  </r>
  <r>
    <x v="1972"/>
    <x v="894"/>
    <x v="1516"/>
    <x v="1"/>
    <x v="4"/>
    <x v="2"/>
    <x v="0"/>
    <x v="31"/>
    <x v="5"/>
    <x v="1817"/>
    <x v="0"/>
    <n v="343.95"/>
    <n v="20.77"/>
    <x v="1833"/>
    <x v="0"/>
    <n v="2025"/>
    <x v="11"/>
    <n v="343.95"/>
    <n v="0.38962058438726599"/>
    <x v="0"/>
    <x v="0"/>
  </r>
  <r>
    <x v="1973"/>
    <x v="895"/>
    <x v="1517"/>
    <x v="2"/>
    <x v="0"/>
    <x v="0"/>
    <x v="0"/>
    <x v="28"/>
    <x v="9"/>
    <x v="1294"/>
    <x v="0"/>
    <n v="264.5"/>
    <n v="23.7"/>
    <x v="1834"/>
    <x v="2"/>
    <n v="2025"/>
    <x v="11"/>
    <n v="264.5"/>
    <n v="0.36037807183364801"/>
    <x v="0"/>
    <x v="0"/>
  </r>
  <r>
    <x v="1974"/>
    <x v="896"/>
    <x v="1518"/>
    <x v="0"/>
    <x v="13"/>
    <x v="0"/>
    <x v="3"/>
    <x v="27"/>
    <x v="0"/>
    <x v="1818"/>
    <x v="3"/>
    <n v="147.96"/>
    <n v="10.130000000000001"/>
    <x v="1835"/>
    <x v="3"/>
    <n v="2025"/>
    <x v="11"/>
    <n v="133.16399999999999"/>
    <n v="0.41775554954792599"/>
    <x v="0"/>
    <x v="0"/>
  </r>
  <r>
    <x v="1975"/>
    <x v="896"/>
    <x v="1519"/>
    <x v="1"/>
    <x v="3"/>
    <x v="1"/>
    <x v="2"/>
    <x v="8"/>
    <x v="2"/>
    <x v="1819"/>
    <x v="4"/>
    <n v="88.6"/>
    <n v="11.27"/>
    <x v="1836"/>
    <x v="0"/>
    <n v="2025"/>
    <x v="11"/>
    <n v="84.17"/>
    <n v="0.25389093501247501"/>
    <x v="1"/>
    <x v="0"/>
  </r>
  <r>
    <x v="1976"/>
    <x v="897"/>
    <x v="501"/>
    <x v="2"/>
    <x v="3"/>
    <x v="1"/>
    <x v="0"/>
    <x v="0"/>
    <x v="3"/>
    <x v="1820"/>
    <x v="1"/>
    <n v="178.82"/>
    <n v="8.19"/>
    <x v="1837"/>
    <x v="0"/>
    <n v="2025"/>
    <x v="11"/>
    <n v="143.05600000000001"/>
    <n v="0.33336595459120899"/>
    <x v="0"/>
    <x v="0"/>
  </r>
  <r>
    <x v="1977"/>
    <x v="897"/>
    <x v="1520"/>
    <x v="1"/>
    <x v="2"/>
    <x v="0"/>
    <x v="3"/>
    <x v="9"/>
    <x v="3"/>
    <x v="1821"/>
    <x v="1"/>
    <n v="51.1"/>
    <n v="6.15"/>
    <x v="329"/>
    <x v="2"/>
    <n v="2025"/>
    <x v="11"/>
    <n v="40.880000000000003"/>
    <n v="0.318493150684932"/>
    <x v="1"/>
    <x v="0"/>
  </r>
  <r>
    <x v="1978"/>
    <x v="898"/>
    <x v="589"/>
    <x v="0"/>
    <x v="9"/>
    <x v="3"/>
    <x v="0"/>
    <x v="31"/>
    <x v="2"/>
    <x v="1822"/>
    <x v="2"/>
    <n v="221.66"/>
    <n v="10.61"/>
    <x v="1838"/>
    <x v="2"/>
    <n v="2025"/>
    <x v="11"/>
    <n v="188.411"/>
    <n v="0.35889624278837201"/>
    <x v="0"/>
    <x v="0"/>
  </r>
  <r>
    <x v="1979"/>
    <x v="898"/>
    <x v="1521"/>
    <x v="1"/>
    <x v="6"/>
    <x v="2"/>
    <x v="0"/>
    <x v="22"/>
    <x v="3"/>
    <x v="840"/>
    <x v="0"/>
    <n v="85.33"/>
    <n v="12.49"/>
    <x v="1839"/>
    <x v="0"/>
    <n v="2025"/>
    <x v="11"/>
    <n v="85.33"/>
    <n v="0.30364467362006298"/>
    <x v="1"/>
    <x v="0"/>
  </r>
  <r>
    <x v="1980"/>
    <x v="899"/>
    <x v="1361"/>
    <x v="1"/>
    <x v="19"/>
    <x v="1"/>
    <x v="2"/>
    <x v="32"/>
    <x v="2"/>
    <x v="1823"/>
    <x v="2"/>
    <n v="120.16"/>
    <n v="9.93"/>
    <x v="1840"/>
    <x v="3"/>
    <n v="2025"/>
    <x v="11"/>
    <n v="102.136"/>
    <n v="0.248785932482181"/>
    <x v="0"/>
    <x v="0"/>
  </r>
  <r>
    <x v="1981"/>
    <x v="899"/>
    <x v="1522"/>
    <x v="1"/>
    <x v="19"/>
    <x v="1"/>
    <x v="3"/>
    <x v="13"/>
    <x v="5"/>
    <x v="1824"/>
    <x v="2"/>
    <n v="235.66"/>
    <n v="16.489999999999998"/>
    <x v="1841"/>
    <x v="3"/>
    <n v="2025"/>
    <x v="11"/>
    <n v="200.31100000000001"/>
    <n v="0.40212469609756801"/>
    <x v="0"/>
    <x v="0"/>
  </r>
  <r>
    <x v="1982"/>
    <x v="899"/>
    <x v="1523"/>
    <x v="1"/>
    <x v="13"/>
    <x v="0"/>
    <x v="1"/>
    <x v="25"/>
    <x v="2"/>
    <x v="510"/>
    <x v="2"/>
    <n v="16.059999999999999"/>
    <n v="9.31"/>
    <x v="244"/>
    <x v="2"/>
    <n v="2025"/>
    <x v="11"/>
    <n v="13.651"/>
    <n v="-0.128928283642224"/>
    <x v="1"/>
    <x v="1"/>
  </r>
  <r>
    <x v="1983"/>
    <x v="900"/>
    <x v="1524"/>
    <x v="2"/>
    <x v="17"/>
    <x v="3"/>
    <x v="0"/>
    <x v="1"/>
    <x v="3"/>
    <x v="1825"/>
    <x v="2"/>
    <n v="71.31"/>
    <n v="11.12"/>
    <x v="1842"/>
    <x v="1"/>
    <n v="2025"/>
    <x v="11"/>
    <n v="60.613500000000002"/>
    <n v="0.23163156722512299"/>
    <x v="1"/>
    <x v="0"/>
  </r>
  <r>
    <x v="1984"/>
    <x v="900"/>
    <x v="1525"/>
    <x v="1"/>
    <x v="4"/>
    <x v="2"/>
    <x v="3"/>
    <x v="26"/>
    <x v="1"/>
    <x v="1826"/>
    <x v="0"/>
    <n v="121.12"/>
    <n v="16.89"/>
    <x v="1843"/>
    <x v="1"/>
    <n v="2025"/>
    <x v="11"/>
    <n v="121.12"/>
    <n v="0.36055151915455702"/>
    <x v="0"/>
    <x v="0"/>
  </r>
  <r>
    <x v="1985"/>
    <x v="901"/>
    <x v="916"/>
    <x v="1"/>
    <x v="11"/>
    <x v="2"/>
    <x v="0"/>
    <x v="0"/>
    <x v="3"/>
    <x v="1827"/>
    <x v="2"/>
    <n v="86.16"/>
    <n v="13.18"/>
    <x v="1844"/>
    <x v="2"/>
    <n v="2025"/>
    <x v="11"/>
    <n v="73.236000000000004"/>
    <n v="0.23526680867333"/>
    <x v="1"/>
    <x v="0"/>
  </r>
  <r>
    <x v="1986"/>
    <x v="901"/>
    <x v="1526"/>
    <x v="2"/>
    <x v="16"/>
    <x v="3"/>
    <x v="3"/>
    <x v="11"/>
    <x v="5"/>
    <x v="1828"/>
    <x v="3"/>
    <n v="396.63"/>
    <n v="15.38"/>
    <x v="1845"/>
    <x v="2"/>
    <n v="2025"/>
    <x v="11"/>
    <n v="356.96699999999998"/>
    <n v="0.45074194533388201"/>
    <x v="0"/>
    <x v="0"/>
  </r>
  <r>
    <x v="1987"/>
    <x v="902"/>
    <x v="284"/>
    <x v="2"/>
    <x v="2"/>
    <x v="0"/>
    <x v="1"/>
    <x v="12"/>
    <x v="3"/>
    <x v="256"/>
    <x v="4"/>
    <n v="21.86"/>
    <n v="6.85"/>
    <x v="1846"/>
    <x v="2"/>
    <n v="2025"/>
    <x v="11"/>
    <n v="20.766999999999999"/>
    <n v="0.22439447199884399"/>
    <x v="1"/>
    <x v="0"/>
  </r>
  <r>
    <x v="1988"/>
    <x v="903"/>
    <x v="1527"/>
    <x v="1"/>
    <x v="14"/>
    <x v="1"/>
    <x v="0"/>
    <x v="35"/>
    <x v="3"/>
    <x v="1829"/>
    <x v="2"/>
    <n v="41.13"/>
    <n v="8.9"/>
    <x v="1276"/>
    <x v="1"/>
    <n v="2025"/>
    <x v="11"/>
    <n v="34.960500000000003"/>
    <n v="0.16075284964459899"/>
    <x v="1"/>
    <x v="0"/>
  </r>
  <r>
    <x v="1989"/>
    <x v="903"/>
    <x v="1076"/>
    <x v="1"/>
    <x v="18"/>
    <x v="4"/>
    <x v="3"/>
    <x v="13"/>
    <x v="3"/>
    <x v="1830"/>
    <x v="4"/>
    <n v="73.25"/>
    <n v="12.16"/>
    <x v="490"/>
    <x v="2"/>
    <n v="2025"/>
    <x v="11"/>
    <n v="69.587500000000006"/>
    <n v="0.32390874797916303"/>
    <x v="1"/>
    <x v="0"/>
  </r>
  <r>
    <x v="1990"/>
    <x v="904"/>
    <x v="1528"/>
    <x v="1"/>
    <x v="14"/>
    <x v="1"/>
    <x v="3"/>
    <x v="9"/>
    <x v="6"/>
    <x v="683"/>
    <x v="3"/>
    <n v="388.58"/>
    <n v="24.46"/>
    <x v="1847"/>
    <x v="3"/>
    <n v="2025"/>
    <x v="11"/>
    <n v="349.72199999999998"/>
    <n v="0.42387953860494898"/>
    <x v="0"/>
    <x v="0"/>
  </r>
  <r>
    <x v="1991"/>
    <x v="904"/>
    <x v="451"/>
    <x v="1"/>
    <x v="12"/>
    <x v="4"/>
    <x v="2"/>
    <x v="8"/>
    <x v="2"/>
    <x v="1831"/>
    <x v="1"/>
    <n v="134.62"/>
    <n v="14.99"/>
    <x v="1848"/>
    <x v="2"/>
    <n v="2025"/>
    <x v="11"/>
    <n v="107.696"/>
    <n v="0.17326548804041"/>
    <x v="0"/>
    <x v="0"/>
  </r>
  <r>
    <x v="1992"/>
    <x v="905"/>
    <x v="1529"/>
    <x v="2"/>
    <x v="3"/>
    <x v="1"/>
    <x v="2"/>
    <x v="36"/>
    <x v="5"/>
    <x v="1832"/>
    <x v="4"/>
    <n v="969.81"/>
    <n v="18.46"/>
    <x v="1849"/>
    <x v="2"/>
    <n v="2025"/>
    <x v="11"/>
    <n v="921.31949999999995"/>
    <n v="0.36777686785094599"/>
    <x v="2"/>
    <x v="0"/>
  </r>
  <r>
    <x v="1993"/>
    <x v="905"/>
    <x v="672"/>
    <x v="1"/>
    <x v="10"/>
    <x v="3"/>
    <x v="1"/>
    <x v="23"/>
    <x v="3"/>
    <x v="1833"/>
    <x v="3"/>
    <n v="13.57"/>
    <n v="11.07"/>
    <x v="1850"/>
    <x v="2"/>
    <n v="2025"/>
    <x v="11"/>
    <n v="12.212999999999999"/>
    <n v="-0.35126504544338"/>
    <x v="1"/>
    <x v="1"/>
  </r>
  <r>
    <x v="1994"/>
    <x v="905"/>
    <x v="1530"/>
    <x v="1"/>
    <x v="17"/>
    <x v="3"/>
    <x v="2"/>
    <x v="39"/>
    <x v="3"/>
    <x v="1834"/>
    <x v="3"/>
    <n v="160.11000000000001"/>
    <n v="10.23"/>
    <x v="1851"/>
    <x v="2"/>
    <n v="2025"/>
    <x v="11"/>
    <n v="144.09899999999999"/>
    <n v="0.299377511294318"/>
    <x v="0"/>
    <x v="0"/>
  </r>
  <r>
    <x v="1995"/>
    <x v="906"/>
    <x v="1531"/>
    <x v="1"/>
    <x v="19"/>
    <x v="1"/>
    <x v="2"/>
    <x v="8"/>
    <x v="5"/>
    <x v="1835"/>
    <x v="0"/>
    <n v="523.65"/>
    <n v="19.100000000000001"/>
    <x v="1852"/>
    <x v="2"/>
    <n v="2025"/>
    <x v="11"/>
    <n v="523.65"/>
    <n v="0.36352525541869601"/>
    <x v="2"/>
    <x v="0"/>
  </r>
  <r>
    <x v="1996"/>
    <x v="906"/>
    <x v="1532"/>
    <x v="1"/>
    <x v="19"/>
    <x v="1"/>
    <x v="3"/>
    <x v="27"/>
    <x v="11"/>
    <x v="1836"/>
    <x v="4"/>
    <n v="619.37"/>
    <n v="20.94"/>
    <x v="1853"/>
    <x v="2"/>
    <n v="2025"/>
    <x v="11"/>
    <n v="588.40150000000006"/>
    <n v="0.46301717449734597"/>
    <x v="2"/>
    <x v="0"/>
  </r>
  <r>
    <x v="1997"/>
    <x v="906"/>
    <x v="382"/>
    <x v="1"/>
    <x v="1"/>
    <x v="1"/>
    <x v="0"/>
    <x v="3"/>
    <x v="4"/>
    <x v="1837"/>
    <x v="2"/>
    <n v="162.13"/>
    <n v="15.19"/>
    <x v="750"/>
    <x v="3"/>
    <n v="2025"/>
    <x v="11"/>
    <n v="137.81049999999999"/>
    <n v="0.30498401790864998"/>
    <x v="0"/>
    <x v="0"/>
  </r>
  <r>
    <x v="1998"/>
    <x v="906"/>
    <x v="1068"/>
    <x v="2"/>
    <x v="1"/>
    <x v="1"/>
    <x v="3"/>
    <x v="30"/>
    <x v="5"/>
    <x v="805"/>
    <x v="4"/>
    <n v="45.12"/>
    <n v="14.25"/>
    <x v="1619"/>
    <x v="1"/>
    <n v="2025"/>
    <x v="11"/>
    <n v="42.863999999999997"/>
    <n v="0.16610675625233301"/>
    <x v="1"/>
    <x v="0"/>
  </r>
  <r>
    <x v="1999"/>
    <x v="906"/>
    <x v="1533"/>
    <x v="2"/>
    <x v="16"/>
    <x v="3"/>
    <x v="3"/>
    <x v="30"/>
    <x v="11"/>
    <x v="1838"/>
    <x v="0"/>
    <n v="310.97000000000003"/>
    <n v="36.229999999999997"/>
    <x v="1854"/>
    <x v="1"/>
    <n v="2025"/>
    <x v="11"/>
    <n v="310.97000000000003"/>
    <n v="0.38350966331157299"/>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97D637-2843-4B80-8343-BCFB2D91822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7"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axis="axisRow"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4">
    <i>
      <x/>
    </i>
    <i>
      <x v="1"/>
    </i>
    <i>
      <x v="2"/>
    </i>
    <i t="grand">
      <x/>
    </i>
  </rowItems>
  <colItems count="1">
    <i/>
  </colItems>
  <dataFields count="1">
    <dataField name="Sum of Total_Sales" fld="11" showDataAs="percentOfTotal" baseField="0" baseItem="0" numFmtId="10"/>
  </dataFields>
  <formats count="4">
    <format dxfId="52">
      <pivotArea type="all" dataOnly="0" outline="0" fieldPosition="0"/>
    </format>
    <format dxfId="51">
      <pivotArea dataOnly="0" labelOnly="1" outline="0" axis="axisValues" fieldPosition="0"/>
    </format>
    <format dxfId="50">
      <pivotArea outline="0" collapsedLevelsAreSubtotals="1" fieldPosition="0"/>
    </format>
    <format dxfId="4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07ACF6-0355-4427-923D-BBBC27BDC8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dataField="1" showAll="0"/>
    <pivotField showAll="0"/>
    <pivotField showAll="0"/>
    <pivotField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Quantity" fld="8" baseField="0" baseItem="0"/>
  </dataFields>
  <formats count="3">
    <format dxfId="55">
      <pivotArea type="all" dataOnly="0" outline="0" fieldPosition="0"/>
    </format>
    <format dxfId="54">
      <pivotArea outline="0" collapsedLevelsAreSubtotals="1"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4E750F-9982-421B-BFD3-3880B2F69C3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8"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5">
    <i>
      <x v="1"/>
    </i>
    <i>
      <x v="3"/>
    </i>
    <i>
      <x/>
    </i>
    <i>
      <x v="2"/>
    </i>
    <i t="grand">
      <x/>
    </i>
  </rowItems>
  <colItems count="1">
    <i/>
  </colItems>
  <dataFields count="1">
    <dataField name="Sum of Total_Sales" fld="11" baseField="0" baseItem="0" numFmtId="164"/>
  </dataFields>
  <formats count="3">
    <format dxfId="58">
      <pivotArea type="all" dataOnly="0" outline="0" fieldPosition="0"/>
    </format>
    <format dxfId="57">
      <pivotArea outline="0" collapsedLevelsAreSubtotals="1" fieldPosition="0"/>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D3EDD7-43CA-47F3-A0B6-1BB88A41BF2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showAll="0"/>
    <pivotField dataField="1"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Shipping_Cost" fld="12" baseField="0" baseItem="0" numFmtId="164"/>
  </dataFields>
  <formats count="3">
    <format dxfId="61">
      <pivotArea type="all" dataOnly="0" outline="0" fieldPosition="0"/>
    </format>
    <format dxfId="60">
      <pivotArea outline="0" collapsedLevelsAreSubtotals="1"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AB5F7C-F747-4372-B714-07303C56B0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4">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dataField="1" showAll="0"/>
    <pivotField showAll="0"/>
    <pivotField showAll="0"/>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1" baseField="0" baseItem="0" numFmtId="164"/>
  </dataFields>
  <formats count="3">
    <format dxfId="64">
      <pivotArea type="all" dataOnly="0" outline="0" fieldPosition="0"/>
    </format>
    <format dxfId="63">
      <pivotArea outline="0" collapsedLevelsAreSubtotals="1" fieldPosition="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5F14C9-364F-413E-8BA9-3BFA93BD77E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8"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2"/>
  </rowFields>
  <rowItems count="5">
    <i>
      <x v="1"/>
    </i>
    <i>
      <x v="2"/>
    </i>
    <i>
      <x v="3"/>
    </i>
    <i>
      <x v="4"/>
    </i>
    <i t="grand">
      <x/>
    </i>
  </rowItems>
  <colItems count="1">
    <i/>
  </colItems>
  <dataFields count="1">
    <dataField name="Sum of Total_Sales" fld="11" showDataAs="percentOfTotal" baseField="0" baseItem="0" numFmtId="10"/>
  </dataFields>
  <formats count="3">
    <format dxfId="67">
      <pivotArea type="all" dataOnly="0" outline="0" fieldPosition="0"/>
    </format>
    <format dxfId="66">
      <pivotArea dataOnly="0" labelOnly="1" outline="0" axis="axisValues" fieldPosition="0"/>
    </format>
    <format dxfId="6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F682C8-A14F-443F-8CE1-2783CD3061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7"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axis="axisRow"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dataField="1" showAll="0"/>
    <pivotField showAll="0"/>
    <pivotField showAll="0"/>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1"/>
  </rowFields>
  <rowItems count="4">
    <i>
      <x v="1"/>
    </i>
    <i>
      <x v="2"/>
    </i>
    <i>
      <x v="3"/>
    </i>
    <i t="grand">
      <x/>
    </i>
  </rowItems>
  <colItems count="1">
    <i/>
  </colItems>
  <dataFields count="1">
    <dataField name="Average of Total_Sales" fld="11" subtotal="average" baseField="0" baseItem="0" numFmtId="164"/>
  </dataFields>
  <formats count="3">
    <format dxfId="70">
      <pivotArea type="all" dataOnly="0" outline="0" fieldPosition="0"/>
    </format>
    <format dxfId="69">
      <pivotArea outline="0" collapsedLevelsAreSubtotals="1"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9F4CA8-90A3-4AA5-81E7-DBCCA158BD1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3:AG14"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axis="axisRow" showAll="0" measureFilter="1" sortType="descending">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1">
    <i>
      <x v="28"/>
    </i>
    <i>
      <x v="9"/>
    </i>
    <i>
      <x v="5"/>
    </i>
    <i>
      <x v="18"/>
    </i>
    <i>
      <x v="37"/>
    </i>
    <i>
      <x v="17"/>
    </i>
    <i>
      <x v="10"/>
    </i>
    <i>
      <x v="12"/>
    </i>
    <i>
      <x v="23"/>
    </i>
    <i>
      <x v="2"/>
    </i>
    <i t="grand">
      <x/>
    </i>
  </rowItems>
  <colItems count="1">
    <i/>
  </colItems>
  <dataFields count="1">
    <dataField name="Sum of Total_Sales" fld="11" baseField="0" baseItem="0" numFmtId="164"/>
  </dataFields>
  <formats count="3">
    <format dxfId="73">
      <pivotArea type="all" dataOnly="0" outline="0" fieldPosition="0"/>
    </format>
    <format dxfId="72">
      <pivotArea outline="0" collapsedLevelsAreSubtotals="1" fieldPosition="0"/>
    </format>
    <format dxfId="71">
      <pivotArea dataOnly="0" labelOnly="1" outline="0" axis="axisValues" fieldPosition="0"/>
    </format>
  </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350D74-06EE-40AB-9FAB-6BFC43D23D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4">
    <pivotField dataField="1"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_ID" fld="0" subtotal="count" baseField="0" baseItem="0"/>
  </dataFields>
  <formats count="3">
    <format dxfId="76">
      <pivotArea type="all" dataOnly="0" outline="0" fieldPosition="0"/>
    </format>
    <format dxfId="75">
      <pivotArea dataOnly="0" labelOnly="1" outline="0" axis="axisValues" fieldPosition="0"/>
    </format>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DEBEC1-02D9-4B19-8ADD-A8E93DCD901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3:AD6" firstHeaderRow="1" firstDataRow="1" firstDataCol="1"/>
  <pivotFields count="24">
    <pivotField dataField="1"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axis="axisRow"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3">
    <i>
      <x/>
    </i>
    <i>
      <x v="1"/>
    </i>
    <i t="grand">
      <x/>
    </i>
  </rowItems>
  <colItems count="1">
    <i/>
  </colItems>
  <dataFields count="1">
    <dataField name="Count of Order_ID" fld="0" subtotal="count" baseField="0" baseItem="0"/>
  </dataFields>
  <formats count="3">
    <format dxfId="79">
      <pivotArea type="all" dataOnly="0" outline="0" fieldPosition="0"/>
    </format>
    <format dxfId="78">
      <pivotArea outline="0" collapsedLevelsAreSubtotals="1"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02E3BD-7A2A-493B-B004-7DE436FEAF99}"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3:N9"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axis="axisRow" showAll="0" sortType="descending">
      <items count="6">
        <item x="3"/>
        <item x="1"/>
        <item x="2"/>
        <item x="0"/>
        <item x="4"/>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showAll="0"/>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5"/>
  </rowFields>
  <rowItems count="6">
    <i>
      <x v="1"/>
    </i>
    <i>
      <x v="3"/>
    </i>
    <i>
      <x/>
    </i>
    <i>
      <x v="2"/>
    </i>
    <i>
      <x v="4"/>
    </i>
    <i t="grand">
      <x/>
    </i>
  </rowItems>
  <colItems count="1">
    <i/>
  </colItems>
  <dataFields count="1">
    <dataField name="Sum of Total_Sales" fld="11" baseField="0" baseItem="0"/>
  </dataFields>
  <formats count="3">
    <format dxfId="82">
      <pivotArea type="all" dataOnly="0" outline="0" fieldPosition="0"/>
    </format>
    <format dxfId="81">
      <pivotArea dataOnly="0" labelOnly="1" outline="0" axis="axisValues" fieldPosition="0"/>
    </format>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406889-72AF-4C00-A123-9D875F451B3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A4" firstHeaderRow="1" firstDataRow="1" firstDataCol="0"/>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Average of Total_Sales" fld="11" subtotal="average" baseField="0" baseItem="0" numFmtId="164"/>
  </dataFields>
  <formats count="3">
    <format dxfId="85">
      <pivotArea type="all" dataOnly="0" outline="0" fieldPosition="0"/>
    </format>
    <format dxfId="84">
      <pivotArea outline="0" collapsedLevelsAreSubtotals="1" fieldPosition="0"/>
    </format>
    <format dxfId="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ED387E-DDE5-4682-8379-7DA15093F05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M4:N9"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5">
    <i>
      <x v="2"/>
    </i>
    <i>
      <x v="3"/>
    </i>
    <i>
      <x v="1"/>
    </i>
    <i>
      <x/>
    </i>
    <i t="grand">
      <x/>
    </i>
  </rowItems>
  <colItems count="1">
    <i/>
  </colItems>
  <dataFields count="1">
    <dataField name="Sum of Total_Sales" fld="11" baseField="0" baseItem="0"/>
  </dataFields>
  <formats count="3">
    <format dxfId="12">
      <pivotArea type="all" dataOnly="0" outline="0" fieldPosition="0"/>
    </format>
    <format dxfId="11">
      <pivotArea outline="0" collapsedLevelsAreSubtotals="1" fieldPosition="0"/>
    </format>
    <format dxfId="10">
      <pivotArea dataOnly="0" labelOnly="1" outline="0" axis="axisValues" fieldPosition="0"/>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4" count="1" selected="0">
            <x v="2"/>
          </reference>
        </references>
      </pivotArea>
    </chartFormat>
    <chartFormat chart="5" format="2">
      <pivotArea type="data" outline="0" fieldPosition="0">
        <references count="2">
          <reference field="4294967294" count="1" selected="0">
            <x v="0"/>
          </reference>
          <reference field="14" count="1" selected="0">
            <x v="3"/>
          </reference>
        </references>
      </pivotArea>
    </chartFormat>
    <chartFormat chart="5" format="3">
      <pivotArea type="data" outline="0" fieldPosition="0">
        <references count="2">
          <reference field="4294967294" count="1" selected="0">
            <x v="0"/>
          </reference>
          <reference field="14" count="1" selected="0">
            <x v="1"/>
          </reference>
        </references>
      </pivotArea>
    </chartFormat>
    <chartFormat chart="5" format="4">
      <pivotArea type="data" outline="0" fieldPosition="0">
        <references count="2">
          <reference field="4294967294" count="1" selected="0">
            <x v="0"/>
          </reference>
          <reference field="1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4" count="1" selected="0">
            <x v="2"/>
          </reference>
        </references>
      </pivotArea>
    </chartFormat>
    <chartFormat chart="8" format="12">
      <pivotArea type="data" outline="0" fieldPosition="0">
        <references count="2">
          <reference field="4294967294" count="1" selected="0">
            <x v="0"/>
          </reference>
          <reference field="14" count="1" selected="0">
            <x v="3"/>
          </reference>
        </references>
      </pivotArea>
    </chartFormat>
    <chartFormat chart="8" format="13">
      <pivotArea type="data" outline="0" fieldPosition="0">
        <references count="2">
          <reference field="4294967294" count="1" selected="0">
            <x v="0"/>
          </reference>
          <reference field="14" count="1" selected="0">
            <x v="1"/>
          </reference>
        </references>
      </pivotArea>
    </chartFormat>
    <chartFormat chart="8" format="14">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B0052FA-60A6-4F12-BEB9-A2C6BAB1667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3:B15"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axis="axisRow"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2">
    <i>
      <x/>
    </i>
    <i>
      <x v="1"/>
    </i>
    <i>
      <x v="2"/>
    </i>
    <i>
      <x v="3"/>
    </i>
    <i>
      <x v="4"/>
    </i>
    <i>
      <x v="6"/>
    </i>
    <i>
      <x v="7"/>
    </i>
    <i>
      <x v="8"/>
    </i>
    <i>
      <x v="9"/>
    </i>
    <i>
      <x v="10"/>
    </i>
    <i>
      <x v="11"/>
    </i>
    <i t="grand">
      <x/>
    </i>
  </rowItems>
  <colItems count="1">
    <i/>
  </colItems>
  <dataFields count="1">
    <dataField name="Sum of Total_Sales" fld="11" baseField="0" baseItem="0"/>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BE1F7CB-B195-4336-95E1-803E1D2734A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AI4:AJ9" firstHeaderRow="1" firstDataRow="1" firstDataCol="1"/>
  <pivotFields count="24">
    <pivotField dataField="1"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4"/>
        <item x="0"/>
        <item x="2"/>
        <item x="1"/>
        <item x="3"/>
        <item t="default"/>
      </items>
    </pivotField>
    <pivotField showAll="0">
      <items count="5">
        <item x="3"/>
        <item x="2"/>
        <item x="1"/>
        <item x="0"/>
        <item t="default"/>
      </items>
    </pivotField>
    <pivotField showAll="0"/>
    <pivotField showAll="0"/>
    <pivotField showAll="0"/>
    <pivotField showAll="0"/>
    <pivotField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5">
    <i>
      <x v="2"/>
    </i>
    <i>
      <x v="3"/>
    </i>
    <i>
      <x/>
    </i>
    <i>
      <x v="1"/>
    </i>
    <i t="grand">
      <x/>
    </i>
  </rowItems>
  <colItems count="1">
    <i/>
  </colItems>
  <dataFields count="1">
    <dataField name="Count of Order_ID" fld="0" subtotal="count" baseField="0" baseItem="0"/>
  </dataFields>
  <formats count="3">
    <format dxfId="18">
      <pivotArea type="all" dataOnly="0" outline="0" fieldPosition="0"/>
    </format>
    <format dxfId="17">
      <pivotArea outline="0" collapsedLevelsAreSubtotals="1" fieldPosition="0"/>
    </format>
    <format dxfId="16">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D1FD845-45DC-4DB4-87E9-FE8C4B9C740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H20:AI24"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pivotField>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4">
    <i>
      <x v="1"/>
    </i>
    <i>
      <x v="2"/>
    </i>
    <i>
      <x v="3"/>
    </i>
    <i t="grand">
      <x/>
    </i>
  </rowItems>
  <colItems count="1">
    <i/>
  </colItems>
  <dataFields count="1">
    <dataField name="Sum of Total_Sales" fld="11" baseField="0" baseItem="0"/>
  </dataFields>
  <formats count="3">
    <format dxfId="21">
      <pivotArea type="all" dataOnly="0" outline="0" fieldPosition="0"/>
    </format>
    <format dxfId="20">
      <pivotArea outline="0" collapsedLevelsAreSubtotals="1" fieldPosition="0"/>
    </format>
    <format dxfId="19">
      <pivotArea dataOnly="0" labelOnly="1" outline="0" axis="axisValues" fieldPosition="0"/>
    </format>
  </formats>
  <chartFormats count="4">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23" count="1" selected="0">
            <x v="1"/>
          </reference>
        </references>
      </pivotArea>
    </chartFormat>
    <chartFormat chart="12" format="2">
      <pivotArea type="data" outline="0" fieldPosition="0">
        <references count="2">
          <reference field="4294967294" count="1" selected="0">
            <x v="0"/>
          </reference>
          <reference field="23" count="1" selected="0">
            <x v="2"/>
          </reference>
        </references>
      </pivotArea>
    </chartFormat>
    <chartFormat chart="12" format="3">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CA3E857-1693-48CC-96C8-DEA89919C290}"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U39:V45"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axis="axisRow" showAll="0" sortType="descending">
      <items count="6">
        <item x="3"/>
        <item x="1"/>
        <item x="2"/>
        <item x="0"/>
        <item x="4"/>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showAll="0">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pivotField>
    <pivotField showAll="0"/>
    <pivotField showAll="0"/>
    <pivotField showAll="0"/>
    <pivotField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dataField="1"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5"/>
  </rowFields>
  <rowItems count="6">
    <i>
      <x v="1"/>
    </i>
    <i>
      <x v="3"/>
    </i>
    <i>
      <x/>
    </i>
    <i>
      <x v="2"/>
    </i>
    <i>
      <x v="4"/>
    </i>
    <i t="grand">
      <x/>
    </i>
  </rowItems>
  <colItems count="1">
    <i/>
  </colItems>
  <dataFields count="1">
    <dataField name="Sum of net_sales" fld="17" baseField="0" baseItem="0"/>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chartFormats count="12">
    <chartFormat chart="10" format="0"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5" count="1" selected="0">
            <x v="1"/>
          </reference>
        </references>
      </pivotArea>
    </chartFormat>
    <chartFormat chart="16" format="12">
      <pivotArea type="data" outline="0" fieldPosition="0">
        <references count="2">
          <reference field="4294967294" count="1" selected="0">
            <x v="0"/>
          </reference>
          <reference field="5" count="1" selected="0">
            <x v="3"/>
          </reference>
        </references>
      </pivotArea>
    </chartFormat>
    <chartFormat chart="16" format="13">
      <pivotArea type="data" outline="0" fieldPosition="0">
        <references count="2">
          <reference field="4294967294" count="1" selected="0">
            <x v="0"/>
          </reference>
          <reference field="5" count="1" selected="0">
            <x v="0"/>
          </reference>
        </references>
      </pivotArea>
    </chartFormat>
    <chartFormat chart="16" format="14">
      <pivotArea type="data" outline="0" fieldPosition="0">
        <references count="2">
          <reference field="4294967294" count="1" selected="0">
            <x v="0"/>
          </reference>
          <reference field="5" count="1" selected="0">
            <x v="2"/>
          </reference>
        </references>
      </pivotArea>
    </chartFormat>
    <chartFormat chart="16" format="15">
      <pivotArea type="data" outline="0" fieldPosition="0">
        <references count="2">
          <reference field="4294967294" count="1" selected="0">
            <x v="0"/>
          </reference>
          <reference field="5" count="1" selected="0">
            <x v="4"/>
          </reference>
        </references>
      </pivotArea>
    </chartFormat>
    <chartFormat chart="10" format="4">
      <pivotArea type="data" outline="0" fieldPosition="0">
        <references count="2">
          <reference field="4294967294" count="1" selected="0">
            <x v="0"/>
          </reference>
          <reference field="5" count="1" selected="0">
            <x v="1"/>
          </reference>
        </references>
      </pivotArea>
    </chartFormat>
    <chartFormat chart="10" format="5">
      <pivotArea type="data" outline="0" fieldPosition="0">
        <references count="2">
          <reference field="4294967294" count="1" selected="0">
            <x v="0"/>
          </reference>
          <reference field="5" count="1" selected="0">
            <x v="3"/>
          </reference>
        </references>
      </pivotArea>
    </chartFormat>
    <chartFormat chart="10" format="6">
      <pivotArea type="data" outline="0" fieldPosition="0">
        <references count="2">
          <reference field="4294967294" count="1" selected="0">
            <x v="0"/>
          </reference>
          <reference field="5" count="1" selected="0">
            <x v="0"/>
          </reference>
        </references>
      </pivotArea>
    </chartFormat>
    <chartFormat chart="10" format="7">
      <pivotArea type="data" outline="0" fieldPosition="0">
        <references count="2">
          <reference field="4294967294" count="1" selected="0">
            <x v="0"/>
          </reference>
          <reference field="5" count="1" selected="0">
            <x v="2"/>
          </reference>
        </references>
      </pivotArea>
    </chartFormat>
    <chartFormat chart="10" format="8">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4A6608F-FD10-465D-9992-49519B7A674A}"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Q19:AR24"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pivotField>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5">
    <i>
      <x v="1"/>
    </i>
    <i>
      <x v="3"/>
    </i>
    <i>
      <x/>
    </i>
    <i>
      <x v="2"/>
    </i>
    <i t="grand">
      <x/>
    </i>
  </rowItems>
  <colItems count="1">
    <i/>
  </colItems>
  <dataFields count="1">
    <dataField name="Sum of Total_Sales" fld="11" baseField="0" baseItem="0"/>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A350FBB-846A-4921-B07D-651CEF9459FF}"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9:B60"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axis="axisRow"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pivotField>
    <pivotField dataField="1" showAll="0">
      <items count="16">
        <item x="3"/>
        <item x="2"/>
        <item x="0"/>
        <item x="1"/>
        <item x="5"/>
        <item x="4"/>
        <item x="6"/>
        <item x="7"/>
        <item x="10"/>
        <item x="9"/>
        <item x="11"/>
        <item x="8"/>
        <item x="13"/>
        <item x="14"/>
        <item x="12"/>
        <item t="default"/>
      </items>
    </pivotField>
    <pivotField showAll="0"/>
    <pivotField showAll="0"/>
    <pivotField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Quantity" fld="8" baseField="0" baseItem="0"/>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A8F001B-5AD2-49E7-B49E-4EA9DC0DB0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J25:BL42" firstHeaderRow="1" firstDataRow="1" firstDataCol="0"/>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pivotField>
    <pivotField showAll="0"/>
    <pivotField showAll="0"/>
    <pivotField showAll="0"/>
    <pivotField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formats count="3">
    <format dxfId="33">
      <pivotArea type="all" dataOnly="0" outline="0" fieldPosition="0"/>
    </format>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7460371-4FA1-41F4-86AE-49281A23A0A4}"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1">
  <location ref="L39:M51"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pivotField>
    <pivotField showAll="0">
      <items count="16">
        <item x="3"/>
        <item x="2"/>
        <item x="0"/>
        <item x="1"/>
        <item x="5"/>
        <item x="4"/>
        <item x="6"/>
        <item x="7"/>
        <item x="10"/>
        <item x="9"/>
        <item x="11"/>
        <item x="8"/>
        <item x="13"/>
        <item x="14"/>
        <item x="12"/>
        <item t="default"/>
      </items>
    </pivotField>
    <pivotField dataField="1" showAll="0"/>
    <pivotField showAll="0"/>
    <pivotField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axis="axisRow"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2">
    <i>
      <x/>
    </i>
    <i>
      <x v="1"/>
    </i>
    <i>
      <x v="2"/>
    </i>
    <i>
      <x v="3"/>
    </i>
    <i>
      <x v="4"/>
    </i>
    <i>
      <x v="6"/>
    </i>
    <i>
      <x v="7"/>
    </i>
    <i>
      <x v="8"/>
    </i>
    <i>
      <x v="9"/>
    </i>
    <i>
      <x v="10"/>
    </i>
    <i>
      <x v="11"/>
    </i>
    <i t="grand">
      <x/>
    </i>
  </rowItems>
  <colItems count="1">
    <i/>
  </colItems>
  <dataFields count="1">
    <dataField name="Count of Unit_Price" fld="9" subtotal="count" baseField="0" baseItem="0"/>
  </dataFields>
  <formats count="3">
    <format dxfId="36">
      <pivotArea type="all" dataOnly="0" outline="0" fieldPosition="0"/>
    </format>
    <format dxfId="35">
      <pivotArea outline="0" collapsedLevelsAreSubtotals="1" fieldPosition="0"/>
    </format>
    <format dxfId="34">
      <pivotArea dataOnly="0" labelOnly="1" outline="0" axis="axisValues" fieldPosition="0"/>
    </format>
  </formats>
  <chartFormats count="3">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AEB1C2A-C922-4FBF-A59E-95B413E0899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Y21:Z25"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dataField="1" showAll="0">
      <items count="5">
        <item x="3"/>
        <item x="2"/>
        <item x="1"/>
        <item x="0"/>
        <item t="default"/>
      </items>
    </pivotField>
    <pivotField showAll="0">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pivotField>
    <pivotField showAll="0"/>
    <pivotField showAll="0"/>
    <pivotField showAll="0"/>
    <pivotField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4">
    <i>
      <x v="1"/>
    </i>
    <i>
      <x v="2"/>
    </i>
    <i>
      <x/>
    </i>
    <i t="grand">
      <x/>
    </i>
  </rowItems>
  <colItems count="1">
    <i/>
  </colItems>
  <dataFields count="1">
    <dataField name="Count of Product_Category" fld="6" subtotal="count" baseField="0" baseItem="0"/>
  </dataFields>
  <formats count="3">
    <format dxfId="39">
      <pivotArea type="all" dataOnly="0" outline="0" fieldPosition="0"/>
    </format>
    <format dxfId="38">
      <pivotArea outline="0" collapsedLevelsAreSubtotals="1" fieldPosition="0"/>
    </format>
    <format dxfId="37">
      <pivotArea dataOnly="0" labelOnly="1" outline="0" axis="axisValues" fieldPosition="0"/>
    </format>
  </formats>
  <chartFormats count="2">
    <chartFormat chart="1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BC5E3C6-8808-4428-89A5-B8C1CF1B384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21:B32"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axis="axisRow" showAll="0" measureFilter="1" sortType="descending">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1">
    <i>
      <x v="28"/>
    </i>
    <i>
      <x v="9"/>
    </i>
    <i>
      <x v="5"/>
    </i>
    <i>
      <x v="18"/>
    </i>
    <i>
      <x v="37"/>
    </i>
    <i>
      <x v="17"/>
    </i>
    <i>
      <x v="10"/>
    </i>
    <i>
      <x v="12"/>
    </i>
    <i>
      <x v="23"/>
    </i>
    <i>
      <x v="2"/>
    </i>
    <i t="grand">
      <x/>
    </i>
  </rowItems>
  <colItems count="1">
    <i/>
  </colItems>
  <dataFields count="1">
    <dataField name="Sum of Total_Sales" fld="11" baseField="0" baseItem="0"/>
  </dataFields>
  <formats count="3">
    <format dxfId="42">
      <pivotArea type="all" dataOnly="0" outline="0" fieldPosition="0"/>
    </format>
    <format dxfId="41">
      <pivotArea outline="0" collapsedLevelsAreSubtotals="1" fieldPosition="0"/>
    </format>
    <format dxfId="4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A0FC0B9-4680-4F52-81FB-4EE3B2DE5D6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R21:S25"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axis="axisRow"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items count="6">
        <item x="3"/>
        <item x="1"/>
        <item x="2"/>
        <item x="0"/>
        <item x="4"/>
        <item t="default"/>
      </items>
    </pivotField>
    <pivotField showAll="0">
      <items count="5">
        <item x="3"/>
        <item x="2"/>
        <item x="1"/>
        <item x="0"/>
        <item t="default"/>
      </items>
    </pivotField>
    <pivotField showAll="0">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pivotField>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items count="5">
        <item x="3"/>
        <item x="0"/>
        <item x="1"/>
        <item x="2"/>
        <item t="default"/>
      </items>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4">
    <i>
      <x/>
    </i>
    <i>
      <x v="1"/>
    </i>
    <i>
      <x v="2"/>
    </i>
    <i t="grand">
      <x/>
    </i>
  </rowItems>
  <colItems count="1">
    <i/>
  </colItems>
  <dataFields count="1">
    <dataField name="Sum of Total_Sales" fld="11" baseField="0" baseItem="0"/>
  </dataFields>
  <formats count="3">
    <format dxfId="45">
      <pivotArea type="all" dataOnly="0" outline="0" fieldPosition="0"/>
    </format>
    <format dxfId="44">
      <pivotArea outline="0" collapsedLevelsAreSubtotals="1" fieldPosition="0"/>
    </format>
    <format dxfId="43">
      <pivotArea dataOnly="0" labelOnly="1" outline="0" axis="axisValues" fieldPosition="0"/>
    </format>
  </format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 count="1" selected="0">
            <x v="0"/>
          </reference>
        </references>
      </pivotArea>
    </chartFormat>
    <chartFormat chart="12" format="10">
      <pivotArea type="data" outline="0" fieldPosition="0">
        <references count="2">
          <reference field="4294967294" count="1" selected="0">
            <x v="0"/>
          </reference>
          <reference field="3" count="1" selected="0">
            <x v="1"/>
          </reference>
        </references>
      </pivotArea>
    </chartFormat>
    <chartFormat chart="12"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9C6E1BD-E3FE-4A8A-BAAE-770B0DBE2DC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X4:Y10" firstHeaderRow="1" firstDataRow="1" firstDataCol="1"/>
  <pivotFields count="24">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showAll="0"/>
    <pivotField showAll="0"/>
    <pivotField showAll="0"/>
    <pivotField showAll="0"/>
    <pivotField dataField="1" showAll="0"/>
    <pivotField showAll="0"/>
    <pivotField showAll="0">
      <items count="1856">
        <item x="311"/>
        <item x="1135"/>
        <item x="1324"/>
        <item x="53"/>
        <item x="1461"/>
        <item x="1285"/>
        <item x="201"/>
        <item x="175"/>
        <item x="489"/>
        <item x="630"/>
        <item x="810"/>
        <item x="1406"/>
        <item x="582"/>
        <item x="1272"/>
        <item x="410"/>
        <item x="341"/>
        <item x="1019"/>
        <item x="1081"/>
        <item x="1799"/>
        <item x="854"/>
        <item x="397"/>
        <item x="1609"/>
        <item x="426"/>
        <item x="1412"/>
        <item x="607"/>
        <item x="247"/>
        <item x="616"/>
        <item x="1791"/>
        <item x="765"/>
        <item x="57"/>
        <item x="1707"/>
        <item x="1224"/>
        <item x="343"/>
        <item x="752"/>
        <item x="513"/>
        <item x="1106"/>
        <item x="427"/>
        <item x="1057"/>
        <item x="1472"/>
        <item x="109"/>
        <item x="1815"/>
        <item x="820"/>
        <item x="315"/>
        <item x="62"/>
        <item x="1138"/>
        <item x="773"/>
        <item x="168"/>
        <item x="683"/>
        <item x="538"/>
        <item x="20"/>
        <item x="1600"/>
        <item x="971"/>
        <item x="1513"/>
        <item x="272"/>
        <item x="1517"/>
        <item x="562"/>
        <item x="919"/>
        <item x="222"/>
        <item x="686"/>
        <item x="1478"/>
        <item x="1536"/>
        <item x="751"/>
        <item x="540"/>
        <item x="460"/>
        <item x="1732"/>
        <item x="254"/>
        <item x="723"/>
        <item x="1401"/>
        <item x="734"/>
        <item x="400"/>
        <item x="346"/>
        <item x="674"/>
        <item x="321"/>
        <item x="851"/>
        <item x="208"/>
        <item x="1026"/>
        <item x="949"/>
        <item x="31"/>
        <item x="933"/>
        <item x="548"/>
        <item x="1773"/>
        <item x="997"/>
        <item x="847"/>
        <item x="1789"/>
        <item x="832"/>
        <item x="876"/>
        <item x="1250"/>
        <item x="1850"/>
        <item x="899"/>
        <item x="1239"/>
        <item x="936"/>
        <item x="243"/>
        <item x="46"/>
        <item x="438"/>
        <item x="1260"/>
        <item x="92"/>
        <item x="634"/>
        <item x="258"/>
        <item x="1793"/>
        <item x="196"/>
        <item x="1488"/>
        <item x="1464"/>
        <item x="23"/>
        <item x="1763"/>
        <item x="1175"/>
        <item x="1062"/>
        <item x="1527"/>
        <item x="146"/>
        <item x="1561"/>
        <item x="1669"/>
        <item x="345"/>
        <item x="1525"/>
        <item x="1492"/>
        <item x="1718"/>
        <item x="811"/>
        <item x="303"/>
        <item x="301"/>
        <item x="1231"/>
        <item x="581"/>
        <item x="1816"/>
        <item x="1719"/>
        <item x="1233"/>
        <item x="492"/>
        <item x="904"/>
        <item x="1343"/>
        <item x="338"/>
        <item x="704"/>
        <item x="610"/>
        <item x="1199"/>
        <item x="1515"/>
        <item x="1736"/>
        <item x="1633"/>
        <item x="390"/>
        <item x="207"/>
        <item x="800"/>
        <item x="1644"/>
        <item x="1830"/>
        <item x="569"/>
        <item x="423"/>
        <item x="1592"/>
        <item x="1131"/>
        <item x="1721"/>
        <item x="286"/>
        <item x="307"/>
        <item x="1210"/>
        <item x="1076"/>
        <item x="535"/>
        <item x="595"/>
        <item x="278"/>
        <item x="574"/>
        <item x="80"/>
        <item x="359"/>
        <item x="452"/>
        <item x="956"/>
        <item x="1325"/>
        <item x="293"/>
        <item x="432"/>
        <item x="1190"/>
        <item x="845"/>
        <item x="164"/>
        <item x="701"/>
        <item x="1162"/>
        <item x="812"/>
        <item x="1686"/>
        <item x="11"/>
        <item x="1314"/>
        <item x="1483"/>
        <item x="118"/>
        <item x="573"/>
        <item x="404"/>
        <item x="135"/>
        <item x="706"/>
        <item x="351"/>
        <item x="807"/>
        <item x="1326"/>
        <item x="669"/>
        <item x="1133"/>
        <item x="578"/>
        <item x="244"/>
        <item x="1189"/>
        <item x="748"/>
        <item x="389"/>
        <item x="1136"/>
        <item x="759"/>
        <item x="415"/>
        <item x="735"/>
        <item x="430"/>
        <item x="1010"/>
        <item x="1462"/>
        <item x="347"/>
        <item x="100"/>
        <item x="1777"/>
        <item x="602"/>
        <item x="1334"/>
        <item x="873"/>
        <item x="719"/>
        <item x="1275"/>
        <item x="102"/>
        <item x="1829"/>
        <item x="116"/>
        <item x="662"/>
        <item x="250"/>
        <item x="1415"/>
        <item x="1502"/>
        <item x="614"/>
        <item x="1627"/>
        <item x="1532"/>
        <item x="1493"/>
        <item x="32"/>
        <item x="767"/>
        <item x="127"/>
        <item x="806"/>
        <item x="950"/>
        <item x="772"/>
        <item x="1204"/>
        <item x="1187"/>
        <item x="376"/>
        <item x="753"/>
        <item x="1658"/>
        <item x="1556"/>
        <item x="649"/>
        <item x="797"/>
        <item x="14"/>
        <item x="69"/>
        <item x="1255"/>
        <item x="1080"/>
        <item x="1197"/>
        <item x="131"/>
        <item x="509"/>
        <item x="965"/>
        <item x="650"/>
        <item x="1413"/>
        <item x="288"/>
        <item x="678"/>
        <item x="364"/>
        <item x="1368"/>
        <item x="739"/>
        <item x="1476"/>
        <item x="1140"/>
        <item x="1347"/>
        <item x="256"/>
        <item x="877"/>
        <item x="557"/>
        <item x="1541"/>
        <item x="104"/>
        <item x="890"/>
        <item x="1503"/>
        <item x="673"/>
        <item x="107"/>
        <item x="205"/>
        <item x="37"/>
        <item x="781"/>
        <item x="510"/>
        <item x="1414"/>
        <item x="738"/>
        <item x="1781"/>
        <item x="995"/>
        <item x="161"/>
        <item x="1480"/>
        <item x="681"/>
        <item x="246"/>
        <item x="1087"/>
        <item x="611"/>
        <item x="395"/>
        <item x="1384"/>
        <item x="948"/>
        <item x="1033"/>
        <item x="373"/>
        <item x="504"/>
        <item x="1044"/>
        <item x="840"/>
        <item x="365"/>
        <item x="378"/>
        <item x="1811"/>
        <item x="1222"/>
        <item x="1130"/>
        <item x="1624"/>
        <item x="857"/>
        <item x="1352"/>
        <item x="202"/>
        <item x="722"/>
        <item x="414"/>
        <item x="624"/>
        <item x="429"/>
        <item x="1288"/>
        <item x="861"/>
        <item x="374"/>
        <item x="944"/>
        <item x="566"/>
        <item x="1593"/>
        <item x="542"/>
        <item x="1547"/>
        <item x="249"/>
        <item x="1500"/>
        <item x="1423"/>
        <item x="1647"/>
        <item x="445"/>
        <item x="413"/>
        <item x="588"/>
        <item x="333"/>
        <item x="239"/>
        <item x="1535"/>
        <item x="1511"/>
        <item x="646"/>
        <item x="493"/>
        <item x="1209"/>
        <item x="786"/>
        <item x="269"/>
        <item x="1132"/>
        <item x="97"/>
        <item x="558"/>
        <item x="836"/>
        <item x="1001"/>
        <item x="1065"/>
        <item x="412"/>
        <item x="1746"/>
        <item x="884"/>
        <item x="1601"/>
        <item x="1331"/>
        <item x="782"/>
        <item x="1128"/>
        <item x="1122"/>
        <item x="975"/>
        <item x="1477"/>
        <item x="1585"/>
        <item x="1728"/>
        <item x="897"/>
        <item x="1447"/>
        <item x="440"/>
        <item x="382"/>
        <item x="1028"/>
        <item x="1092"/>
        <item x="517"/>
        <item x="312"/>
        <item x="985"/>
        <item x="1071"/>
        <item x="1801"/>
        <item x="348"/>
        <item x="1143"/>
        <item x="19"/>
        <item x="487"/>
        <item x="2"/>
        <item x="1776"/>
        <item x="484"/>
        <item x="1831"/>
        <item x="1717"/>
        <item x="125"/>
        <item x="157"/>
        <item x="819"/>
        <item x="1051"/>
        <item x="1195"/>
        <item x="129"/>
        <item x="1481"/>
        <item x="464"/>
        <item x="1468"/>
        <item x="358"/>
        <item x="1144"/>
        <item x="507"/>
        <item x="89"/>
        <item x="51"/>
        <item x="695"/>
        <item x="906"/>
        <item x="1227"/>
        <item x="1310"/>
        <item x="717"/>
        <item x="199"/>
        <item x="1096"/>
        <item x="670"/>
        <item x="1563"/>
        <item x="1846"/>
        <item x="984"/>
        <item x="519"/>
        <item x="633"/>
        <item x="935"/>
        <item x="1254"/>
        <item x="520"/>
        <item x="1164"/>
        <item x="882"/>
        <item x="913"/>
        <item x="526"/>
        <item x="257"/>
        <item x="1821"/>
        <item x="841"/>
        <item x="910"/>
        <item x="1102"/>
        <item x="954"/>
        <item x="818"/>
        <item x="815"/>
        <item x="654"/>
        <item x="1444"/>
        <item x="998"/>
        <item x="1489"/>
        <item x="1657"/>
        <item x="1745"/>
        <item x="1276"/>
        <item x="497"/>
        <item x="1759"/>
        <item x="178"/>
        <item x="197"/>
        <item x="189"/>
        <item x="867"/>
        <item x="1484"/>
        <item x="791"/>
        <item x="1141"/>
        <item x="234"/>
        <item x="1291"/>
        <item x="223"/>
        <item x="763"/>
        <item x="768"/>
        <item x="1390"/>
        <item x="1014"/>
        <item x="865"/>
        <item x="563"/>
        <item x="394"/>
        <item x="779"/>
        <item x="1354"/>
        <item x="1460"/>
        <item x="1608"/>
        <item x="1583"/>
        <item x="1015"/>
        <item x="775"/>
        <item x="198"/>
        <item x="468"/>
        <item x="661"/>
        <item x="1024"/>
        <item x="1663"/>
        <item x="1679"/>
        <item x="1619"/>
        <item x="444"/>
        <item x="152"/>
        <item x="1168"/>
        <item x="1405"/>
        <item x="231"/>
        <item x="1075"/>
        <item x="875"/>
        <item x="1586"/>
        <item x="881"/>
        <item x="45"/>
        <item x="483"/>
        <item x="320"/>
        <item x="25"/>
        <item x="1213"/>
        <item x="1520"/>
        <item x="736"/>
        <item x="159"/>
        <item x="1029"/>
        <item x="1393"/>
        <item x="1107"/>
        <item x="1319"/>
        <item x="1528"/>
        <item x="929"/>
        <item x="1555"/>
        <item x="1825"/>
        <item x="6"/>
        <item x="9"/>
        <item x="642"/>
        <item x="1820"/>
        <item x="1699"/>
        <item x="1674"/>
        <item x="687"/>
        <item x="340"/>
        <item x="12"/>
        <item x="1047"/>
        <item x="1713"/>
        <item x="119"/>
        <item x="951"/>
        <item x="887"/>
        <item x="318"/>
        <item x="711"/>
        <item x="648"/>
        <item x="52"/>
        <item x="39"/>
        <item x="7"/>
        <item x="600"/>
        <item x="419"/>
        <item x="561"/>
        <item x="387"/>
        <item x="1526"/>
        <item x="959"/>
        <item x="71"/>
        <item x="1661"/>
        <item x="1196"/>
        <item x="192"/>
        <item x="74"/>
        <item x="1788"/>
        <item x="421"/>
        <item x="1192"/>
        <item x="1315"/>
        <item x="449"/>
        <item x="699"/>
        <item x="1240"/>
        <item x="1616"/>
        <item x="1682"/>
        <item x="1560"/>
        <item x="1155"/>
        <item x="1242"/>
        <item x="1349"/>
        <item x="1151"/>
        <item x="862"/>
        <item x="392"/>
        <item x="81"/>
        <item x="1540"/>
        <item x="698"/>
        <item x="1309"/>
        <item x="988"/>
        <item x="943"/>
        <item x="1303"/>
        <item x="990"/>
        <item x="790"/>
        <item x="1683"/>
        <item x="590"/>
        <item x="727"/>
        <item x="1351"/>
        <item x="1421"/>
        <item x="91"/>
        <item x="215"/>
        <item x="330"/>
        <item x="628"/>
        <item x="609"/>
        <item x="1803"/>
        <item x="1457"/>
        <item x="304"/>
        <item x="1234"/>
        <item x="565"/>
        <item x="937"/>
        <item x="1317"/>
        <item x="1007"/>
        <item x="420"/>
        <item x="1797"/>
        <item x="218"/>
        <item x="850"/>
        <item x="1295"/>
        <item x="1469"/>
        <item x="434"/>
        <item x="620"/>
        <item x="1787"/>
        <item x="868"/>
        <item x="1725"/>
        <item x="111"/>
        <item x="290"/>
        <item x="174"/>
        <item x="1152"/>
        <item x="604"/>
        <item x="1012"/>
        <item x="1512"/>
        <item x="362"/>
        <item x="1475"/>
        <item x="762"/>
        <item x="554"/>
        <item x="577"/>
        <item x="746"/>
        <item x="952"/>
        <item x="5"/>
        <item x="529"/>
        <item x="979"/>
        <item x="360"/>
        <item x="1645"/>
        <item x="645"/>
        <item x="10"/>
        <item x="1724"/>
        <item x="329"/>
        <item x="1824"/>
        <item x="1345"/>
        <item x="682"/>
        <item x="718"/>
        <item x="277"/>
        <item x="918"/>
        <item x="552"/>
        <item x="1479"/>
        <item x="379"/>
        <item x="1431"/>
        <item x="571"/>
        <item x="1451"/>
        <item x="1186"/>
        <item x="1355"/>
        <item x="947"/>
        <item x="1129"/>
        <item x="1454"/>
        <item x="1595"/>
        <item x="1842"/>
        <item x="1375"/>
        <item x="253"/>
        <item x="1826"/>
        <item x="870"/>
        <item x="813"/>
        <item x="1077"/>
        <item x="883"/>
        <item x="153"/>
        <item x="270"/>
        <item x="900"/>
        <item x="42"/>
        <item x="938"/>
        <item x="1441"/>
        <item x="664"/>
        <item x="98"/>
        <item x="1093"/>
        <item x="902"/>
        <item x="357"/>
        <item x="1681"/>
        <item x="1067"/>
        <item x="799"/>
        <item x="177"/>
        <item x="969"/>
        <item x="942"/>
        <item x="523"/>
        <item x="1812"/>
        <item x="1654"/>
        <item x="151"/>
        <item x="940"/>
        <item x="605"/>
        <item x="891"/>
        <item x="155"/>
        <item x="259"/>
        <item x="59"/>
        <item x="40"/>
        <item x="1564"/>
        <item x="831"/>
        <item x="1027"/>
        <item x="494"/>
        <item x="1365"/>
        <item x="327"/>
        <item x="235"/>
        <item x="1774"/>
        <item x="1124"/>
        <item x="1018"/>
        <item x="1382"/>
        <item x="1302"/>
        <item x="1796"/>
        <item x="732"/>
        <item x="145"/>
        <item x="383"/>
        <item x="1775"/>
        <item x="1021"/>
        <item x="651"/>
        <item x="1458"/>
        <item x="185"/>
        <item x="930"/>
        <item x="96"/>
        <item x="302"/>
        <item x="417"/>
        <item x="314"/>
        <item x="1103"/>
        <item x="1546"/>
        <item x="1844"/>
        <item x="1505"/>
        <item x="1269"/>
        <item x="1261"/>
        <item x="1800"/>
        <item x="1221"/>
        <item x="342"/>
        <item x="1211"/>
        <item x="1446"/>
        <item x="386"/>
        <item x="1575"/>
        <item x="1709"/>
        <item x="15"/>
        <item x="545"/>
        <item x="1350"/>
        <item x="93"/>
        <item x="1417"/>
        <item x="1183"/>
        <item x="209"/>
        <item x="983"/>
        <item x="1045"/>
        <item x="47"/>
        <item x="13"/>
        <item x="685"/>
        <item x="349"/>
        <item x="1848"/>
        <item x="1072"/>
        <item x="1755"/>
        <item x="512"/>
        <item x="1455"/>
        <item x="1114"/>
        <item x="1322"/>
        <item x="1779"/>
        <item x="1381"/>
        <item x="533"/>
        <item x="1514"/>
        <item x="729"/>
        <item x="1558"/>
        <item x="1041"/>
        <item x="1790"/>
        <item x="568"/>
        <item x="203"/>
        <item x="1498"/>
        <item x="1358"/>
        <item x="1280"/>
        <item x="539"/>
        <item x="522"/>
        <item x="667"/>
        <item x="689"/>
        <item x="1385"/>
        <item x="1660"/>
        <item x="227"/>
        <item x="977"/>
        <item x="703"/>
        <item x="1249"/>
        <item x="478"/>
        <item x="409"/>
        <item x="1112"/>
        <item x="532"/>
        <item x="87"/>
        <item x="1079"/>
        <item x="1338"/>
        <item x="1714"/>
        <item x="1465"/>
        <item x="1550"/>
        <item x="1836"/>
        <item x="1297"/>
        <item x="783"/>
        <item x="1695"/>
        <item x="150"/>
        <item x="1408"/>
        <item x="236"/>
        <item x="1158"/>
        <item x="1762"/>
        <item x="1383"/>
        <item x="22"/>
        <item x="1806"/>
        <item x="1522"/>
        <item x="1068"/>
        <item x="339"/>
        <item x="596"/>
        <item x="1003"/>
        <item x="490"/>
        <item x="1073"/>
        <item x="511"/>
        <item x="1273"/>
        <item x="21"/>
        <item x="792"/>
        <item x="659"/>
        <item x="1084"/>
        <item x="1174"/>
        <item x="852"/>
        <item x="601"/>
        <item x="945"/>
        <item x="912"/>
        <item x="684"/>
        <item x="264"/>
        <item x="1554"/>
        <item x="1566"/>
        <item x="1265"/>
        <item x="138"/>
        <item x="1137"/>
        <item x="1543"/>
        <item x="1167"/>
        <item x="306"/>
        <item x="856"/>
        <item x="380"/>
        <item x="1367"/>
        <item x="1391"/>
        <item x="837"/>
        <item x="1149"/>
        <item x="955"/>
        <item x="1205"/>
        <item x="1208"/>
        <item x="61"/>
        <item x="1761"/>
        <item x="1058"/>
        <item x="299"/>
        <item x="108"/>
        <item x="514"/>
        <item x="822"/>
        <item x="41"/>
        <item x="310"/>
        <item x="75"/>
        <item x="1327"/>
        <item x="858"/>
        <item x="436"/>
        <item x="1256"/>
        <item x="477"/>
        <item x="690"/>
        <item x="546"/>
        <item x="994"/>
        <item x="148"/>
        <item x="1156"/>
        <item x="1840"/>
        <item x="1344"/>
        <item x="1037"/>
        <item x="226"/>
        <item x="442"/>
        <item x="279"/>
        <item x="1376"/>
        <item x="1439"/>
        <item x="1727"/>
        <item x="702"/>
        <item x="1839"/>
        <item x="835"/>
        <item x="1496"/>
        <item x="747"/>
        <item x="216"/>
        <item x="1241"/>
        <item x="1809"/>
        <item x="3"/>
        <item x="627"/>
        <item x="1680"/>
        <item x="297"/>
        <item x="381"/>
        <item x="789"/>
        <item x="112"/>
        <item x="472"/>
        <item x="103"/>
        <item x="451"/>
        <item x="271"/>
        <item x="903"/>
        <item x="1109"/>
        <item x="1653"/>
        <item x="296"/>
        <item x="1473"/>
        <item x="29"/>
        <item x="1147"/>
        <item x="1070"/>
        <item x="925"/>
        <item x="839"/>
        <item x="1395"/>
        <item x="1692"/>
        <item x="1677"/>
        <item x="1099"/>
        <item x="1548"/>
        <item x="95"/>
        <item x="28"/>
        <item x="1170"/>
        <item x="1760"/>
        <item x="475"/>
        <item x="866"/>
        <item x="1604"/>
        <item x="1229"/>
        <item x="1154"/>
        <item x="1267"/>
        <item x="160"/>
        <item x="439"/>
        <item x="1710"/>
        <item x="1119"/>
        <item x="1738"/>
        <item x="892"/>
        <item x="1407"/>
        <item x="206"/>
        <item x="644"/>
        <item x="1248"/>
        <item x="398"/>
        <item x="1813"/>
        <item x="921"/>
        <item x="652"/>
        <item x="505"/>
        <item x="1754"/>
        <item x="696"/>
        <item x="1712"/>
        <item x="471"/>
        <item x="1063"/>
        <item x="283"/>
        <item x="1370"/>
        <item x="78"/>
        <item x="784"/>
        <item x="149"/>
        <item x="147"/>
        <item x="621"/>
        <item x="280"/>
        <item x="1212"/>
        <item x="281"/>
        <item x="506"/>
        <item x="618"/>
        <item x="1305"/>
        <item x="1432"/>
        <item x="1559"/>
        <item x="1437"/>
        <item x="1688"/>
        <item x="1656"/>
        <item x="1808"/>
        <item x="1539"/>
        <item x="1377"/>
        <item x="1572"/>
        <item x="1574"/>
        <item x="987"/>
        <item x="1689"/>
        <item x="1665"/>
        <item x="787"/>
        <item x="190"/>
        <item x="391"/>
        <item x="88"/>
        <item x="1565"/>
        <item x="1744"/>
        <item x="613"/>
        <item x="1146"/>
        <item x="79"/>
        <item x="515"/>
        <item x="1568"/>
        <item x="1810"/>
        <item x="830"/>
        <item x="34"/>
        <item x="1366"/>
        <item x="973"/>
        <item x="996"/>
        <item x="238"/>
        <item x="592"/>
        <item x="805"/>
        <item x="1463"/>
        <item x="639"/>
        <item x="663"/>
        <item x="1259"/>
        <item x="1610"/>
        <item x="251"/>
        <item x="407"/>
        <item x="336"/>
        <item x="1083"/>
        <item x="1467"/>
        <item x="963"/>
        <item x="824"/>
        <item x="1518"/>
        <item x="1471"/>
        <item x="1701"/>
        <item x="1181"/>
        <item x="171"/>
        <item x="816"/>
        <item x="1293"/>
        <item x="1538"/>
        <item x="1716"/>
        <item x="1516"/>
        <item x="115"/>
        <item x="210"/>
        <item x="978"/>
        <item x="886"/>
        <item x="26"/>
        <item x="1618"/>
        <item x="1304"/>
        <item x="567"/>
        <item x="1262"/>
        <item x="1088"/>
        <item x="953"/>
        <item x="1613"/>
        <item x="1039"/>
        <item x="1111"/>
        <item x="1180"/>
        <item x="441"/>
        <item x="989"/>
        <item x="1402"/>
        <item x="120"/>
        <item x="958"/>
        <item x="1611"/>
        <item x="428"/>
        <item x="755"/>
        <item x="399"/>
        <item x="740"/>
        <item x="635"/>
        <item x="1625"/>
        <item x="1193"/>
        <item x="332"/>
        <item x="981"/>
        <item x="1436"/>
        <item x="1050"/>
        <item x="636"/>
        <item x="576"/>
        <item x="1086"/>
        <item x="1557"/>
        <item x="1090"/>
        <item x="623"/>
        <item x="1246"/>
        <item x="461"/>
        <item x="849"/>
        <item x="1089"/>
        <item x="1342"/>
        <item x="462"/>
        <item x="1519"/>
        <item x="1675"/>
        <item x="1435"/>
        <item x="1443"/>
        <item x="516"/>
        <item x="1361"/>
        <item x="1671"/>
        <item x="1031"/>
        <item x="1410"/>
        <item x="30"/>
        <item x="287"/>
        <item x="658"/>
        <item x="1603"/>
        <item x="744"/>
        <item x="1636"/>
        <item x="1456"/>
        <item x="1672"/>
        <item x="172"/>
        <item x="1318"/>
        <item x="1312"/>
        <item x="594"/>
        <item x="123"/>
        <item x="1433"/>
        <item x="1426"/>
        <item x="298"/>
        <item x="1708"/>
        <item x="1082"/>
        <item x="169"/>
        <item x="350"/>
        <item x="1278"/>
        <item x="1002"/>
        <item x="694"/>
        <item x="750"/>
        <item x="603"/>
        <item x="1085"/>
        <item x="749"/>
        <item x="967"/>
        <item x="1649"/>
        <item x="1542"/>
        <item x="543"/>
        <item x="446"/>
        <item x="721"/>
        <item x="941"/>
        <item x="1851"/>
        <item x="1301"/>
        <item x="1052"/>
        <item x="1244"/>
        <item x="1371"/>
        <item x="463"/>
        <item x="1157"/>
        <item x="1025"/>
        <item x="1626"/>
        <item x="534"/>
        <item x="1740"/>
        <item x="1843"/>
        <item x="241"/>
        <item x="893"/>
        <item x="1061"/>
        <item x="1017"/>
        <item x="1363"/>
        <item x="1311"/>
        <item x="785"/>
        <item x="1614"/>
        <item x="326"/>
        <item x="479"/>
        <item x="1253"/>
        <item x="764"/>
        <item x="1394"/>
        <item x="1035"/>
        <item x="1700"/>
        <item x="1294"/>
        <item x="474"/>
        <item x="1521"/>
        <item x="66"/>
        <item x="688"/>
        <item x="248"/>
        <item x="1264"/>
        <item x="1398"/>
        <item x="593"/>
        <item x="724"/>
        <item x="1160"/>
        <item x="508"/>
        <item x="915"/>
        <item x="1005"/>
        <item x="679"/>
        <item x="801"/>
        <item x="589"/>
        <item x="136"/>
        <item x="466"/>
        <item x="1094"/>
        <item x="1127"/>
        <item x="335"/>
        <item x="530"/>
        <item x="1030"/>
        <item x="1612"/>
        <item x="1659"/>
        <item x="469"/>
        <item x="1646"/>
        <item x="656"/>
        <item x="1453"/>
        <item x="1765"/>
        <item x="167"/>
        <item x="1837"/>
        <item x="1729"/>
        <item x="677"/>
        <item x="1053"/>
        <item x="291"/>
        <item x="1602"/>
        <item x="1108"/>
        <item x="313"/>
        <item x="1323"/>
        <item x="1308"/>
        <item x="1380"/>
        <item x="1043"/>
        <item x="931"/>
        <item x="715"/>
        <item x="700"/>
        <item x="802"/>
        <item x="896"/>
        <item x="1739"/>
        <item x="1466"/>
        <item x="1145"/>
        <item x="1329"/>
        <item x="1783"/>
        <item x="1784"/>
        <item x="1662"/>
        <item x="405"/>
        <item x="183"/>
        <item x="456"/>
        <item x="230"/>
        <item x="1263"/>
        <item x="86"/>
        <item x="1097"/>
        <item x="680"/>
        <item x="363"/>
        <item x="1668"/>
        <item x="1225"/>
        <item x="1573"/>
        <item x="1330"/>
        <item x="1339"/>
        <item x="823"/>
        <item x="1379"/>
        <item x="191"/>
        <item x="788"/>
        <item x="267"/>
        <item x="1373"/>
        <item x="853"/>
        <item x="1404"/>
        <item x="1693"/>
        <item x="1387"/>
        <item x="1364"/>
        <item x="597"/>
        <item x="1287"/>
        <item x="448"/>
        <item x="361"/>
        <item x="1696"/>
        <item x="803"/>
        <item x="615"/>
        <item x="435"/>
        <item x="1524"/>
        <item x="829"/>
        <item x="901"/>
        <item x="795"/>
        <item x="693"/>
        <item x="498"/>
        <item x="294"/>
        <item x="219"/>
        <item x="431"/>
        <item x="859"/>
        <item x="265"/>
        <item x="728"/>
        <item x="691"/>
        <item x="617"/>
        <item x="369"/>
        <item x="163"/>
        <item x="60"/>
        <item x="1571"/>
        <item x="1652"/>
        <item x="1576"/>
        <item x="1032"/>
        <item x="416"/>
        <item x="1726"/>
        <item x="33"/>
        <item x="1552"/>
        <item x="1835"/>
        <item x="328"/>
        <item x="255"/>
        <item x="675"/>
        <item x="653"/>
        <item x="1795"/>
        <item x="804"/>
        <item x="814"/>
        <item x="68"/>
        <item x="1670"/>
        <item x="608"/>
        <item x="776"/>
        <item x="252"/>
        <item x="319"/>
        <item x="55"/>
        <item x="1628"/>
        <item x="184"/>
        <item x="1798"/>
        <item x="170"/>
        <item x="1827"/>
        <item x="655"/>
        <item x="1121"/>
        <item x="1807"/>
        <item x="132"/>
        <item x="731"/>
        <item x="1226"/>
        <item x="1251"/>
        <item x="411"/>
        <item x="1341"/>
        <item x="370"/>
        <item x="864"/>
        <item x="1529"/>
        <item x="229"/>
        <item x="1768"/>
        <item x="179"/>
        <item x="551"/>
        <item x="1590"/>
        <item x="961"/>
        <item x="928"/>
        <item x="233"/>
        <item x="354"/>
        <item x="166"/>
        <item x="1794"/>
        <item x="640"/>
        <item x="992"/>
        <item x="957"/>
        <item x="76"/>
        <item x="1487"/>
        <item x="77"/>
        <item x="35"/>
        <item x="972"/>
        <item x="1000"/>
        <item x="1004"/>
        <item x="1386"/>
        <item x="553"/>
        <item x="1567"/>
        <item x="1400"/>
        <item x="1219"/>
        <item x="352"/>
        <item x="1101"/>
        <item x="1271"/>
        <item x="579"/>
        <item x="1403"/>
        <item x="598"/>
        <item x="1533"/>
        <item x="660"/>
        <item x="741"/>
        <item x="924"/>
        <item x="1179"/>
        <item x="1277"/>
        <item x="834"/>
        <item x="1450"/>
        <item x="1243"/>
        <item x="1429"/>
        <item x="1328"/>
        <item x="692"/>
        <item x="38"/>
        <item x="733"/>
        <item x="570"/>
        <item x="916"/>
        <item x="1369"/>
        <item x="1420"/>
        <item x="730"/>
        <item x="1289"/>
        <item x="1720"/>
        <item x="760"/>
        <item x="1139"/>
        <item x="1838"/>
        <item x="1150"/>
        <item x="555"/>
        <item x="1060"/>
        <item x="211"/>
        <item x="48"/>
        <item x="1551"/>
        <item x="1049"/>
        <item x="1711"/>
        <item x="1418"/>
        <item x="1817"/>
        <item x="794"/>
        <item x="878"/>
        <item x="193"/>
        <item x="1046"/>
        <item x="629"/>
        <item x="90"/>
        <item x="143"/>
        <item x="1430"/>
        <item x="572"/>
        <item x="1596"/>
        <item x="1235"/>
        <item x="1169"/>
        <item x="778"/>
        <item x="274"/>
        <item x="213"/>
        <item x="1769"/>
        <item x="1584"/>
        <item x="1120"/>
        <item x="1676"/>
        <item x="422"/>
        <item x="1194"/>
        <item x="1353"/>
        <item x="521"/>
        <item x="110"/>
        <item x="502"/>
        <item x="1697"/>
        <item x="1374"/>
        <item x="308"/>
        <item x="1594"/>
        <item x="1274"/>
        <item x="1497"/>
        <item x="926"/>
        <item x="1022"/>
        <item x="242"/>
        <item x="485"/>
        <item x="676"/>
        <item x="1203"/>
        <item x="726"/>
        <item x="1823"/>
        <item x="325"/>
        <item x="911"/>
        <item x="1166"/>
        <item x="1778"/>
        <item x="1095"/>
        <item x="1591"/>
        <item x="1742"/>
        <item x="284"/>
        <item x="375"/>
        <item x="237"/>
        <item x="1588"/>
        <item x="843"/>
        <item x="991"/>
        <item x="1306"/>
        <item x="962"/>
        <item x="465"/>
        <item x="366"/>
        <item x="1359"/>
        <item x="1091"/>
        <item x="914"/>
        <item x="217"/>
        <item x="1362"/>
        <item x="1569"/>
        <item x="714"/>
        <item x="457"/>
        <item x="1173"/>
        <item x="707"/>
        <item x="1397"/>
        <item x="1607"/>
        <item x="1507"/>
        <item x="894"/>
        <item x="1597"/>
        <item x="1841"/>
        <item x="1245"/>
        <item x="1064"/>
        <item x="1040"/>
        <item x="1126"/>
        <item x="828"/>
        <item x="559"/>
        <item x="549"/>
        <item x="874"/>
        <item x="1048"/>
        <item x="966"/>
        <item x="476"/>
        <item x="1"/>
        <item x="999"/>
        <item x="1178"/>
        <item x="1299"/>
        <item x="1316"/>
        <item x="1640"/>
        <item x="1320"/>
        <item x="1074"/>
        <item x="473"/>
        <item x="1667"/>
        <item x="1635"/>
        <item x="262"/>
        <item x="1617"/>
        <item x="1153"/>
        <item x="1485"/>
        <item x="671"/>
        <item x="1648"/>
        <item x="295"/>
        <item x="368"/>
        <item x="1782"/>
        <item x="1442"/>
        <item x="200"/>
        <item x="1770"/>
        <item x="1508"/>
        <item x="273"/>
        <item x="821"/>
        <item x="1009"/>
        <item x="1059"/>
        <item x="402"/>
        <item x="1690"/>
        <item x="371"/>
        <item x="121"/>
        <item x="188"/>
        <item x="134"/>
        <item x="82"/>
        <item x="1360"/>
        <item x="863"/>
        <item x="631"/>
        <item x="1389"/>
        <item x="1313"/>
        <item x="212"/>
        <item x="367"/>
        <item x="879"/>
        <item x="1115"/>
        <item x="647"/>
        <item x="1134"/>
        <item x="1042"/>
        <item x="1230"/>
        <item x="525"/>
        <item x="309"/>
        <item x="1427"/>
        <item x="1510"/>
        <item x="182"/>
        <item x="1185"/>
        <item x="1599"/>
        <item x="130"/>
        <item x="885"/>
        <item x="871"/>
        <item x="221"/>
        <item x="1818"/>
        <item x="1834"/>
        <item x="1023"/>
        <item x="458"/>
        <item x="232"/>
        <item x="917"/>
        <item x="1722"/>
        <item x="317"/>
        <item x="1698"/>
        <item x="575"/>
        <item x="43"/>
        <item x="141"/>
        <item x="158"/>
        <item x="827"/>
        <item x="632"/>
        <item x="384"/>
        <item x="1434"/>
        <item x="156"/>
        <item x="970"/>
        <item x="1605"/>
        <item x="528"/>
        <item x="1641"/>
        <item x="1715"/>
        <item x="225"/>
        <item x="1336"/>
        <item x="1066"/>
        <item x="1220"/>
        <item x="1034"/>
        <item x="1638"/>
        <item x="282"/>
        <item x="1694"/>
        <item x="437"/>
        <item x="372"/>
        <item x="1731"/>
        <item x="638"/>
        <item x="388"/>
        <item x="1802"/>
        <item x="137"/>
        <item x="396"/>
        <item x="1730"/>
        <item x="665"/>
        <item x="285"/>
        <item x="1236"/>
        <item x="712"/>
        <item x="844"/>
        <item x="1117"/>
        <item x="72"/>
        <item x="1537"/>
        <item x="1780"/>
        <item x="344"/>
        <item x="1491"/>
        <item x="124"/>
        <item x="1685"/>
        <item x="1300"/>
        <item x="491"/>
        <item x="1307"/>
        <item x="165"/>
        <item x="1767"/>
        <item x="425"/>
        <item x="1723"/>
        <item x="1357"/>
        <item x="560"/>
        <item x="1743"/>
        <item x="1621"/>
        <item x="99"/>
        <item x="114"/>
        <item x="1623"/>
        <item x="84"/>
        <item x="500"/>
        <item x="49"/>
        <item x="1036"/>
        <item x="1684"/>
        <item x="524"/>
        <item x="1748"/>
        <item x="550"/>
        <item x="1772"/>
        <item x="263"/>
        <item x="817"/>
        <item x="536"/>
        <item x="1620"/>
        <item x="1643"/>
        <item x="641"/>
        <item x="1148"/>
        <item x="809"/>
        <item x="1814"/>
        <item x="1854"/>
        <item x="1501"/>
        <item x="1409"/>
        <item x="1615"/>
        <item x="756"/>
        <item x="1184"/>
        <item x="1054"/>
        <item x="643"/>
        <item x="905"/>
        <item x="447"/>
        <item x="757"/>
        <item x="556"/>
        <item x="0"/>
        <item x="495"/>
        <item x="964"/>
        <item x="1200"/>
        <item x="144"/>
        <item x="922"/>
        <item x="672"/>
        <item x="612"/>
        <item x="194"/>
        <item x="585"/>
        <item x="923"/>
        <item x="1069"/>
        <item x="606"/>
        <item x="496"/>
        <item x="1751"/>
        <item x="869"/>
        <item x="266"/>
        <item x="907"/>
        <item x="796"/>
        <item x="245"/>
        <item x="1399"/>
        <item x="1013"/>
        <item x="1218"/>
        <item x="1577"/>
        <item x="1606"/>
        <item x="1598"/>
        <item x="860"/>
        <item x="418"/>
        <item x="1750"/>
        <item x="1165"/>
        <item x="1833"/>
        <item x="838"/>
        <item x="846"/>
        <item x="176"/>
        <item x="1283"/>
        <item x="1335"/>
        <item x="443"/>
        <item x="173"/>
        <item x="1786"/>
        <item x="939"/>
        <item x="1735"/>
        <item x="1632"/>
        <item x="1284"/>
        <item x="1321"/>
        <item x="982"/>
        <item x="587"/>
        <item x="1785"/>
        <item x="537"/>
        <item x="518"/>
        <item x="1201"/>
        <item x="1757"/>
        <item x="908"/>
        <item x="1702"/>
        <item x="353"/>
        <item x="1562"/>
        <item x="70"/>
        <item x="1372"/>
        <item x="541"/>
        <item x="454"/>
        <item x="1191"/>
        <item x="1749"/>
        <item x="1286"/>
        <item x="393"/>
        <item x="1764"/>
        <item x="58"/>
        <item x="1217"/>
        <item x="488"/>
        <item x="1445"/>
        <item x="54"/>
        <item x="754"/>
        <item x="1582"/>
        <item x="622"/>
        <item x="1847"/>
        <item x="1666"/>
        <item x="710"/>
        <item x="1495"/>
        <item x="1113"/>
        <item x="1142"/>
        <item x="1116"/>
        <item x="1639"/>
        <item x="453"/>
        <item x="1282"/>
        <item x="142"/>
        <item x="742"/>
        <item x="1257"/>
        <item x="220"/>
        <item x="1691"/>
        <item x="932"/>
        <item x="1348"/>
        <item x="36"/>
        <item x="793"/>
        <item x="1650"/>
        <item x="1534"/>
        <item x="316"/>
        <item x="224"/>
        <item x="1425"/>
        <item x="1642"/>
        <item x="583"/>
        <item x="1845"/>
        <item x="260"/>
        <item x="1651"/>
        <item x="1448"/>
        <item x="1006"/>
        <item x="377"/>
        <item x="708"/>
        <item x="769"/>
        <item x="467"/>
        <item x="1171"/>
        <item x="968"/>
        <item x="1678"/>
        <item x="771"/>
        <item x="1828"/>
        <item x="848"/>
        <item x="105"/>
        <item x="1549"/>
        <item x="276"/>
        <item x="289"/>
        <item x="619"/>
        <item x="657"/>
        <item x="1411"/>
        <item x="909"/>
        <item x="1207"/>
        <item x="1579"/>
        <item x="63"/>
        <item x="1123"/>
        <item x="356"/>
        <item x="323"/>
        <item x="1337"/>
        <item x="408"/>
        <item x="94"/>
        <item x="268"/>
        <item x="1589"/>
        <item x="1020"/>
        <item x="1553"/>
        <item x="1506"/>
        <item x="737"/>
        <item x="424"/>
        <item x="450"/>
        <item x="1852"/>
        <item x="459"/>
        <item x="1206"/>
        <item x="625"/>
        <item x="584"/>
        <item x="1008"/>
        <item x="162"/>
        <item x="1396"/>
        <item x="1110"/>
        <item x="1038"/>
        <item x="927"/>
        <item x="720"/>
        <item x="27"/>
        <item x="1424"/>
        <item x="1055"/>
        <item x="1703"/>
        <item x="403"/>
        <item x="1270"/>
        <item x="1104"/>
        <item x="766"/>
        <item x="586"/>
        <item x="1159"/>
        <item x="580"/>
        <item x="626"/>
        <item x="1214"/>
        <item x="1758"/>
        <item x="482"/>
        <item x="976"/>
        <item x="761"/>
        <item x="1268"/>
        <item x="1494"/>
        <item x="777"/>
        <item x="385"/>
        <item x="898"/>
        <item x="1223"/>
        <item x="1177"/>
        <item x="1449"/>
        <item x="1733"/>
        <item x="1822"/>
        <item x="195"/>
        <item x="126"/>
        <item x="1182"/>
        <item x="668"/>
        <item x="113"/>
        <item x="18"/>
        <item x="8"/>
        <item x="1292"/>
        <item x="292"/>
        <item x="1655"/>
        <item x="705"/>
        <item x="1237"/>
        <item x="228"/>
        <item x="1637"/>
        <item x="1161"/>
        <item x="770"/>
        <item x="1105"/>
        <item x="1279"/>
        <item x="1756"/>
        <item x="1706"/>
        <item x="128"/>
        <item x="1296"/>
        <item x="1545"/>
        <item x="1216"/>
        <item x="758"/>
        <item x="406"/>
        <item x="1356"/>
        <item x="187"/>
        <item x="1622"/>
        <item x="1298"/>
        <item x="527"/>
        <item x="433"/>
        <item x="599"/>
        <item x="1422"/>
        <item x="531"/>
        <item x="1428"/>
        <item x="1098"/>
        <item x="1340"/>
        <item x="564"/>
        <item x="547"/>
        <item x="122"/>
        <item x="83"/>
        <item x="101"/>
        <item x="1056"/>
        <item x="1737"/>
        <item x="1238"/>
        <item x="1819"/>
        <item x="780"/>
        <item x="1388"/>
        <item x="181"/>
        <item x="1346"/>
        <item x="4"/>
        <item x="16"/>
        <item x="1438"/>
        <item x="1523"/>
        <item x="1664"/>
        <item x="1753"/>
        <item x="455"/>
        <item x="1832"/>
        <item x="637"/>
        <item x="745"/>
        <item x="1531"/>
        <item x="743"/>
        <item x="1392"/>
        <item x="1016"/>
        <item x="106"/>
        <item x="1474"/>
        <item x="1011"/>
        <item x="842"/>
        <item x="1771"/>
        <item x="480"/>
        <item x="1215"/>
        <item x="1853"/>
        <item x="486"/>
        <item x="993"/>
        <item x="470"/>
        <item x="826"/>
        <item x="355"/>
        <item x="1440"/>
        <item x="1530"/>
        <item x="1490"/>
        <item x="1580"/>
        <item x="73"/>
        <item x="1252"/>
        <item x="117"/>
        <item x="709"/>
        <item x="1486"/>
        <item x="1228"/>
        <item x="305"/>
        <item x="17"/>
        <item x="980"/>
        <item x="1805"/>
        <item x="1163"/>
        <item x="1629"/>
        <item x="798"/>
        <item x="50"/>
        <item x="186"/>
        <item x="140"/>
        <item x="1587"/>
        <item x="503"/>
        <item x="1452"/>
        <item x="1849"/>
        <item x="889"/>
        <item x="872"/>
        <item x="544"/>
        <item x="666"/>
        <item x="774"/>
        <item x="1705"/>
        <item x="1747"/>
        <item x="337"/>
        <item x="1578"/>
        <item x="920"/>
        <item x="1188"/>
        <item x="1125"/>
        <item x="1792"/>
        <item x="1499"/>
        <item x="1766"/>
        <item x="1630"/>
        <item x="67"/>
        <item x="1100"/>
        <item x="1332"/>
        <item x="204"/>
        <item x="1176"/>
        <item x="1198"/>
        <item x="1281"/>
        <item x="1333"/>
        <item x="1482"/>
        <item x="300"/>
        <item x="697"/>
        <item x="716"/>
        <item x="501"/>
        <item x="1734"/>
        <item x="946"/>
        <item x="1581"/>
        <item x="1290"/>
        <item x="64"/>
        <item x="331"/>
        <item x="1741"/>
        <item x="888"/>
        <item x="1704"/>
        <item x="591"/>
        <item x="1172"/>
        <item x="139"/>
        <item x="56"/>
        <item x="855"/>
        <item x="481"/>
        <item x="180"/>
        <item x="24"/>
        <item x="1634"/>
        <item x="1631"/>
        <item x="214"/>
        <item x="1504"/>
        <item x="1459"/>
        <item x="934"/>
        <item x="1804"/>
        <item x="240"/>
        <item x="808"/>
        <item x="833"/>
        <item x="154"/>
        <item x="1232"/>
        <item x="974"/>
        <item x="44"/>
        <item x="1202"/>
        <item x="1752"/>
        <item x="401"/>
        <item x="324"/>
        <item x="1266"/>
        <item x="1078"/>
        <item x="713"/>
        <item x="1258"/>
        <item x="261"/>
        <item x="1118"/>
        <item x="1687"/>
        <item x="322"/>
        <item x="65"/>
        <item x="1378"/>
        <item x="1416"/>
        <item x="334"/>
        <item x="895"/>
        <item x="1570"/>
        <item x="1470"/>
        <item x="1544"/>
        <item x="1509"/>
        <item x="1419"/>
        <item x="825"/>
        <item x="1673"/>
        <item x="499"/>
        <item x="1247"/>
        <item x="880"/>
        <item x="960"/>
        <item x="85"/>
        <item x="986"/>
        <item x="725"/>
        <item x="133"/>
        <item x="275"/>
        <item t="default"/>
      </items>
    </pivotField>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h="1" x="5"/>
        <item x="6"/>
        <item x="7"/>
        <item x="8"/>
        <item x="9"/>
        <item x="10"/>
        <item x="11"/>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5"/>
  </rowFields>
  <rowItems count="6">
    <i>
      <x v="3"/>
    </i>
    <i>
      <x v="1"/>
    </i>
    <i>
      <x v="4"/>
    </i>
    <i>
      <x v="2"/>
    </i>
    <i>
      <x/>
    </i>
    <i t="grand">
      <x/>
    </i>
  </rowItems>
  <colItems count="1">
    <i/>
  </colItems>
  <dataFields count="1">
    <dataField name="Sum of Total_Sales" fld="11" baseField="0" baseItem="0"/>
  </dataFields>
  <formats count="3">
    <format dxfId="48">
      <pivotArea type="all" dataOnly="0" outline="0" fieldPosition="0"/>
    </format>
    <format dxfId="47">
      <pivotArea outline="0" collapsedLevelsAreSubtotals="1" fieldPosition="0"/>
    </format>
    <format dxfId="46">
      <pivotArea dataOnly="0" labelOnly="1" outline="0" axis="axisValues" fieldPosition="0"/>
    </format>
  </format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3727D8-9BFA-4F1E-946F-1012A8D3BCE0}" autoFormatId="16" applyNumberFormats="0" applyBorderFormats="0" applyFontFormats="0" applyPatternFormats="0" applyAlignmentFormats="0" applyWidthHeightFormats="0">
  <queryTableRefresh nextId="22">
    <queryTableFields count="21">
      <queryTableField id="1" name="Order_ID" tableColumnId="1"/>
      <queryTableField id="2" name="Order_Date" tableColumnId="2"/>
      <queryTableField id="3" name="Customer_Name" tableColumnId="3"/>
      <queryTableField id="4" name="Customer_Segment" tableColumnId="4"/>
      <queryTableField id="5" name="Country" tableColumnId="5"/>
      <queryTableField id="6" name="Region" tableColumnId="6"/>
      <queryTableField id="7" name="Product_Category" tableColumnId="7"/>
      <queryTableField id="8" name="Product_Name" tableColumnId="8"/>
      <queryTableField id="9" name="Quantity" tableColumnId="9"/>
      <queryTableField id="10" name="Unit_Price" tableColumnId="10"/>
      <queryTableField id="11" name="Discount_Percent" tableColumnId="11"/>
      <queryTableField id="12" name="Total_Sales" tableColumnId="12"/>
      <queryTableField id="13" name="Shipping_Cost" tableColumnId="13"/>
      <queryTableField id="14" name="Profit" tableColumnId="14"/>
      <queryTableField id="15" name="Payment_Method" tableColumnId="15"/>
      <queryTableField id="16" name="Year" tableColumnId="16"/>
      <queryTableField id="17" name="Month Name" tableColumnId="17"/>
      <queryTableField id="18" name="net_sales" tableColumnId="18"/>
      <queryTableField id="19" name="profit_margin" tableColumnId="19"/>
      <queryTableField id="20" name="price_tier" tableColumnId="20"/>
      <queryTableField id="21" name="profit_status" tableColumnId="21"/>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7900582-25D1-4776-A423-0B47FC10D083}" sourceName="Month Name">
  <pivotTables>
    <pivotTable tabId="4" name="PivotTable17"/>
    <pivotTable tabId="4" name="PivotTable13"/>
    <pivotTable tabId="4" name="PivotTable14"/>
    <pivotTable tabId="4" name="PivotTable15"/>
    <pivotTable tabId="4" name="PivotTable16"/>
    <pivotTable tabId="4" name="PivotTable18"/>
    <pivotTable tabId="4" name="PivotTable19"/>
    <pivotTable tabId="4" name="PivotTable20"/>
    <pivotTable tabId="4" name="PivotTable21"/>
    <pivotTable tabId="4" name="PivotTable22"/>
    <pivotTable tabId="4" name="PivotTable23"/>
    <pivotTable tabId="4" name="PivotTable24"/>
    <pivotTable tabId="3" name="PivotTable1"/>
    <pivotTable tabId="3" name="PivotTable10"/>
    <pivotTable tabId="3" name="PivotTable11"/>
    <pivotTable tabId="3" name="PivotTable12"/>
    <pivotTable tabId="3" name="PivotTable14"/>
    <pivotTable tabId="3" name="PivotTable2"/>
    <pivotTable tabId="3" name="PivotTable3"/>
    <pivotTable tabId="3" name="PivotTable4"/>
    <pivotTable tabId="3" name="PivotTable5"/>
    <pivotTable tabId="3" name="PivotTable7"/>
    <pivotTable tabId="3" name="PivotTable8"/>
    <pivotTable tabId="3" name="PivotTable9"/>
    <pivotTable tabId="4" name="PivotTable1"/>
  </pivotTables>
  <data>
    <tabular pivotCacheId="1216802857">
      <items count="12">
        <i x="0" s="1"/>
        <i x="1" s="1"/>
        <i x="2" s="1"/>
        <i x="3" s="1"/>
        <i x="4" s="1"/>
        <i x="5"/>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94FD500-234C-4042-B74B-C63C2CC07FB6}" sourceName="Product_Category">
  <pivotTables>
    <pivotTable tabId="4" name="PivotTable14"/>
    <pivotTable tabId="3" name="PivotTable1"/>
    <pivotTable tabId="3" name="PivotTable10"/>
    <pivotTable tabId="3" name="PivotTable11"/>
    <pivotTable tabId="3" name="PivotTable12"/>
    <pivotTable tabId="3" name="PivotTable14"/>
    <pivotTable tabId="3" name="PivotTable2"/>
    <pivotTable tabId="3" name="PivotTable3"/>
    <pivotTable tabId="3" name="PivotTable4"/>
    <pivotTable tabId="3" name="PivotTable5"/>
    <pivotTable tabId="3" name="PivotTable7"/>
    <pivotTable tabId="3" name="PivotTable8"/>
    <pivotTable tabId="3" name="PivotTable9"/>
    <pivotTable tabId="4" name="PivotTable13"/>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 tabId="4" name="PivotTable24"/>
    <pivotTable tabId="4" name="PivotTable1"/>
  </pivotTables>
  <data>
    <tabular pivotCacheId="1216802857">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32237AE-557D-4F14-B6A7-7ED8E9D7003C}" sourceName="Payment_Method">
  <pivotTables>
    <pivotTable tabId="4" name="PivotTable16"/>
    <pivotTable tabId="3" name="PivotTable1"/>
    <pivotTable tabId="3" name="PivotTable10"/>
    <pivotTable tabId="3" name="PivotTable11"/>
    <pivotTable tabId="3" name="PivotTable12"/>
    <pivotTable tabId="3" name="PivotTable14"/>
    <pivotTable tabId="3" name="PivotTable2"/>
    <pivotTable tabId="3" name="PivotTable3"/>
    <pivotTable tabId="3" name="PivotTable4"/>
    <pivotTable tabId="3" name="PivotTable5"/>
    <pivotTable tabId="3" name="PivotTable7"/>
    <pivotTable tabId="3" name="PivotTable8"/>
    <pivotTable tabId="3" name="PivotTable9"/>
    <pivotTable tabId="4" name="PivotTable13"/>
    <pivotTable tabId="4" name="PivotTable14"/>
    <pivotTable tabId="4" name="PivotTable15"/>
    <pivotTable tabId="4" name="PivotTable17"/>
    <pivotTable tabId="4" name="PivotTable18"/>
    <pivotTable tabId="4" name="PivotTable19"/>
    <pivotTable tabId="4" name="PivotTable20"/>
    <pivotTable tabId="4" name="PivotTable21"/>
    <pivotTable tabId="4" name="PivotTable22"/>
    <pivotTable tabId="4" name="PivotTable23"/>
    <pivotTable tabId="4" name="PivotTable24"/>
    <pivotTable tabId="4" name="PivotTable1"/>
  </pivotTables>
  <data>
    <tabular pivotCacheId="1216802857">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tier" xr10:uid="{EA7EF3BC-7218-42AC-A5D1-ABA8EB836EC9}" sourceName="price_tier">
  <pivotTables>
    <pivotTable tabId="4" name="PivotTable19"/>
    <pivotTable tabId="3" name="PivotTable1"/>
    <pivotTable tabId="3" name="PivotTable10"/>
    <pivotTable tabId="3" name="PivotTable11"/>
    <pivotTable tabId="3" name="PivotTable12"/>
    <pivotTable tabId="3" name="PivotTable14"/>
    <pivotTable tabId="3" name="PivotTable2"/>
    <pivotTable tabId="3" name="PivotTable3"/>
    <pivotTable tabId="3" name="PivotTable4"/>
    <pivotTable tabId="3" name="PivotTable5"/>
    <pivotTable tabId="3" name="PivotTable7"/>
    <pivotTable tabId="3" name="PivotTable8"/>
    <pivotTable tabId="3" name="PivotTable9"/>
    <pivotTable tabId="4" name="PivotTable1"/>
    <pivotTable tabId="4" name="PivotTable13"/>
    <pivotTable tabId="4" name="PivotTable14"/>
    <pivotTable tabId="4" name="PivotTable15"/>
    <pivotTable tabId="4" name="PivotTable16"/>
    <pivotTable tabId="4" name="PivotTable17"/>
    <pivotTable tabId="4" name="PivotTable18"/>
    <pivotTable tabId="4" name="PivotTable20"/>
    <pivotTable tabId="4" name="PivotTable21"/>
    <pivotTable tabId="4" name="PivotTable22"/>
    <pivotTable tabId="4" name="PivotTable23"/>
    <pivotTable tabId="4" name="PivotTable24"/>
  </pivotTables>
  <data>
    <tabular pivotCacheId="121680285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58786A6-A1C0-4124-B023-F1F887958F78}" sourceName="Customer_Segment">
  <pivotTables>
    <pivotTable tabId="4" name="PivotTable18"/>
    <pivotTable tabId="3" name="PivotTable1"/>
    <pivotTable tabId="3" name="PivotTable10"/>
    <pivotTable tabId="3" name="PivotTable11"/>
    <pivotTable tabId="3" name="PivotTable12"/>
    <pivotTable tabId="3" name="PivotTable14"/>
    <pivotTable tabId="3" name="PivotTable2"/>
    <pivotTable tabId="3" name="PivotTable3"/>
    <pivotTable tabId="3" name="PivotTable4"/>
    <pivotTable tabId="3" name="PivotTable5"/>
    <pivotTable tabId="3" name="PivotTable7"/>
    <pivotTable tabId="3" name="PivotTable8"/>
    <pivotTable tabId="3" name="PivotTable9"/>
    <pivotTable tabId="4" name="PivotTable1"/>
    <pivotTable tabId="4" name="PivotTable13"/>
    <pivotTable tabId="4" name="PivotTable14"/>
    <pivotTable tabId="4" name="PivotTable15"/>
    <pivotTable tabId="4" name="PivotTable16"/>
    <pivotTable tabId="4" name="PivotTable17"/>
    <pivotTable tabId="4" name="PivotTable19"/>
    <pivotTable tabId="4" name="PivotTable20"/>
    <pivotTable tabId="4" name="PivotTable21"/>
    <pivotTable tabId="4" name="PivotTable22"/>
    <pivotTable tabId="4" name="PivotTable23"/>
    <pivotTable tabId="4" name="PivotTable24"/>
  </pivotTables>
  <data>
    <tabular pivotCacheId="1216802857">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DA4AD4-8BF4-487F-953B-E3AE7CBFE3F0}" sourceName="Region">
  <pivotTables>
    <pivotTable tabId="4" name="PivotTable15"/>
    <pivotTable tabId="3" name="PivotTable1"/>
    <pivotTable tabId="3" name="PivotTable10"/>
    <pivotTable tabId="3" name="PivotTable11"/>
    <pivotTable tabId="3" name="PivotTable12"/>
    <pivotTable tabId="3" name="PivotTable14"/>
    <pivotTable tabId="3" name="PivotTable2"/>
    <pivotTable tabId="3" name="PivotTable3"/>
    <pivotTable tabId="3" name="PivotTable4"/>
    <pivotTable tabId="3" name="PivotTable5"/>
    <pivotTable tabId="3" name="PivotTable7"/>
    <pivotTable tabId="3" name="PivotTable8"/>
    <pivotTable tabId="3" name="PivotTable9"/>
    <pivotTable tabId="4" name="PivotTable1"/>
    <pivotTable tabId="4" name="PivotTable13"/>
    <pivotTable tabId="4" name="PivotTable14"/>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 tabId="4" name="PivotTable24"/>
  </pivotTables>
  <data>
    <tabular pivotCacheId="1216802857">
      <items count="5">
        <i x="3" s="1"/>
        <i x="1" s="1"/>
        <i x="2" s="1"/>
        <i x="0"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D16013D-E806-4CB5-9410-1FEE5EB5E662}" sourceName="Country">
  <pivotTables>
    <pivotTable tabId="4" name="PivotTable15"/>
    <pivotTable tabId="3" name="PivotTable1"/>
    <pivotTable tabId="3" name="PivotTable10"/>
    <pivotTable tabId="3" name="PivotTable11"/>
    <pivotTable tabId="3" name="PivotTable12"/>
    <pivotTable tabId="3" name="PivotTable14"/>
    <pivotTable tabId="3" name="PivotTable2"/>
    <pivotTable tabId="3" name="PivotTable3"/>
    <pivotTable tabId="3" name="PivotTable4"/>
    <pivotTable tabId="3" name="PivotTable5"/>
    <pivotTable tabId="3" name="PivotTable7"/>
    <pivotTable tabId="3" name="PivotTable8"/>
    <pivotTable tabId="3" name="PivotTable9"/>
    <pivotTable tabId="4" name="PivotTable1"/>
    <pivotTable tabId="4" name="PivotTable13"/>
    <pivotTable tabId="4" name="PivotTable14"/>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 tabId="4" name="PivotTable24"/>
  </pivotTables>
  <data>
    <tabular pivotCacheId="1216802857">
      <items count="20">
        <i x="12" s="1"/>
        <i x="10" s="1"/>
        <i x="18" s="1"/>
        <i x="13" s="1"/>
        <i x="5" s="1"/>
        <i x="7" s="1"/>
        <i x="19" s="1"/>
        <i x="14" s="1"/>
        <i x="17" s="1"/>
        <i x="3" s="1"/>
        <i x="9" s="1"/>
        <i x="2" s="1"/>
        <i x="4" s="1"/>
        <i x="6" s="1"/>
        <i x="15" s="1"/>
        <i x="16" s="1"/>
        <i x="1" s="1"/>
        <i x="11"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69874464-C8B7-4243-8DAC-3A3AD5ABFF21}" cache="Slicer_Month_Name" caption="Month Name" rowHeight="257175"/>
  <slicer name="Product_Category" xr10:uid="{952280E7-55A0-4907-ABAD-B00E20196C7C}" cache="Slicer_Product_Category" caption="Product_Category" rowHeight="257175"/>
  <slicer name="Payment_Method" xr10:uid="{8472C460-4A34-4E18-A8C4-175620882515}" cache="Slicer_Payment_Method" caption="Payment_Metho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F2C18D4D-6EE1-434D-9E5F-A065792624F1}" cache="Slicer_Month_Name" caption="Month Name" style="SlicerStyleDark6" rowHeight="257175"/>
  <slicer name="Product_Category 1" xr10:uid="{5C4B4BFB-FABE-4DD3-B2FD-7A6126D50FED}" cache="Slicer_Product_Category" caption="Product_Category" style="SlicerStyleDark6" rowHeight="257175"/>
  <slicer name="Payment_Method 1" xr10:uid="{170688A3-A494-40FC-8ABA-E27BC216BE0A}" cache="Slicer_Payment_Method" caption="Payment_Method" style="SlicerStyleDark6"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2" xr10:uid="{7ED5F6BC-A3D6-4B64-A20D-A540C50BFBF6}" cache="Slicer_Product_Category" caption="Product_Category" style="SlicerStyleLight3" rowHeight="257175"/>
  <slicer name="price_tier" xr10:uid="{8272F9B8-B1CF-419E-B480-CE61CB13CDDF}" cache="Slicer_price_tier" caption="price_tier" style="SlicerStyleLight3" rowHeight="257175"/>
  <slicer name="Customer_Segment" xr10:uid="{FC204ED1-4A19-4464-9E24-F90942B311C7}" cache="Slicer_Customer_Segment" caption="Customer_Segment" style="SlicerStyleLight3"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10C920-1F5A-4587-B591-A582B8419BD9}" cache="Slicer_Region" caption="Region" style="SlicerStyleLight3" rowHeight="257175"/>
  <slicer name="Country" xr10:uid="{72230653-A334-4CDB-9B9D-514007063518}" cache="Slicer_Country" caption="Country" style="SlicerStyleLight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D6EC8-5BB0-4E14-9E64-534A96E3B8A8}" name="global_ecommerce_sales" displayName="global_ecommerce_sales" ref="A1:U2001" tableType="queryTable" totalsRowShown="0">
  <autoFilter ref="A1:U2001" xr:uid="{764D6EC8-5BB0-4E14-9E64-534A96E3B8A8}"/>
  <tableColumns count="21">
    <tableColumn id="1" xr3:uid="{AF81671A-D3CC-4C8A-B17E-57E3872B5946}" uniqueName="1" name="Order_ID" queryTableFieldId="1" dataDxfId="9"/>
    <tableColumn id="2" xr3:uid="{69F3ABAC-6E7B-4A70-A54B-CBF85EE1E984}" uniqueName="2" name="Order_Date" queryTableFieldId="2" dataDxfId="8"/>
    <tableColumn id="3" xr3:uid="{439E62FF-F6EF-4029-9F21-210671EFDA30}" uniqueName="3" name="Customer_Name" queryTableFieldId="3" dataDxfId="7"/>
    <tableColumn id="4" xr3:uid="{03504478-C0D4-42CD-A4C8-F2018109D217}" uniqueName="4" name="Customer_Segment" queryTableFieldId="4" dataDxfId="6"/>
    <tableColumn id="5" xr3:uid="{389E5D67-CEF1-4E0F-87B3-3EADEBB06F23}" uniqueName="5" name="Country" queryTableFieldId="5" dataDxfId="5"/>
    <tableColumn id="6" xr3:uid="{2701AE59-9B9F-4D93-AA69-4CD01137720A}" uniqueName="6" name="Region" queryTableFieldId="6" dataDxfId="4"/>
    <tableColumn id="7" xr3:uid="{8B20E706-BA2C-4410-9722-E3CABCB7E895}" uniqueName="7" name="Product_Category" queryTableFieldId="7" dataDxfId="3"/>
    <tableColumn id="8" xr3:uid="{037676E7-130B-49C6-9AB8-BDD09528807F}" uniqueName="8" name="Product_Name" queryTableFieldId="8" dataDxfId="2"/>
    <tableColumn id="9" xr3:uid="{ED04C464-32B4-41BA-ABD1-363DECDE45E5}" uniqueName="9" name="Quantity" queryTableFieldId="9"/>
    <tableColumn id="10" xr3:uid="{039CB841-9263-4DE6-85AD-F47C00F474FF}" uniqueName="10" name="Unit_Price" queryTableFieldId="10"/>
    <tableColumn id="11" xr3:uid="{19FB2840-1692-441E-A671-2C556E86A2FE}" uniqueName="11" name="Discount_Percent" queryTableFieldId="11"/>
    <tableColumn id="12" xr3:uid="{C403A2E5-BF78-4E6D-ADE9-224C7F7B34AB}" uniqueName="12" name="Total_Sales" queryTableFieldId="12"/>
    <tableColumn id="13" xr3:uid="{7AA7D375-C2BD-41B3-83F4-DBD31045D547}" uniqueName="13" name="Shipping_Cost" queryTableFieldId="13"/>
    <tableColumn id="14" xr3:uid="{25EFBE1A-DC48-4579-8BAD-1DAF75459280}" uniqueName="14" name="Profit" queryTableFieldId="14"/>
    <tableColumn id="15" xr3:uid="{137F3E1B-2DF8-4F34-89E4-28D0690B0FE9}" uniqueName="15" name="Payment_Method" queryTableFieldId="15" dataDxfId="1"/>
    <tableColumn id="16" xr3:uid="{E00AFEE4-61DB-4BC8-985E-F086E1EC5D5C}" uniqueName="16" name="Year" queryTableFieldId="16"/>
    <tableColumn id="17" xr3:uid="{B4BC81DF-A54D-4214-A55E-0A17A1DC3B67}" uniqueName="17" name="Month Name" queryTableFieldId="17" dataDxfId="0"/>
    <tableColumn id="18" xr3:uid="{13865C04-01F4-4AB8-8E5B-33731C330E12}" uniqueName="18" name="net_sales" queryTableFieldId="18"/>
    <tableColumn id="19" xr3:uid="{7812C643-B13B-4F80-B2CB-A5983EABF1DC}" uniqueName="19" name="profit_margin" queryTableFieldId="19"/>
    <tableColumn id="20" xr3:uid="{5A345643-30BD-4DA0-A3BF-A0AF2497380D}" uniqueName="20" name="price_tier" queryTableFieldId="20"/>
    <tableColumn id="21" xr3:uid="{1C1651BA-A229-4076-9A4F-911363DAA6A9}" uniqueName="21" name="profit_status"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pivotTable" Target="../pivotTables/pivotTable25.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5" Type="http://schemas.microsoft.com/office/2007/relationships/slicer" Target="../slicers/slicer1.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FE82-9085-4145-8EA1-C6E35160CBFB}">
  <sheetPr codeName="Sheet1"/>
  <dimension ref="B3:AG2004"/>
  <sheetViews>
    <sheetView topLeftCell="W1" zoomScale="54" zoomScaleNormal="100" workbookViewId="0"/>
  </sheetViews>
  <sheetFormatPr defaultRowHeight="15" x14ac:dyDescent="0.25"/>
  <cols>
    <col min="2" max="2" width="26" style="2" bestFit="1" customWidth="1"/>
    <col min="3" max="3" width="18.140625" style="2" customWidth="1"/>
    <col min="4" max="4" width="25.28515625" bestFit="1" customWidth="1"/>
    <col min="5" max="5" width="17.5703125" customWidth="1"/>
    <col min="6" max="6" width="13.42578125" bestFit="1" customWidth="1"/>
    <col min="7" max="7" width="31.42578125" style="2" bestFit="1" customWidth="1"/>
    <col min="8" max="8" width="21.42578125" style="2" customWidth="1"/>
    <col min="9" max="9" width="21.5703125" bestFit="1" customWidth="1"/>
    <col min="10" max="10" width="15.5703125" customWidth="1"/>
    <col min="11" max="11" width="30" style="2" bestFit="1" customWidth="1"/>
    <col min="12" max="12" width="21" customWidth="1"/>
    <col min="13" max="13" width="18.7109375" bestFit="1" customWidth="1"/>
    <col min="14" max="14" width="26" bestFit="1" customWidth="1"/>
    <col min="15" max="15" width="18.140625" customWidth="1"/>
    <col min="16" max="16" width="13.42578125" bestFit="1" customWidth="1"/>
    <col min="17" max="17" width="26" bestFit="1" customWidth="1"/>
    <col min="18" max="18" width="18.140625" customWidth="1"/>
    <col min="19" max="19" width="13.42578125" bestFit="1" customWidth="1"/>
    <col min="20" max="20" width="26" bestFit="1" customWidth="1"/>
    <col min="22" max="22" width="21.42578125" bestFit="1" customWidth="1"/>
    <col min="23" max="23" width="26" style="2" bestFit="1" customWidth="1"/>
    <col min="25" max="25" width="27.42578125" style="5" bestFit="1" customWidth="1"/>
    <col min="26" max="26" width="27.42578125" bestFit="1" customWidth="1"/>
    <col min="27" max="27" width="21.42578125" bestFit="1" customWidth="1"/>
    <col min="28" max="28" width="18.140625" style="2" bestFit="1" customWidth="1"/>
    <col min="29" max="29" width="13.42578125" bestFit="1" customWidth="1"/>
    <col min="30" max="30" width="17.5703125" bestFit="1" customWidth="1"/>
    <col min="31" max="31" width="10.85546875" bestFit="1" customWidth="1"/>
    <col min="32" max="32" width="29.7109375" bestFit="1" customWidth="1"/>
    <col min="33" max="33" width="18.140625" style="2" bestFit="1" customWidth="1"/>
    <col min="34" max="34" width="4.140625" bestFit="1" customWidth="1"/>
    <col min="35" max="35" width="8.42578125" bestFit="1" customWidth="1"/>
    <col min="36" max="36" width="11.28515625" bestFit="1" customWidth="1"/>
    <col min="37" max="2025" width="10.85546875" bestFit="1" customWidth="1"/>
    <col min="2026" max="2026" width="12.28515625" bestFit="1" customWidth="1"/>
  </cols>
  <sheetData>
    <row r="3" spans="2:33" x14ac:dyDescent="0.25">
      <c r="B3" s="2" t="s">
        <v>3648</v>
      </c>
      <c r="D3" s="2" t="s">
        <v>3652</v>
      </c>
      <c r="E3" s="2"/>
      <c r="F3" s="3" t="s">
        <v>3650</v>
      </c>
      <c r="G3" s="2" t="s">
        <v>3661</v>
      </c>
      <c r="I3" t="s">
        <v>3663</v>
      </c>
      <c r="K3" s="2" t="s">
        <v>3665</v>
      </c>
      <c r="M3" s="9" t="s">
        <v>3650</v>
      </c>
      <c r="N3" t="s">
        <v>3648</v>
      </c>
      <c r="P3" s="9" t="s">
        <v>3650</v>
      </c>
      <c r="Q3" t="s">
        <v>3648</v>
      </c>
      <c r="S3" s="9" t="s">
        <v>3650</v>
      </c>
      <c r="T3" t="s">
        <v>3648</v>
      </c>
      <c r="V3" s="9" t="s">
        <v>3650</v>
      </c>
      <c r="W3" s="2" t="s">
        <v>3648</v>
      </c>
      <c r="Y3"/>
      <c r="AA3" s="2" t="s">
        <v>3661</v>
      </c>
      <c r="AB3"/>
      <c r="AC3" s="9" t="s">
        <v>3650</v>
      </c>
      <c r="AD3" s="2" t="s">
        <v>3652</v>
      </c>
      <c r="AF3" s="9" t="s">
        <v>3650</v>
      </c>
      <c r="AG3" s="2" t="s">
        <v>3648</v>
      </c>
    </row>
    <row r="4" spans="2:33" x14ac:dyDescent="0.25">
      <c r="B4" s="2">
        <v>440864.49000000034</v>
      </c>
      <c r="D4">
        <v>1833</v>
      </c>
      <c r="F4" s="4" t="s">
        <v>3654</v>
      </c>
      <c r="G4" s="2">
        <v>242.63803600654649</v>
      </c>
      <c r="I4">
        <v>6543</v>
      </c>
      <c r="K4" s="2">
        <v>23676.260000000031</v>
      </c>
      <c r="L4" s="2"/>
      <c r="M4" s="6" t="s">
        <v>26</v>
      </c>
      <c r="N4" s="2">
        <v>126559.63999999998</v>
      </c>
      <c r="O4" s="2"/>
      <c r="P4" s="6" t="s">
        <v>30</v>
      </c>
      <c r="Q4" s="5">
        <v>0.53207701078397152</v>
      </c>
      <c r="R4" s="5"/>
      <c r="S4" s="6" t="s">
        <v>3657</v>
      </c>
      <c r="T4" s="5">
        <v>0.23193301415589185</v>
      </c>
      <c r="V4" s="6" t="s">
        <v>42</v>
      </c>
      <c r="W4" s="2">
        <v>229048.17000000004</v>
      </c>
      <c r="Y4"/>
      <c r="AA4" s="2">
        <v>240.51527004910002</v>
      </c>
      <c r="AB4"/>
      <c r="AC4" s="6" t="s">
        <v>3636</v>
      </c>
      <c r="AD4" s="2">
        <v>245</v>
      </c>
      <c r="AF4" s="6" t="s">
        <v>43</v>
      </c>
      <c r="AG4" s="2">
        <v>42242.299999999988</v>
      </c>
    </row>
    <row r="5" spans="2:33" x14ac:dyDescent="0.25">
      <c r="F5" s="4" t="s">
        <v>3655</v>
      </c>
      <c r="G5" s="2">
        <v>240.85219834710728</v>
      </c>
      <c r="M5" s="6" t="s">
        <v>19</v>
      </c>
      <c r="N5" s="2">
        <v>115745.20999999986</v>
      </c>
      <c r="O5" s="2"/>
      <c r="P5" s="6" t="s">
        <v>17</v>
      </c>
      <c r="Q5" s="5">
        <v>0.29507599943011958</v>
      </c>
      <c r="R5" s="5"/>
      <c r="S5" s="6" t="s">
        <v>3658</v>
      </c>
      <c r="T5" s="5">
        <v>0.19651873073288328</v>
      </c>
      <c r="V5" s="6" t="s">
        <v>20</v>
      </c>
      <c r="W5" s="2">
        <v>128007.06999999998</v>
      </c>
      <c r="Y5"/>
      <c r="AB5"/>
      <c r="AC5" s="6" t="s">
        <v>3633</v>
      </c>
      <c r="AD5" s="2">
        <v>1588</v>
      </c>
      <c r="AF5" s="6" t="s">
        <v>93</v>
      </c>
      <c r="AG5" s="2">
        <v>41015.689999999988</v>
      </c>
    </row>
    <row r="6" spans="2:33" x14ac:dyDescent="0.25">
      <c r="F6" s="4" t="s">
        <v>3656</v>
      </c>
      <c r="G6" s="2">
        <v>238.08277147487811</v>
      </c>
      <c r="M6" s="6" t="s">
        <v>60</v>
      </c>
      <c r="N6" s="2">
        <v>113057.5100000001</v>
      </c>
      <c r="O6" s="2"/>
      <c r="P6" s="6" t="s">
        <v>49</v>
      </c>
      <c r="Q6" s="5">
        <v>0.17284698978590893</v>
      </c>
      <c r="R6" s="5"/>
      <c r="S6" s="6" t="s">
        <v>3659</v>
      </c>
      <c r="T6" s="5">
        <v>0.26273442889446585</v>
      </c>
      <c r="V6" s="6" t="s">
        <v>69</v>
      </c>
      <c r="W6" s="2">
        <v>65715.930000000051</v>
      </c>
      <c r="Y6"/>
      <c r="AB6"/>
      <c r="AC6" s="6" t="s">
        <v>3651</v>
      </c>
      <c r="AD6" s="2">
        <v>1833</v>
      </c>
      <c r="AF6" s="6" t="s">
        <v>89</v>
      </c>
      <c r="AG6" s="2">
        <v>34920.749999999993</v>
      </c>
    </row>
    <row r="7" spans="2:33" x14ac:dyDescent="0.25">
      <c r="F7" s="4" t="s">
        <v>3651</v>
      </c>
      <c r="G7" s="2">
        <v>240.51527004910002</v>
      </c>
      <c r="M7" s="6" t="s">
        <v>54</v>
      </c>
      <c r="N7" s="2">
        <v>43194.51999999999</v>
      </c>
      <c r="O7" s="2"/>
      <c r="P7" s="6" t="s">
        <v>3651</v>
      </c>
      <c r="Q7" s="5">
        <v>1</v>
      </c>
      <c r="R7" s="5"/>
      <c r="S7" s="6" t="s">
        <v>3660</v>
      </c>
      <c r="T7" s="5">
        <v>0.30881382621675896</v>
      </c>
      <c r="V7" s="6" t="s">
        <v>32</v>
      </c>
      <c r="W7" s="2">
        <v>18093.32</v>
      </c>
      <c r="Y7"/>
      <c r="AB7"/>
      <c r="AF7" s="6" t="s">
        <v>294</v>
      </c>
      <c r="AG7" s="2">
        <v>32246.979999999996</v>
      </c>
    </row>
    <row r="8" spans="2:33" x14ac:dyDescent="0.25">
      <c r="M8" s="6" t="s">
        <v>68</v>
      </c>
      <c r="N8" s="2">
        <v>42307.609999999986</v>
      </c>
      <c r="O8" s="2"/>
      <c r="S8" s="6" t="s">
        <v>3651</v>
      </c>
      <c r="T8" s="5">
        <v>1</v>
      </c>
      <c r="V8" s="6" t="s">
        <v>3651</v>
      </c>
      <c r="W8" s="2">
        <v>440864.49000000011</v>
      </c>
      <c r="Y8"/>
      <c r="AA8" t="s">
        <v>3670</v>
      </c>
      <c r="AB8"/>
      <c r="AF8" s="6" t="s">
        <v>21</v>
      </c>
      <c r="AG8" s="2">
        <v>25336.090000000004</v>
      </c>
    </row>
    <row r="9" spans="2:33" x14ac:dyDescent="0.25">
      <c r="B9" s="2" t="s">
        <v>3649</v>
      </c>
      <c r="D9" t="s">
        <v>3653</v>
      </c>
      <c r="G9" s="2" t="s">
        <v>3662</v>
      </c>
      <c r="I9" t="s">
        <v>3664</v>
      </c>
      <c r="K9" s="2" t="s">
        <v>3666</v>
      </c>
      <c r="M9" s="6" t="s">
        <v>3651</v>
      </c>
      <c r="N9" s="2">
        <v>440864.48999999987</v>
      </c>
      <c r="O9" s="2"/>
      <c r="Y9"/>
      <c r="AA9" s="2">
        <f>(GETPIVOTDATA("Total_Sales",$AA$3))</f>
        <v>240.51527004910002</v>
      </c>
      <c r="AB9"/>
      <c r="AC9" s="6" t="s">
        <v>3633</v>
      </c>
      <c r="AF9" s="6" t="s">
        <v>27</v>
      </c>
      <c r="AG9" s="2">
        <v>22625.78</v>
      </c>
    </row>
    <row r="10" spans="2:33" x14ac:dyDescent="0.25">
      <c r="B10" s="2">
        <f>(GETPIVOTDATA("Total_Sales",$B$3))</f>
        <v>440864.49000000034</v>
      </c>
      <c r="D10">
        <f>(GETPIVOTDATA("Order_ID",$D$3))</f>
        <v>1833</v>
      </c>
      <c r="G10" s="2">
        <f>(GETPIVOTDATA("Total_Sales",$F$3))</f>
        <v>240.51527004910002</v>
      </c>
      <c r="I10">
        <f>(GETPIVOTDATA("Quantity",$I$3))</f>
        <v>6543</v>
      </c>
      <c r="K10" s="2">
        <f>(GETPIVOTDATA("Shipping_Cost",$K$3))</f>
        <v>23676.260000000031</v>
      </c>
      <c r="P10" s="6" t="s">
        <v>3667</v>
      </c>
      <c r="S10" s="6" t="s">
        <v>3660</v>
      </c>
      <c r="V10" s="6" t="s">
        <v>3669</v>
      </c>
      <c r="Y10"/>
      <c r="AB10"/>
      <c r="AC10" s="2">
        <f>(GETPIVOTDATA("Order_ID",$AC$3,"profit_status","profit"))</f>
        <v>1588</v>
      </c>
      <c r="AF10" s="6" t="s">
        <v>371</v>
      </c>
      <c r="AG10" s="2">
        <v>21876.03</v>
      </c>
    </row>
    <row r="11" spans="2:33" x14ac:dyDescent="0.25">
      <c r="M11" s="6" t="s">
        <v>3668</v>
      </c>
      <c r="P11" s="5">
        <f>(GETPIVOTDATA("Total_Sales",$P$3,"Customer_Segment","Corporate"))</f>
        <v>0.29507599943011958</v>
      </c>
      <c r="S11" s="5">
        <f>(GETPIVOTDATA("Total_Sales",$S$3,"Quarters (Order_Date)",4))</f>
        <v>0.30881382621675896</v>
      </c>
      <c r="V11" s="6" t="s">
        <v>42</v>
      </c>
      <c r="W11" s="2">
        <f>(GETPIVOTDATA("Total_Sales",$V$3,"Product_Category","Furniture"))</f>
        <v>229048.17000000004</v>
      </c>
      <c r="Y11"/>
      <c r="AB11"/>
      <c r="AF11" s="6" t="s">
        <v>64</v>
      </c>
      <c r="AG11" s="2">
        <v>18254.219999999994</v>
      </c>
    </row>
    <row r="12" spans="2:33" x14ac:dyDescent="0.25">
      <c r="M12" s="6" t="s">
        <v>26</v>
      </c>
      <c r="N12" s="2">
        <f>(GETPIVOTDATA("Total_Sales",$M$3,"Region","Europe"))</f>
        <v>126559.63999999998</v>
      </c>
      <c r="Y12"/>
      <c r="AB12"/>
      <c r="AF12" s="6" t="s">
        <v>122</v>
      </c>
      <c r="AG12" s="2">
        <v>16858.789999999997</v>
      </c>
    </row>
    <row r="13" spans="2:33" x14ac:dyDescent="0.25">
      <c r="Y13"/>
      <c r="AB13"/>
      <c r="AF13" s="6" t="s">
        <v>46</v>
      </c>
      <c r="AG13" s="2">
        <v>16488.900000000001</v>
      </c>
    </row>
    <row r="14" spans="2:33" x14ac:dyDescent="0.25">
      <c r="Y14"/>
      <c r="AB14"/>
      <c r="AF14" s="6" t="s">
        <v>3651</v>
      </c>
      <c r="AG14" s="2">
        <v>271865.52999999997</v>
      </c>
    </row>
    <row r="15" spans="2:33" x14ac:dyDescent="0.25">
      <c r="Y15"/>
      <c r="AB15"/>
      <c r="AG15"/>
    </row>
    <row r="16" spans="2:33" x14ac:dyDescent="0.25">
      <c r="Y16"/>
      <c r="AB16"/>
      <c r="AF16" s="6" t="s">
        <v>3673</v>
      </c>
      <c r="AG16"/>
    </row>
    <row r="17" spans="25:33" x14ac:dyDescent="0.25">
      <c r="Y17"/>
      <c r="AB17"/>
      <c r="AF17" s="2">
        <f>(GETPIVOTDATA("Total_Sales",$AF$3,"Product_Name","Standing Desk Converter"))</f>
        <v>42242.299999999988</v>
      </c>
      <c r="AG17"/>
    </row>
    <row r="18" spans="25:33" x14ac:dyDescent="0.25">
      <c r="Y18"/>
      <c r="AB18"/>
      <c r="AG18"/>
    </row>
    <row r="19" spans="25:33" x14ac:dyDescent="0.25">
      <c r="Y19"/>
      <c r="AB19"/>
      <c r="AG19"/>
    </row>
    <row r="20" spans="25:33" x14ac:dyDescent="0.25">
      <c r="Y20"/>
      <c r="AB20"/>
      <c r="AG20"/>
    </row>
    <row r="21" spans="25:33" x14ac:dyDescent="0.25">
      <c r="Y21"/>
      <c r="AB21"/>
      <c r="AG21"/>
    </row>
    <row r="22" spans="25:33" x14ac:dyDescent="0.25">
      <c r="Y22"/>
      <c r="AB22"/>
      <c r="AG22"/>
    </row>
    <row r="23" spans="25:33" x14ac:dyDescent="0.25">
      <c r="Y23"/>
      <c r="AB23"/>
      <c r="AG23"/>
    </row>
    <row r="24" spans="25:33" x14ac:dyDescent="0.25">
      <c r="Y24"/>
      <c r="AB24"/>
      <c r="AG24"/>
    </row>
    <row r="25" spans="25:33" x14ac:dyDescent="0.25">
      <c r="Y25"/>
      <c r="AB25"/>
      <c r="AG25"/>
    </row>
    <row r="26" spans="25:33" x14ac:dyDescent="0.25">
      <c r="Y26"/>
      <c r="AB26"/>
      <c r="AG26"/>
    </row>
    <row r="27" spans="25:33" x14ac:dyDescent="0.25">
      <c r="Y27"/>
      <c r="AB27"/>
      <c r="AG27"/>
    </row>
    <row r="28" spans="25:33" x14ac:dyDescent="0.25">
      <c r="Y28"/>
      <c r="AB28"/>
      <c r="AG28"/>
    </row>
    <row r="29" spans="25:33" x14ac:dyDescent="0.25">
      <c r="Y29"/>
      <c r="AB29"/>
      <c r="AG29"/>
    </row>
    <row r="30" spans="25:33" x14ac:dyDescent="0.25">
      <c r="Y30"/>
      <c r="AB30"/>
      <c r="AG30"/>
    </row>
    <row r="31" spans="25:33" x14ac:dyDescent="0.25">
      <c r="Y31"/>
      <c r="AB31"/>
      <c r="AG31"/>
    </row>
    <row r="32" spans="25:33" x14ac:dyDescent="0.25">
      <c r="Y32"/>
      <c r="AB32"/>
      <c r="AG32"/>
    </row>
    <row r="33" spans="25:33" x14ac:dyDescent="0.25">
      <c r="Y33"/>
      <c r="AB33"/>
      <c r="AG33"/>
    </row>
    <row r="34" spans="25:33" x14ac:dyDescent="0.25">
      <c r="Y34"/>
      <c r="AB34"/>
      <c r="AG34"/>
    </row>
    <row r="35" spans="25:33" x14ac:dyDescent="0.25">
      <c r="Y35"/>
      <c r="AB35"/>
      <c r="AG35"/>
    </row>
    <row r="36" spans="25:33" x14ac:dyDescent="0.25">
      <c r="Y36"/>
      <c r="AB36"/>
      <c r="AG36"/>
    </row>
    <row r="37" spans="25:33" x14ac:dyDescent="0.25">
      <c r="Y37"/>
      <c r="AB37"/>
      <c r="AG37"/>
    </row>
    <row r="38" spans="25:33" x14ac:dyDescent="0.25">
      <c r="Y38"/>
      <c r="AB38"/>
      <c r="AG38"/>
    </row>
    <row r="39" spans="25:33" x14ac:dyDescent="0.25">
      <c r="Y39"/>
      <c r="AB39"/>
      <c r="AG39"/>
    </row>
    <row r="40" spans="25:33" x14ac:dyDescent="0.25">
      <c r="Y40"/>
      <c r="AB40"/>
      <c r="AG40"/>
    </row>
    <row r="41" spans="25:33" x14ac:dyDescent="0.25">
      <c r="Y41"/>
      <c r="AB41"/>
      <c r="AG41"/>
    </row>
    <row r="42" spans="25:33" x14ac:dyDescent="0.25">
      <c r="Y42"/>
      <c r="AB42"/>
      <c r="AG42"/>
    </row>
    <row r="43" spans="25:33" x14ac:dyDescent="0.25">
      <c r="Y43"/>
      <c r="AB43"/>
      <c r="AG43"/>
    </row>
    <row r="44" spans="25:33" x14ac:dyDescent="0.25">
      <c r="Y44"/>
      <c r="AB44"/>
      <c r="AG44"/>
    </row>
    <row r="45" spans="25:33" x14ac:dyDescent="0.25">
      <c r="Y45"/>
      <c r="AB45"/>
    </row>
    <row r="46" spans="25:33" x14ac:dyDescent="0.25">
      <c r="Y46"/>
      <c r="AB46"/>
    </row>
    <row r="47" spans="25:33" x14ac:dyDescent="0.25">
      <c r="Y47"/>
      <c r="AB47"/>
    </row>
    <row r="48" spans="25:33" x14ac:dyDescent="0.25">
      <c r="Y48"/>
      <c r="AB48"/>
    </row>
    <row r="49" spans="25:28" x14ac:dyDescent="0.25">
      <c r="Y49"/>
      <c r="AB49"/>
    </row>
    <row r="50" spans="25:28" x14ac:dyDescent="0.25">
      <c r="Y50"/>
      <c r="AB50"/>
    </row>
    <row r="51" spans="25:28" x14ac:dyDescent="0.25">
      <c r="Y51"/>
      <c r="AB51"/>
    </row>
    <row r="52" spans="25:28" x14ac:dyDescent="0.25">
      <c r="Y52"/>
      <c r="AB52"/>
    </row>
    <row r="53" spans="25:28" x14ac:dyDescent="0.25">
      <c r="Y53"/>
      <c r="AB53"/>
    </row>
    <row r="54" spans="25:28" x14ac:dyDescent="0.25">
      <c r="Y54"/>
      <c r="AB54"/>
    </row>
    <row r="55" spans="25:28" x14ac:dyDescent="0.25">
      <c r="Y55"/>
      <c r="AB55"/>
    </row>
    <row r="56" spans="25:28" x14ac:dyDescent="0.25">
      <c r="Y56"/>
      <c r="AB56"/>
    </row>
    <row r="57" spans="25:28" x14ac:dyDescent="0.25">
      <c r="Y57"/>
      <c r="AB57"/>
    </row>
    <row r="58" spans="25:28" x14ac:dyDescent="0.25">
      <c r="Y58"/>
      <c r="AB58"/>
    </row>
    <row r="59" spans="25:28" x14ac:dyDescent="0.25">
      <c r="Y59"/>
      <c r="AB59"/>
    </row>
    <row r="60" spans="25:28" x14ac:dyDescent="0.25">
      <c r="Y60"/>
      <c r="AB60"/>
    </row>
    <row r="61" spans="25:28" x14ac:dyDescent="0.25">
      <c r="Y61"/>
      <c r="AB61"/>
    </row>
    <row r="62" spans="25:28" x14ac:dyDescent="0.25">
      <c r="Y62"/>
      <c r="AB62"/>
    </row>
    <row r="63" spans="25:28" x14ac:dyDescent="0.25">
      <c r="Y63"/>
      <c r="AB63"/>
    </row>
    <row r="64" spans="25:28" x14ac:dyDescent="0.25">
      <c r="Y64"/>
      <c r="AB64"/>
    </row>
    <row r="65" spans="25:28" x14ac:dyDescent="0.25">
      <c r="Y65"/>
      <c r="AB65"/>
    </row>
    <row r="66" spans="25:28" x14ac:dyDescent="0.25">
      <c r="Y66"/>
      <c r="AB66"/>
    </row>
    <row r="67" spans="25:28" x14ac:dyDescent="0.25">
      <c r="Y67"/>
      <c r="AB67"/>
    </row>
    <row r="68" spans="25:28" x14ac:dyDescent="0.25">
      <c r="Y68"/>
      <c r="AB68"/>
    </row>
    <row r="69" spans="25:28" x14ac:dyDescent="0.25">
      <c r="Y69"/>
      <c r="AB69"/>
    </row>
    <row r="70" spans="25:28" x14ac:dyDescent="0.25">
      <c r="Y70"/>
      <c r="AB70"/>
    </row>
    <row r="71" spans="25:28" x14ac:dyDescent="0.25">
      <c r="Y71"/>
      <c r="AB71"/>
    </row>
    <row r="72" spans="25:28" x14ac:dyDescent="0.25">
      <c r="Y72"/>
      <c r="AB72"/>
    </row>
    <row r="73" spans="25:28" x14ac:dyDescent="0.25">
      <c r="Y73"/>
      <c r="AB73"/>
    </row>
    <row r="74" spans="25:28" x14ac:dyDescent="0.25">
      <c r="Y74"/>
      <c r="AB74"/>
    </row>
    <row r="75" spans="25:28" x14ac:dyDescent="0.25">
      <c r="Y75"/>
      <c r="AB75"/>
    </row>
    <row r="76" spans="25:28" x14ac:dyDescent="0.25">
      <c r="Y76"/>
      <c r="AB76"/>
    </row>
    <row r="77" spans="25:28" x14ac:dyDescent="0.25">
      <c r="Y77"/>
      <c r="AB77"/>
    </row>
    <row r="78" spans="25:28" x14ac:dyDescent="0.25">
      <c r="Y78"/>
      <c r="AB78"/>
    </row>
    <row r="79" spans="25:28" x14ac:dyDescent="0.25">
      <c r="Y79"/>
      <c r="AB79"/>
    </row>
    <row r="80" spans="25:28" x14ac:dyDescent="0.25">
      <c r="Y80"/>
      <c r="AB80"/>
    </row>
    <row r="81" spans="25:28" x14ac:dyDescent="0.25">
      <c r="Y81"/>
      <c r="AB81"/>
    </row>
    <row r="82" spans="25:28" x14ac:dyDescent="0.25">
      <c r="Y82"/>
      <c r="AB82"/>
    </row>
    <row r="83" spans="25:28" x14ac:dyDescent="0.25">
      <c r="Y83"/>
      <c r="AB83"/>
    </row>
    <row r="84" spans="25:28" x14ac:dyDescent="0.25">
      <c r="Y84"/>
      <c r="AB84"/>
    </row>
    <row r="85" spans="25:28" x14ac:dyDescent="0.25">
      <c r="Y85"/>
      <c r="AB85"/>
    </row>
    <row r="86" spans="25:28" x14ac:dyDescent="0.25">
      <c r="Y86"/>
      <c r="AB86"/>
    </row>
    <row r="87" spans="25:28" x14ac:dyDescent="0.25">
      <c r="Y87"/>
      <c r="AB87"/>
    </row>
    <row r="88" spans="25:28" x14ac:dyDescent="0.25">
      <c r="Y88"/>
      <c r="AB88"/>
    </row>
    <row r="89" spans="25:28" x14ac:dyDescent="0.25">
      <c r="Y89"/>
      <c r="AB89"/>
    </row>
    <row r="90" spans="25:28" x14ac:dyDescent="0.25">
      <c r="Y90"/>
      <c r="AB90"/>
    </row>
    <row r="91" spans="25:28" x14ac:dyDescent="0.25">
      <c r="Y91"/>
      <c r="AB91"/>
    </row>
    <row r="92" spans="25:28" x14ac:dyDescent="0.25">
      <c r="Y92"/>
      <c r="AB92"/>
    </row>
    <row r="93" spans="25:28" x14ac:dyDescent="0.25">
      <c r="Y93"/>
      <c r="AB93"/>
    </row>
    <row r="94" spans="25:28" x14ac:dyDescent="0.25">
      <c r="Y94"/>
      <c r="AB94"/>
    </row>
    <row r="95" spans="25:28" x14ac:dyDescent="0.25">
      <c r="Y95"/>
      <c r="AB95"/>
    </row>
    <row r="96" spans="25:28" x14ac:dyDescent="0.25">
      <c r="Y96"/>
      <c r="AB96"/>
    </row>
    <row r="97" spans="25:28" x14ac:dyDescent="0.25">
      <c r="Y97"/>
      <c r="AB97"/>
    </row>
    <row r="98" spans="25:28" x14ac:dyDescent="0.25">
      <c r="Y98"/>
      <c r="AB98"/>
    </row>
    <row r="99" spans="25:28" x14ac:dyDescent="0.25">
      <c r="Y99"/>
      <c r="AB99"/>
    </row>
    <row r="100" spans="25:28" x14ac:dyDescent="0.25">
      <c r="Y100"/>
      <c r="AB100"/>
    </row>
    <row r="101" spans="25:28" x14ac:dyDescent="0.25">
      <c r="Y101"/>
      <c r="AB101"/>
    </row>
    <row r="102" spans="25:28" x14ac:dyDescent="0.25">
      <c r="Y102"/>
      <c r="AB102"/>
    </row>
    <row r="103" spans="25:28" x14ac:dyDescent="0.25">
      <c r="Y103"/>
      <c r="AB103"/>
    </row>
    <row r="104" spans="25:28" x14ac:dyDescent="0.25">
      <c r="Y104"/>
      <c r="AB104"/>
    </row>
    <row r="105" spans="25:28" x14ac:dyDescent="0.25">
      <c r="Y105"/>
      <c r="AB105"/>
    </row>
    <row r="106" spans="25:28" x14ac:dyDescent="0.25">
      <c r="Y106"/>
      <c r="AB106"/>
    </row>
    <row r="107" spans="25:28" x14ac:dyDescent="0.25">
      <c r="Y107"/>
      <c r="AB107"/>
    </row>
    <row r="108" spans="25:28" x14ac:dyDescent="0.25">
      <c r="Y108"/>
      <c r="AB108"/>
    </row>
    <row r="109" spans="25:28" x14ac:dyDescent="0.25">
      <c r="Y109"/>
      <c r="AB109"/>
    </row>
    <row r="110" spans="25:28" x14ac:dyDescent="0.25">
      <c r="Y110"/>
      <c r="AB110"/>
    </row>
    <row r="111" spans="25:28" x14ac:dyDescent="0.25">
      <c r="Y111"/>
      <c r="AB111"/>
    </row>
    <row r="112" spans="25:28" x14ac:dyDescent="0.25">
      <c r="Y112"/>
      <c r="AB112"/>
    </row>
    <row r="113" spans="25:28" x14ac:dyDescent="0.25">
      <c r="Y113"/>
      <c r="AB113"/>
    </row>
    <row r="114" spans="25:28" x14ac:dyDescent="0.25">
      <c r="Y114"/>
      <c r="AB114"/>
    </row>
    <row r="115" spans="25:28" x14ac:dyDescent="0.25">
      <c r="Y115"/>
      <c r="AB115"/>
    </row>
    <row r="116" spans="25:28" x14ac:dyDescent="0.25">
      <c r="Y116"/>
      <c r="AB116"/>
    </row>
    <row r="117" spans="25:28" x14ac:dyDescent="0.25">
      <c r="Y117"/>
      <c r="AB117"/>
    </row>
    <row r="118" spans="25:28" x14ac:dyDescent="0.25">
      <c r="Y118"/>
      <c r="AB118"/>
    </row>
    <row r="119" spans="25:28" x14ac:dyDescent="0.25">
      <c r="Y119"/>
      <c r="AB119"/>
    </row>
    <row r="120" spans="25:28" x14ac:dyDescent="0.25">
      <c r="Y120"/>
      <c r="AB120"/>
    </row>
    <row r="121" spans="25:28" x14ac:dyDescent="0.25">
      <c r="Y121"/>
      <c r="AB121"/>
    </row>
    <row r="122" spans="25:28" x14ac:dyDescent="0.25">
      <c r="Y122"/>
      <c r="AB122"/>
    </row>
    <row r="123" spans="25:28" x14ac:dyDescent="0.25">
      <c r="Y123"/>
      <c r="AB123"/>
    </row>
    <row r="124" spans="25:28" x14ac:dyDescent="0.25">
      <c r="Y124"/>
      <c r="AB124"/>
    </row>
    <row r="125" spans="25:28" x14ac:dyDescent="0.25">
      <c r="Y125"/>
      <c r="AB125"/>
    </row>
    <row r="126" spans="25:28" x14ac:dyDescent="0.25">
      <c r="Y126"/>
      <c r="AB126"/>
    </row>
    <row r="127" spans="25:28" x14ac:dyDescent="0.25">
      <c r="Y127"/>
      <c r="AB127"/>
    </row>
    <row r="128" spans="25:28" x14ac:dyDescent="0.25">
      <c r="Y128"/>
      <c r="AB128"/>
    </row>
    <row r="129" spans="25:28" x14ac:dyDescent="0.25">
      <c r="Y129"/>
      <c r="AB129"/>
    </row>
    <row r="130" spans="25:28" x14ac:dyDescent="0.25">
      <c r="Y130"/>
      <c r="AB130"/>
    </row>
    <row r="131" spans="25:28" x14ac:dyDescent="0.25">
      <c r="Y131"/>
      <c r="AB131"/>
    </row>
    <row r="132" spans="25:28" x14ac:dyDescent="0.25">
      <c r="Y132"/>
      <c r="AB132"/>
    </row>
    <row r="133" spans="25:28" x14ac:dyDescent="0.25">
      <c r="Y133"/>
      <c r="AB133"/>
    </row>
    <row r="134" spans="25:28" x14ac:dyDescent="0.25">
      <c r="Y134"/>
      <c r="AB134"/>
    </row>
    <row r="135" spans="25:28" x14ac:dyDescent="0.25">
      <c r="Y135"/>
      <c r="AB135"/>
    </row>
    <row r="136" spans="25:28" x14ac:dyDescent="0.25">
      <c r="Y136"/>
      <c r="AB136"/>
    </row>
    <row r="137" spans="25:28" x14ac:dyDescent="0.25">
      <c r="Y137"/>
      <c r="AB137"/>
    </row>
    <row r="138" spans="25:28" x14ac:dyDescent="0.25">
      <c r="Y138"/>
      <c r="AB138"/>
    </row>
    <row r="139" spans="25:28" x14ac:dyDescent="0.25">
      <c r="Y139"/>
      <c r="AB139"/>
    </row>
    <row r="140" spans="25:28" x14ac:dyDescent="0.25">
      <c r="Y140"/>
      <c r="AB140"/>
    </row>
    <row r="141" spans="25:28" x14ac:dyDescent="0.25">
      <c r="Y141"/>
      <c r="AB141"/>
    </row>
    <row r="142" spans="25:28" x14ac:dyDescent="0.25">
      <c r="Y142"/>
      <c r="AB142"/>
    </row>
    <row r="143" spans="25:28" x14ac:dyDescent="0.25">
      <c r="Y143"/>
      <c r="AB143"/>
    </row>
    <row r="144" spans="25:28" x14ac:dyDescent="0.25">
      <c r="Y144"/>
      <c r="AB144"/>
    </row>
    <row r="145" spans="25:28" x14ac:dyDescent="0.25">
      <c r="Y145"/>
      <c r="AB145"/>
    </row>
    <row r="146" spans="25:28" x14ac:dyDescent="0.25">
      <c r="Y146"/>
      <c r="AB146"/>
    </row>
    <row r="147" spans="25:28" x14ac:dyDescent="0.25">
      <c r="Y147"/>
      <c r="AB147"/>
    </row>
    <row r="148" spans="25:28" x14ac:dyDescent="0.25">
      <c r="Y148"/>
      <c r="AB148"/>
    </row>
    <row r="149" spans="25:28" x14ac:dyDescent="0.25">
      <c r="Y149"/>
      <c r="AB149"/>
    </row>
    <row r="150" spans="25:28" x14ac:dyDescent="0.25">
      <c r="Y150"/>
      <c r="AB150"/>
    </row>
    <row r="151" spans="25:28" x14ac:dyDescent="0.25">
      <c r="Y151"/>
      <c r="AB151"/>
    </row>
    <row r="152" spans="25:28" x14ac:dyDescent="0.25">
      <c r="Y152"/>
      <c r="AB152"/>
    </row>
    <row r="153" spans="25:28" x14ac:dyDescent="0.25">
      <c r="Y153"/>
      <c r="AB153"/>
    </row>
    <row r="154" spans="25:28" x14ac:dyDescent="0.25">
      <c r="Y154"/>
      <c r="AB154"/>
    </row>
    <row r="155" spans="25:28" x14ac:dyDescent="0.25">
      <c r="Y155"/>
      <c r="AB155"/>
    </row>
    <row r="156" spans="25:28" x14ac:dyDescent="0.25">
      <c r="Y156"/>
      <c r="AB156"/>
    </row>
    <row r="157" spans="25:28" x14ac:dyDescent="0.25">
      <c r="Y157"/>
      <c r="AB157"/>
    </row>
    <row r="158" spans="25:28" x14ac:dyDescent="0.25">
      <c r="Y158"/>
      <c r="AB158"/>
    </row>
    <row r="159" spans="25:28" x14ac:dyDescent="0.25">
      <c r="Y159"/>
      <c r="AB159"/>
    </row>
    <row r="160" spans="25:28" x14ac:dyDescent="0.25">
      <c r="Y160"/>
      <c r="AB160"/>
    </row>
    <row r="161" spans="25:28" x14ac:dyDescent="0.25">
      <c r="Y161"/>
      <c r="AB161"/>
    </row>
    <row r="162" spans="25:28" x14ac:dyDescent="0.25">
      <c r="Y162"/>
      <c r="AB162"/>
    </row>
    <row r="163" spans="25:28" x14ac:dyDescent="0.25">
      <c r="Y163"/>
      <c r="AB163"/>
    </row>
    <row r="164" spans="25:28" x14ac:dyDescent="0.25">
      <c r="Y164"/>
      <c r="AB164"/>
    </row>
    <row r="165" spans="25:28" x14ac:dyDescent="0.25">
      <c r="Y165"/>
      <c r="AB165"/>
    </row>
    <row r="166" spans="25:28" x14ac:dyDescent="0.25">
      <c r="Y166"/>
      <c r="AB166"/>
    </row>
    <row r="167" spans="25:28" x14ac:dyDescent="0.25">
      <c r="Y167"/>
      <c r="AB167"/>
    </row>
    <row r="168" spans="25:28" x14ac:dyDescent="0.25">
      <c r="Y168"/>
      <c r="AB168"/>
    </row>
    <row r="169" spans="25:28" x14ac:dyDescent="0.25">
      <c r="Y169"/>
      <c r="AB169"/>
    </row>
    <row r="170" spans="25:28" x14ac:dyDescent="0.25">
      <c r="Y170"/>
      <c r="AB170"/>
    </row>
    <row r="171" spans="25:28" x14ac:dyDescent="0.25">
      <c r="Y171"/>
      <c r="AB171"/>
    </row>
    <row r="172" spans="25:28" x14ac:dyDescent="0.25">
      <c r="Y172"/>
      <c r="AB172"/>
    </row>
    <row r="173" spans="25:28" x14ac:dyDescent="0.25">
      <c r="Y173"/>
      <c r="AB173"/>
    </row>
    <row r="174" spans="25:28" x14ac:dyDescent="0.25">
      <c r="Y174"/>
      <c r="AB174"/>
    </row>
    <row r="175" spans="25:28" x14ac:dyDescent="0.25">
      <c r="Y175"/>
      <c r="AB175"/>
    </row>
    <row r="176" spans="25:28" x14ac:dyDescent="0.25">
      <c r="Y176"/>
      <c r="AB176"/>
    </row>
    <row r="177" spans="25:28" x14ac:dyDescent="0.25">
      <c r="Y177"/>
      <c r="AB177"/>
    </row>
    <row r="178" spans="25:28" x14ac:dyDescent="0.25">
      <c r="Y178"/>
      <c r="AB178"/>
    </row>
    <row r="179" spans="25:28" x14ac:dyDescent="0.25">
      <c r="Y179"/>
      <c r="AB179"/>
    </row>
    <row r="180" spans="25:28" x14ac:dyDescent="0.25">
      <c r="Y180"/>
      <c r="AB180"/>
    </row>
    <row r="181" spans="25:28" x14ac:dyDescent="0.25">
      <c r="Y181"/>
      <c r="AB181"/>
    </row>
    <row r="182" spans="25:28" x14ac:dyDescent="0.25">
      <c r="Y182"/>
      <c r="AB182"/>
    </row>
    <row r="183" spans="25:28" x14ac:dyDescent="0.25">
      <c r="Y183"/>
      <c r="AB183"/>
    </row>
    <row r="184" spans="25:28" x14ac:dyDescent="0.25">
      <c r="Y184"/>
      <c r="AB184"/>
    </row>
    <row r="185" spans="25:28" x14ac:dyDescent="0.25">
      <c r="Y185"/>
      <c r="AB185"/>
    </row>
    <row r="186" spans="25:28" x14ac:dyDescent="0.25">
      <c r="Y186"/>
      <c r="AB186"/>
    </row>
    <row r="187" spans="25:28" x14ac:dyDescent="0.25">
      <c r="Y187"/>
      <c r="AB187"/>
    </row>
    <row r="188" spans="25:28" x14ac:dyDescent="0.25">
      <c r="Y188"/>
      <c r="AB188"/>
    </row>
    <row r="189" spans="25:28" x14ac:dyDescent="0.25">
      <c r="Y189"/>
      <c r="AB189"/>
    </row>
    <row r="190" spans="25:28" x14ac:dyDescent="0.25">
      <c r="Y190"/>
      <c r="AB190"/>
    </row>
    <row r="191" spans="25:28" x14ac:dyDescent="0.25">
      <c r="Y191"/>
      <c r="AB191"/>
    </row>
    <row r="192" spans="25:28" x14ac:dyDescent="0.25">
      <c r="Y192"/>
      <c r="AB192"/>
    </row>
    <row r="193" spans="25:28" x14ac:dyDescent="0.25">
      <c r="Y193"/>
      <c r="AB193"/>
    </row>
    <row r="194" spans="25:28" x14ac:dyDescent="0.25">
      <c r="Y194"/>
      <c r="AB194"/>
    </row>
    <row r="195" spans="25:28" x14ac:dyDescent="0.25">
      <c r="Y195"/>
      <c r="AB195"/>
    </row>
    <row r="196" spans="25:28" x14ac:dyDescent="0.25">
      <c r="Y196"/>
      <c r="AB196"/>
    </row>
    <row r="197" spans="25:28" x14ac:dyDescent="0.25">
      <c r="Y197"/>
      <c r="AB197"/>
    </row>
    <row r="198" spans="25:28" x14ac:dyDescent="0.25">
      <c r="Y198"/>
      <c r="AB198"/>
    </row>
    <row r="199" spans="25:28" x14ac:dyDescent="0.25">
      <c r="Y199"/>
      <c r="AB199"/>
    </row>
    <row r="200" spans="25:28" x14ac:dyDescent="0.25">
      <c r="Y200"/>
      <c r="AB200"/>
    </row>
    <row r="201" spans="25:28" x14ac:dyDescent="0.25">
      <c r="Y201"/>
      <c r="AB201"/>
    </row>
    <row r="202" spans="25:28" x14ac:dyDescent="0.25">
      <c r="Y202"/>
      <c r="AB202"/>
    </row>
    <row r="203" spans="25:28" x14ac:dyDescent="0.25">
      <c r="Y203"/>
      <c r="AB203"/>
    </row>
    <row r="204" spans="25:28" x14ac:dyDescent="0.25">
      <c r="Y204"/>
      <c r="AB204"/>
    </row>
    <row r="205" spans="25:28" x14ac:dyDescent="0.25">
      <c r="Y205"/>
      <c r="AB205"/>
    </row>
    <row r="206" spans="25:28" x14ac:dyDescent="0.25">
      <c r="Y206"/>
      <c r="AB206"/>
    </row>
    <row r="207" spans="25:28" x14ac:dyDescent="0.25">
      <c r="Y207"/>
      <c r="AB207"/>
    </row>
    <row r="208" spans="25:28" x14ac:dyDescent="0.25">
      <c r="Y208"/>
      <c r="AB208"/>
    </row>
    <row r="209" spans="25:28" x14ac:dyDescent="0.25">
      <c r="Y209"/>
      <c r="AB209"/>
    </row>
    <row r="210" spans="25:28" x14ac:dyDescent="0.25">
      <c r="Y210"/>
      <c r="AB210"/>
    </row>
    <row r="211" spans="25:28" x14ac:dyDescent="0.25">
      <c r="Y211"/>
      <c r="AB211"/>
    </row>
    <row r="212" spans="25:28" x14ac:dyDescent="0.25">
      <c r="Y212"/>
      <c r="AB212"/>
    </row>
    <row r="213" spans="25:28" x14ac:dyDescent="0.25">
      <c r="Y213"/>
      <c r="AB213"/>
    </row>
    <row r="214" spans="25:28" x14ac:dyDescent="0.25">
      <c r="Y214"/>
      <c r="AB214"/>
    </row>
    <row r="215" spans="25:28" x14ac:dyDescent="0.25">
      <c r="Y215"/>
      <c r="AB215"/>
    </row>
    <row r="216" spans="25:28" x14ac:dyDescent="0.25">
      <c r="Y216"/>
      <c r="AB216"/>
    </row>
    <row r="217" spans="25:28" x14ac:dyDescent="0.25">
      <c r="Y217"/>
      <c r="AB217"/>
    </row>
    <row r="218" spans="25:28" x14ac:dyDescent="0.25">
      <c r="Y218"/>
      <c r="AB218"/>
    </row>
    <row r="219" spans="25:28" x14ac:dyDescent="0.25">
      <c r="Y219"/>
      <c r="AB219"/>
    </row>
    <row r="220" spans="25:28" x14ac:dyDescent="0.25">
      <c r="Y220"/>
      <c r="AB220"/>
    </row>
    <row r="221" spans="25:28" x14ac:dyDescent="0.25">
      <c r="Y221"/>
      <c r="AB221"/>
    </row>
    <row r="222" spans="25:28" x14ac:dyDescent="0.25">
      <c r="Y222"/>
      <c r="AB222"/>
    </row>
    <row r="223" spans="25:28" x14ac:dyDescent="0.25">
      <c r="Y223"/>
      <c r="AB223"/>
    </row>
    <row r="224" spans="25:28" x14ac:dyDescent="0.25">
      <c r="Y224"/>
      <c r="AB224"/>
    </row>
    <row r="225" spans="25:28" x14ac:dyDescent="0.25">
      <c r="Y225"/>
      <c r="AB225"/>
    </row>
    <row r="226" spans="25:28" x14ac:dyDescent="0.25">
      <c r="Y226"/>
      <c r="AB226"/>
    </row>
    <row r="227" spans="25:28" x14ac:dyDescent="0.25">
      <c r="Y227"/>
      <c r="AB227"/>
    </row>
    <row r="228" spans="25:28" x14ac:dyDescent="0.25">
      <c r="Y228"/>
      <c r="AB228"/>
    </row>
    <row r="229" spans="25:28" x14ac:dyDescent="0.25">
      <c r="Y229"/>
      <c r="AB229"/>
    </row>
    <row r="230" spans="25:28" x14ac:dyDescent="0.25">
      <c r="Y230"/>
      <c r="AB230"/>
    </row>
    <row r="231" spans="25:28" x14ac:dyDescent="0.25">
      <c r="Y231"/>
      <c r="AB231"/>
    </row>
    <row r="232" spans="25:28" x14ac:dyDescent="0.25">
      <c r="Y232"/>
      <c r="AB232"/>
    </row>
    <row r="233" spans="25:28" x14ac:dyDescent="0.25">
      <c r="Y233"/>
      <c r="AB233"/>
    </row>
    <row r="234" spans="25:28" x14ac:dyDescent="0.25">
      <c r="Y234"/>
      <c r="AB234"/>
    </row>
    <row r="235" spans="25:28" x14ac:dyDescent="0.25">
      <c r="Y235"/>
      <c r="AB235"/>
    </row>
    <row r="236" spans="25:28" x14ac:dyDescent="0.25">
      <c r="Y236"/>
      <c r="AB236"/>
    </row>
    <row r="237" spans="25:28" x14ac:dyDescent="0.25">
      <c r="Y237"/>
      <c r="AB237"/>
    </row>
    <row r="238" spans="25:28" x14ac:dyDescent="0.25">
      <c r="Y238"/>
      <c r="AB238"/>
    </row>
    <row r="239" spans="25:28" x14ac:dyDescent="0.25">
      <c r="Y239"/>
      <c r="AB239"/>
    </row>
    <row r="240" spans="25:28" x14ac:dyDescent="0.25">
      <c r="Y240"/>
      <c r="AB240"/>
    </row>
    <row r="241" spans="25:28" x14ac:dyDescent="0.25">
      <c r="Y241"/>
      <c r="AB241"/>
    </row>
    <row r="242" spans="25:28" x14ac:dyDescent="0.25">
      <c r="Y242"/>
      <c r="AB242"/>
    </row>
    <row r="243" spans="25:28" x14ac:dyDescent="0.25">
      <c r="Y243"/>
      <c r="AB243"/>
    </row>
    <row r="244" spans="25:28" x14ac:dyDescent="0.25">
      <c r="Y244"/>
      <c r="AB244"/>
    </row>
    <row r="245" spans="25:28" x14ac:dyDescent="0.25">
      <c r="Y245"/>
      <c r="AB245"/>
    </row>
    <row r="246" spans="25:28" x14ac:dyDescent="0.25">
      <c r="Y246"/>
      <c r="AB246"/>
    </row>
    <row r="247" spans="25:28" x14ac:dyDescent="0.25">
      <c r="Y247"/>
      <c r="AB247"/>
    </row>
    <row r="248" spans="25:28" x14ac:dyDescent="0.25">
      <c r="Y248"/>
      <c r="AB248"/>
    </row>
    <row r="249" spans="25:28" x14ac:dyDescent="0.25">
      <c r="Y249"/>
      <c r="AB249"/>
    </row>
    <row r="250" spans="25:28" x14ac:dyDescent="0.25">
      <c r="Y250"/>
      <c r="AB250"/>
    </row>
    <row r="251" spans="25:28" x14ac:dyDescent="0.25">
      <c r="Y251"/>
      <c r="AB251"/>
    </row>
    <row r="252" spans="25:28" x14ac:dyDescent="0.25">
      <c r="Y252"/>
      <c r="AB252"/>
    </row>
    <row r="253" spans="25:28" x14ac:dyDescent="0.25">
      <c r="Y253"/>
      <c r="AB253"/>
    </row>
    <row r="254" spans="25:28" x14ac:dyDescent="0.25">
      <c r="Y254"/>
      <c r="AB254"/>
    </row>
    <row r="255" spans="25:28" x14ac:dyDescent="0.25">
      <c r="Y255"/>
      <c r="AB255"/>
    </row>
    <row r="256" spans="25:28" x14ac:dyDescent="0.25">
      <c r="Y256"/>
      <c r="AB256"/>
    </row>
    <row r="257" spans="25:28" x14ac:dyDescent="0.25">
      <c r="Y257"/>
      <c r="AB257"/>
    </row>
    <row r="258" spans="25:28" x14ac:dyDescent="0.25">
      <c r="Y258"/>
      <c r="AB258"/>
    </row>
    <row r="259" spans="25:28" x14ac:dyDescent="0.25">
      <c r="Y259"/>
      <c r="AB259"/>
    </row>
    <row r="260" spans="25:28" x14ac:dyDescent="0.25">
      <c r="Y260"/>
      <c r="AB260"/>
    </row>
    <row r="261" spans="25:28" x14ac:dyDescent="0.25">
      <c r="Y261"/>
      <c r="AB261"/>
    </row>
    <row r="262" spans="25:28" x14ac:dyDescent="0.25">
      <c r="Y262"/>
      <c r="AB262"/>
    </row>
    <row r="263" spans="25:28" x14ac:dyDescent="0.25">
      <c r="Y263"/>
      <c r="AB263"/>
    </row>
    <row r="264" spans="25:28" x14ac:dyDescent="0.25">
      <c r="Y264"/>
      <c r="AB264"/>
    </row>
    <row r="265" spans="25:28" x14ac:dyDescent="0.25">
      <c r="Y265"/>
      <c r="AB265"/>
    </row>
    <row r="266" spans="25:28" x14ac:dyDescent="0.25">
      <c r="Y266"/>
      <c r="AB266"/>
    </row>
    <row r="267" spans="25:28" x14ac:dyDescent="0.25">
      <c r="Y267"/>
      <c r="AB267"/>
    </row>
    <row r="268" spans="25:28" x14ac:dyDescent="0.25">
      <c r="Y268"/>
      <c r="AB268"/>
    </row>
    <row r="269" spans="25:28" x14ac:dyDescent="0.25">
      <c r="Y269"/>
      <c r="AB269"/>
    </row>
    <row r="270" spans="25:28" x14ac:dyDescent="0.25">
      <c r="Y270"/>
      <c r="AB270"/>
    </row>
    <row r="271" spans="25:28" x14ac:dyDescent="0.25">
      <c r="Y271"/>
      <c r="AB271"/>
    </row>
    <row r="272" spans="25:28" x14ac:dyDescent="0.25">
      <c r="Y272"/>
      <c r="AB272"/>
    </row>
    <row r="273" spans="25:28" x14ac:dyDescent="0.25">
      <c r="Y273"/>
      <c r="AB273"/>
    </row>
    <row r="274" spans="25:28" x14ac:dyDescent="0.25">
      <c r="Y274"/>
      <c r="AB274"/>
    </row>
    <row r="275" spans="25:28" x14ac:dyDescent="0.25">
      <c r="Y275"/>
      <c r="AB275"/>
    </row>
    <row r="276" spans="25:28" x14ac:dyDescent="0.25">
      <c r="Y276"/>
      <c r="AB276"/>
    </row>
    <row r="277" spans="25:28" x14ac:dyDescent="0.25">
      <c r="Y277"/>
      <c r="AB277"/>
    </row>
    <row r="278" spans="25:28" x14ac:dyDescent="0.25">
      <c r="Y278"/>
      <c r="AB278"/>
    </row>
    <row r="279" spans="25:28" x14ac:dyDescent="0.25">
      <c r="Y279"/>
      <c r="AB279"/>
    </row>
    <row r="280" spans="25:28" x14ac:dyDescent="0.25">
      <c r="Y280"/>
      <c r="AB280"/>
    </row>
    <row r="281" spans="25:28" x14ac:dyDescent="0.25">
      <c r="Y281"/>
      <c r="AB281"/>
    </row>
    <row r="282" spans="25:28" x14ac:dyDescent="0.25">
      <c r="Y282"/>
      <c r="AB282"/>
    </row>
    <row r="283" spans="25:28" x14ac:dyDescent="0.25">
      <c r="Y283"/>
      <c r="AB283"/>
    </row>
    <row r="284" spans="25:28" x14ac:dyDescent="0.25">
      <c r="Y284"/>
      <c r="AB284"/>
    </row>
    <row r="285" spans="25:28" x14ac:dyDescent="0.25">
      <c r="Y285"/>
      <c r="AB285"/>
    </row>
    <row r="286" spans="25:28" x14ac:dyDescent="0.25">
      <c r="Y286"/>
      <c r="AB286"/>
    </row>
    <row r="287" spans="25:28" x14ac:dyDescent="0.25">
      <c r="Y287"/>
      <c r="AB287"/>
    </row>
    <row r="288" spans="25:28" x14ac:dyDescent="0.25">
      <c r="Y288"/>
      <c r="AB288"/>
    </row>
    <row r="289" spans="25:28" x14ac:dyDescent="0.25">
      <c r="Y289"/>
      <c r="AB289"/>
    </row>
    <row r="290" spans="25:28" x14ac:dyDescent="0.25">
      <c r="Y290"/>
      <c r="AB290"/>
    </row>
    <row r="291" spans="25:28" x14ac:dyDescent="0.25">
      <c r="Y291"/>
      <c r="AB291"/>
    </row>
    <row r="292" spans="25:28" x14ac:dyDescent="0.25">
      <c r="Y292"/>
      <c r="AB292"/>
    </row>
    <row r="293" spans="25:28" x14ac:dyDescent="0.25">
      <c r="Y293"/>
      <c r="AB293"/>
    </row>
    <row r="294" spans="25:28" x14ac:dyDescent="0.25">
      <c r="Y294"/>
      <c r="AB294"/>
    </row>
    <row r="295" spans="25:28" x14ac:dyDescent="0.25">
      <c r="Y295"/>
      <c r="AB295"/>
    </row>
    <row r="296" spans="25:28" x14ac:dyDescent="0.25">
      <c r="Y296"/>
      <c r="AB296"/>
    </row>
    <row r="297" spans="25:28" x14ac:dyDescent="0.25">
      <c r="Y297"/>
      <c r="AB297"/>
    </row>
    <row r="298" spans="25:28" x14ac:dyDescent="0.25">
      <c r="Y298"/>
      <c r="AB298"/>
    </row>
    <row r="299" spans="25:28" x14ac:dyDescent="0.25">
      <c r="Y299"/>
      <c r="AB299"/>
    </row>
    <row r="300" spans="25:28" x14ac:dyDescent="0.25">
      <c r="Y300"/>
      <c r="AB300"/>
    </row>
    <row r="301" spans="25:28" x14ac:dyDescent="0.25">
      <c r="Y301"/>
      <c r="AB301"/>
    </row>
    <row r="302" spans="25:28" x14ac:dyDescent="0.25">
      <c r="Y302"/>
      <c r="AB302"/>
    </row>
    <row r="303" spans="25:28" x14ac:dyDescent="0.25">
      <c r="Y303"/>
      <c r="AB303"/>
    </row>
    <row r="304" spans="25:28" x14ac:dyDescent="0.25">
      <c r="Y304"/>
      <c r="AB304"/>
    </row>
    <row r="305" spans="25:28" x14ac:dyDescent="0.25">
      <c r="Y305"/>
      <c r="AB305"/>
    </row>
    <row r="306" spans="25:28" x14ac:dyDescent="0.25">
      <c r="Y306"/>
      <c r="AB306"/>
    </row>
    <row r="307" spans="25:28" x14ac:dyDescent="0.25">
      <c r="Y307"/>
      <c r="AB307"/>
    </row>
    <row r="308" spans="25:28" x14ac:dyDescent="0.25">
      <c r="Y308"/>
      <c r="AB308"/>
    </row>
    <row r="309" spans="25:28" x14ac:dyDescent="0.25">
      <c r="Y309"/>
      <c r="AB309"/>
    </row>
    <row r="310" spans="25:28" x14ac:dyDescent="0.25">
      <c r="Y310"/>
      <c r="AB310"/>
    </row>
    <row r="311" spans="25:28" x14ac:dyDescent="0.25">
      <c r="Y311"/>
      <c r="AB311"/>
    </row>
    <row r="312" spans="25:28" x14ac:dyDescent="0.25">
      <c r="Y312"/>
      <c r="AB312"/>
    </row>
    <row r="313" spans="25:28" x14ac:dyDescent="0.25">
      <c r="Y313"/>
      <c r="AB313"/>
    </row>
    <row r="314" spans="25:28" x14ac:dyDescent="0.25">
      <c r="Y314"/>
      <c r="AB314"/>
    </row>
    <row r="315" spans="25:28" x14ac:dyDescent="0.25">
      <c r="Y315"/>
      <c r="AB315"/>
    </row>
    <row r="316" spans="25:28" x14ac:dyDescent="0.25">
      <c r="Y316"/>
      <c r="AB316"/>
    </row>
    <row r="317" spans="25:28" x14ac:dyDescent="0.25">
      <c r="Y317"/>
      <c r="AB317"/>
    </row>
    <row r="318" spans="25:28" x14ac:dyDescent="0.25">
      <c r="Y318"/>
      <c r="AB318"/>
    </row>
    <row r="319" spans="25:28" x14ac:dyDescent="0.25">
      <c r="Y319"/>
      <c r="AB319"/>
    </row>
    <row r="320" spans="25:28" x14ac:dyDescent="0.25">
      <c r="Y320"/>
      <c r="AB320"/>
    </row>
    <row r="321" spans="25:28" x14ac:dyDescent="0.25">
      <c r="Y321"/>
      <c r="AB321"/>
    </row>
    <row r="322" spans="25:28" x14ac:dyDescent="0.25">
      <c r="Y322"/>
      <c r="AB322"/>
    </row>
    <row r="323" spans="25:28" x14ac:dyDescent="0.25">
      <c r="Y323"/>
      <c r="AB323"/>
    </row>
    <row r="324" spans="25:28" x14ac:dyDescent="0.25">
      <c r="Y324"/>
      <c r="AB324"/>
    </row>
    <row r="325" spans="25:28" x14ac:dyDescent="0.25">
      <c r="Y325"/>
      <c r="AB325"/>
    </row>
    <row r="326" spans="25:28" x14ac:dyDescent="0.25">
      <c r="Y326"/>
      <c r="AB326"/>
    </row>
    <row r="327" spans="25:28" x14ac:dyDescent="0.25">
      <c r="Y327"/>
      <c r="AB327"/>
    </row>
    <row r="328" spans="25:28" x14ac:dyDescent="0.25">
      <c r="Y328"/>
      <c r="AB328"/>
    </row>
    <row r="329" spans="25:28" x14ac:dyDescent="0.25">
      <c r="Y329"/>
      <c r="AB329"/>
    </row>
    <row r="330" spans="25:28" x14ac:dyDescent="0.25">
      <c r="Y330"/>
      <c r="AB330"/>
    </row>
    <row r="331" spans="25:28" x14ac:dyDescent="0.25">
      <c r="Y331"/>
      <c r="AB331"/>
    </row>
    <row r="332" spans="25:28" x14ac:dyDescent="0.25">
      <c r="Y332"/>
      <c r="AB332"/>
    </row>
    <row r="333" spans="25:28" x14ac:dyDescent="0.25">
      <c r="Y333"/>
      <c r="AB333"/>
    </row>
    <row r="334" spans="25:28" x14ac:dyDescent="0.25">
      <c r="Y334"/>
      <c r="AB334"/>
    </row>
    <row r="335" spans="25:28" x14ac:dyDescent="0.25">
      <c r="Y335"/>
      <c r="AB335"/>
    </row>
    <row r="336" spans="25:28" x14ac:dyDescent="0.25">
      <c r="Y336"/>
      <c r="AB336"/>
    </row>
    <row r="337" spans="25:28" x14ac:dyDescent="0.25">
      <c r="Y337"/>
      <c r="AB337"/>
    </row>
    <row r="338" spans="25:28" x14ac:dyDescent="0.25">
      <c r="Y338"/>
      <c r="AB338"/>
    </row>
    <row r="339" spans="25:28" x14ac:dyDescent="0.25">
      <c r="Y339"/>
      <c r="AB339"/>
    </row>
    <row r="340" spans="25:28" x14ac:dyDescent="0.25">
      <c r="Y340"/>
      <c r="AB340"/>
    </row>
    <row r="341" spans="25:28" x14ac:dyDescent="0.25">
      <c r="Y341"/>
      <c r="AB341"/>
    </row>
    <row r="342" spans="25:28" x14ac:dyDescent="0.25">
      <c r="Y342"/>
      <c r="AB342"/>
    </row>
    <row r="343" spans="25:28" x14ac:dyDescent="0.25">
      <c r="Y343"/>
      <c r="AB343"/>
    </row>
    <row r="344" spans="25:28" x14ac:dyDescent="0.25">
      <c r="Y344"/>
      <c r="AB344"/>
    </row>
    <row r="345" spans="25:28" x14ac:dyDescent="0.25">
      <c r="Y345"/>
      <c r="AB345"/>
    </row>
    <row r="346" spans="25:28" x14ac:dyDescent="0.25">
      <c r="Y346"/>
      <c r="AB346"/>
    </row>
    <row r="347" spans="25:28" x14ac:dyDescent="0.25">
      <c r="Y347"/>
      <c r="AB347"/>
    </row>
    <row r="348" spans="25:28" x14ac:dyDescent="0.25">
      <c r="Y348"/>
      <c r="AB348"/>
    </row>
    <row r="349" spans="25:28" x14ac:dyDescent="0.25">
      <c r="Y349"/>
      <c r="AB349"/>
    </row>
    <row r="350" spans="25:28" x14ac:dyDescent="0.25">
      <c r="Y350"/>
      <c r="AB350"/>
    </row>
    <row r="351" spans="25:28" x14ac:dyDescent="0.25">
      <c r="Y351"/>
      <c r="AB351"/>
    </row>
    <row r="352" spans="25:28" x14ac:dyDescent="0.25">
      <c r="Y352"/>
      <c r="AB352"/>
    </row>
    <row r="353" spans="25:28" x14ac:dyDescent="0.25">
      <c r="Y353"/>
      <c r="AB353"/>
    </row>
    <row r="354" spans="25:28" x14ac:dyDescent="0.25">
      <c r="Y354"/>
      <c r="AB354"/>
    </row>
    <row r="355" spans="25:28" x14ac:dyDescent="0.25">
      <c r="Y355"/>
      <c r="AB355"/>
    </row>
    <row r="356" spans="25:28" x14ac:dyDescent="0.25">
      <c r="Y356"/>
      <c r="AB356"/>
    </row>
    <row r="357" spans="25:28" x14ac:dyDescent="0.25">
      <c r="Y357"/>
      <c r="AB357"/>
    </row>
    <row r="358" spans="25:28" x14ac:dyDescent="0.25">
      <c r="Y358"/>
      <c r="AB358"/>
    </row>
    <row r="359" spans="25:28" x14ac:dyDescent="0.25">
      <c r="Y359"/>
      <c r="AB359"/>
    </row>
    <row r="360" spans="25:28" x14ac:dyDescent="0.25">
      <c r="Y360"/>
      <c r="AB360"/>
    </row>
    <row r="361" spans="25:28" x14ac:dyDescent="0.25">
      <c r="Y361"/>
      <c r="AB361"/>
    </row>
    <row r="362" spans="25:28" x14ac:dyDescent="0.25">
      <c r="Y362"/>
      <c r="AB362"/>
    </row>
    <row r="363" spans="25:28" x14ac:dyDescent="0.25">
      <c r="Y363"/>
      <c r="AB363"/>
    </row>
    <row r="364" spans="25:28" x14ac:dyDescent="0.25">
      <c r="Y364"/>
      <c r="AB364"/>
    </row>
    <row r="365" spans="25:28" x14ac:dyDescent="0.25">
      <c r="Y365"/>
      <c r="AB365"/>
    </row>
    <row r="366" spans="25:28" x14ac:dyDescent="0.25">
      <c r="Y366"/>
      <c r="AB366"/>
    </row>
    <row r="367" spans="25:28" x14ac:dyDescent="0.25">
      <c r="Y367"/>
      <c r="AB367"/>
    </row>
    <row r="368" spans="25:28" x14ac:dyDescent="0.25">
      <c r="Y368"/>
      <c r="AB368"/>
    </row>
    <row r="369" spans="25:28" x14ac:dyDescent="0.25">
      <c r="Y369"/>
      <c r="AB369"/>
    </row>
    <row r="370" spans="25:28" x14ac:dyDescent="0.25">
      <c r="Y370"/>
      <c r="AB370"/>
    </row>
    <row r="371" spans="25:28" x14ac:dyDescent="0.25">
      <c r="Y371"/>
      <c r="AB371"/>
    </row>
    <row r="372" spans="25:28" x14ac:dyDescent="0.25">
      <c r="Y372"/>
      <c r="AB372"/>
    </row>
    <row r="373" spans="25:28" x14ac:dyDescent="0.25">
      <c r="Y373"/>
      <c r="AB373"/>
    </row>
    <row r="374" spans="25:28" x14ac:dyDescent="0.25">
      <c r="Y374"/>
      <c r="AB374"/>
    </row>
    <row r="375" spans="25:28" x14ac:dyDescent="0.25">
      <c r="Y375"/>
      <c r="AB375"/>
    </row>
    <row r="376" spans="25:28" x14ac:dyDescent="0.25">
      <c r="Y376"/>
      <c r="AB376"/>
    </row>
    <row r="377" spans="25:28" x14ac:dyDescent="0.25">
      <c r="Y377"/>
      <c r="AB377"/>
    </row>
    <row r="378" spans="25:28" x14ac:dyDescent="0.25">
      <c r="Y378"/>
      <c r="AB378"/>
    </row>
    <row r="379" spans="25:28" x14ac:dyDescent="0.25">
      <c r="Y379"/>
      <c r="AB379"/>
    </row>
    <row r="380" spans="25:28" x14ac:dyDescent="0.25">
      <c r="Y380"/>
      <c r="AB380"/>
    </row>
    <row r="381" spans="25:28" x14ac:dyDescent="0.25">
      <c r="Y381"/>
      <c r="AB381"/>
    </row>
    <row r="382" spans="25:28" x14ac:dyDescent="0.25">
      <c r="Y382"/>
      <c r="AB382"/>
    </row>
    <row r="383" spans="25:28" x14ac:dyDescent="0.25">
      <c r="Y383"/>
      <c r="AB383"/>
    </row>
    <row r="384" spans="25:28" x14ac:dyDescent="0.25">
      <c r="Y384"/>
      <c r="AB384"/>
    </row>
    <row r="385" spans="25:28" x14ac:dyDescent="0.25">
      <c r="Y385"/>
      <c r="AB385"/>
    </row>
    <row r="386" spans="25:28" x14ac:dyDescent="0.25">
      <c r="Y386"/>
      <c r="AB386"/>
    </row>
    <row r="387" spans="25:28" x14ac:dyDescent="0.25">
      <c r="Y387"/>
      <c r="AB387"/>
    </row>
    <row r="388" spans="25:28" x14ac:dyDescent="0.25">
      <c r="Y388"/>
      <c r="AB388"/>
    </row>
    <row r="389" spans="25:28" x14ac:dyDescent="0.25">
      <c r="Y389"/>
      <c r="AB389"/>
    </row>
    <row r="390" spans="25:28" x14ac:dyDescent="0.25">
      <c r="Y390"/>
      <c r="AB390"/>
    </row>
    <row r="391" spans="25:28" x14ac:dyDescent="0.25">
      <c r="Y391"/>
      <c r="AB391"/>
    </row>
    <row r="392" spans="25:28" x14ac:dyDescent="0.25">
      <c r="Y392"/>
      <c r="AB392"/>
    </row>
    <row r="393" spans="25:28" x14ac:dyDescent="0.25">
      <c r="Y393"/>
      <c r="AB393"/>
    </row>
    <row r="394" spans="25:28" x14ac:dyDescent="0.25">
      <c r="Y394"/>
      <c r="AB394"/>
    </row>
    <row r="395" spans="25:28" x14ac:dyDescent="0.25">
      <c r="Y395"/>
      <c r="AB395"/>
    </row>
    <row r="396" spans="25:28" x14ac:dyDescent="0.25">
      <c r="Y396"/>
      <c r="AB396"/>
    </row>
    <row r="397" spans="25:28" x14ac:dyDescent="0.25">
      <c r="Y397"/>
      <c r="AB397"/>
    </row>
    <row r="398" spans="25:28" x14ac:dyDescent="0.25">
      <c r="Y398"/>
      <c r="AB398"/>
    </row>
    <row r="399" spans="25:28" x14ac:dyDescent="0.25">
      <c r="Y399"/>
      <c r="AB399"/>
    </row>
    <row r="400" spans="25:28" x14ac:dyDescent="0.25">
      <c r="Y400"/>
      <c r="AB400"/>
    </row>
    <row r="401" spans="25:28" x14ac:dyDescent="0.25">
      <c r="Y401"/>
      <c r="AB401"/>
    </row>
    <row r="402" spans="25:28" x14ac:dyDescent="0.25">
      <c r="Y402"/>
      <c r="AB402"/>
    </row>
    <row r="403" spans="25:28" x14ac:dyDescent="0.25">
      <c r="Y403"/>
      <c r="AB403"/>
    </row>
    <row r="404" spans="25:28" x14ac:dyDescent="0.25">
      <c r="Y404"/>
      <c r="AB404"/>
    </row>
    <row r="405" spans="25:28" x14ac:dyDescent="0.25">
      <c r="Y405"/>
      <c r="AB405"/>
    </row>
    <row r="406" spans="25:28" x14ac:dyDescent="0.25">
      <c r="Y406"/>
      <c r="AB406"/>
    </row>
    <row r="407" spans="25:28" x14ac:dyDescent="0.25">
      <c r="Y407"/>
      <c r="AB407"/>
    </row>
    <row r="408" spans="25:28" x14ac:dyDescent="0.25">
      <c r="Y408"/>
      <c r="AB408"/>
    </row>
    <row r="409" spans="25:28" x14ac:dyDescent="0.25">
      <c r="Y409"/>
      <c r="AB409"/>
    </row>
    <row r="410" spans="25:28" x14ac:dyDescent="0.25">
      <c r="Y410"/>
      <c r="AB410"/>
    </row>
    <row r="411" spans="25:28" x14ac:dyDescent="0.25">
      <c r="Y411"/>
      <c r="AB411"/>
    </row>
    <row r="412" spans="25:28" x14ac:dyDescent="0.25">
      <c r="Y412"/>
      <c r="AB412"/>
    </row>
    <row r="413" spans="25:28" x14ac:dyDescent="0.25">
      <c r="Y413"/>
      <c r="AB413"/>
    </row>
    <row r="414" spans="25:28" x14ac:dyDescent="0.25">
      <c r="Y414"/>
      <c r="AB414"/>
    </row>
    <row r="415" spans="25:28" x14ac:dyDescent="0.25">
      <c r="Y415"/>
      <c r="AB415"/>
    </row>
    <row r="416" spans="25:28" x14ac:dyDescent="0.25">
      <c r="Y416"/>
      <c r="AB416"/>
    </row>
    <row r="417" spans="25:28" x14ac:dyDescent="0.25">
      <c r="Y417"/>
      <c r="AB417"/>
    </row>
    <row r="418" spans="25:28" x14ac:dyDescent="0.25">
      <c r="Y418"/>
      <c r="AB418"/>
    </row>
    <row r="419" spans="25:28" x14ac:dyDescent="0.25">
      <c r="Y419"/>
      <c r="AB419"/>
    </row>
    <row r="420" spans="25:28" x14ac:dyDescent="0.25">
      <c r="Y420"/>
      <c r="AB420"/>
    </row>
    <row r="421" spans="25:28" x14ac:dyDescent="0.25">
      <c r="Y421"/>
      <c r="AB421"/>
    </row>
    <row r="422" spans="25:28" x14ac:dyDescent="0.25">
      <c r="Y422"/>
      <c r="AB422"/>
    </row>
    <row r="423" spans="25:28" x14ac:dyDescent="0.25">
      <c r="Y423"/>
      <c r="AB423"/>
    </row>
    <row r="424" spans="25:28" x14ac:dyDescent="0.25">
      <c r="Y424"/>
      <c r="AB424"/>
    </row>
    <row r="425" spans="25:28" x14ac:dyDescent="0.25">
      <c r="Y425"/>
      <c r="AB425"/>
    </row>
    <row r="426" spans="25:28" x14ac:dyDescent="0.25">
      <c r="Y426"/>
      <c r="AB426"/>
    </row>
    <row r="427" spans="25:28" x14ac:dyDescent="0.25">
      <c r="Y427"/>
      <c r="AB427"/>
    </row>
    <row r="428" spans="25:28" x14ac:dyDescent="0.25">
      <c r="Y428"/>
      <c r="AB428"/>
    </row>
    <row r="429" spans="25:28" x14ac:dyDescent="0.25">
      <c r="Y429"/>
      <c r="AB429"/>
    </row>
    <row r="430" spans="25:28" x14ac:dyDescent="0.25">
      <c r="Y430"/>
      <c r="AB430"/>
    </row>
    <row r="431" spans="25:28" x14ac:dyDescent="0.25">
      <c r="Y431"/>
      <c r="AB431"/>
    </row>
    <row r="432" spans="25:28" x14ac:dyDescent="0.25">
      <c r="Y432"/>
      <c r="AB432"/>
    </row>
    <row r="433" spans="25:28" x14ac:dyDescent="0.25">
      <c r="Y433"/>
      <c r="AB433"/>
    </row>
    <row r="434" spans="25:28" x14ac:dyDescent="0.25">
      <c r="Y434"/>
      <c r="AB434"/>
    </row>
    <row r="435" spans="25:28" x14ac:dyDescent="0.25">
      <c r="Y435"/>
      <c r="AB435"/>
    </row>
    <row r="436" spans="25:28" x14ac:dyDescent="0.25">
      <c r="Y436"/>
      <c r="AB436"/>
    </row>
    <row r="437" spans="25:28" x14ac:dyDescent="0.25">
      <c r="Y437"/>
      <c r="AB437"/>
    </row>
    <row r="438" spans="25:28" x14ac:dyDescent="0.25">
      <c r="Y438"/>
      <c r="AB438"/>
    </row>
    <row r="439" spans="25:28" x14ac:dyDescent="0.25">
      <c r="Y439"/>
      <c r="AB439"/>
    </row>
    <row r="440" spans="25:28" x14ac:dyDescent="0.25">
      <c r="Y440"/>
      <c r="AB440"/>
    </row>
    <row r="441" spans="25:28" x14ac:dyDescent="0.25">
      <c r="Y441"/>
      <c r="AB441"/>
    </row>
    <row r="442" spans="25:28" x14ac:dyDescent="0.25">
      <c r="Y442"/>
      <c r="AB442"/>
    </row>
    <row r="443" spans="25:28" x14ac:dyDescent="0.25">
      <c r="Y443"/>
      <c r="AB443"/>
    </row>
    <row r="444" spans="25:28" x14ac:dyDescent="0.25">
      <c r="Y444"/>
      <c r="AB444"/>
    </row>
    <row r="445" spans="25:28" x14ac:dyDescent="0.25">
      <c r="Y445"/>
      <c r="AB445"/>
    </row>
    <row r="446" spans="25:28" x14ac:dyDescent="0.25">
      <c r="Y446"/>
      <c r="AB446"/>
    </row>
    <row r="447" spans="25:28" x14ac:dyDescent="0.25">
      <c r="Y447"/>
      <c r="AB447"/>
    </row>
    <row r="448" spans="25:28" x14ac:dyDescent="0.25">
      <c r="Y448"/>
      <c r="AB448"/>
    </row>
    <row r="449" spans="25:28" x14ac:dyDescent="0.25">
      <c r="Y449"/>
      <c r="AB449"/>
    </row>
    <row r="450" spans="25:28" x14ac:dyDescent="0.25">
      <c r="Y450"/>
      <c r="AB450"/>
    </row>
    <row r="451" spans="25:28" x14ac:dyDescent="0.25">
      <c r="Y451"/>
      <c r="AB451"/>
    </row>
    <row r="452" spans="25:28" x14ac:dyDescent="0.25">
      <c r="Y452"/>
      <c r="AB452"/>
    </row>
    <row r="453" spans="25:28" x14ac:dyDescent="0.25">
      <c r="Y453"/>
      <c r="AB453"/>
    </row>
    <row r="454" spans="25:28" x14ac:dyDescent="0.25">
      <c r="Y454"/>
      <c r="AB454"/>
    </row>
    <row r="455" spans="25:28" x14ac:dyDescent="0.25">
      <c r="Y455"/>
      <c r="AB455"/>
    </row>
    <row r="456" spans="25:28" x14ac:dyDescent="0.25">
      <c r="Y456"/>
      <c r="AB456"/>
    </row>
    <row r="457" spans="25:28" x14ac:dyDescent="0.25">
      <c r="Y457"/>
      <c r="AB457"/>
    </row>
    <row r="458" spans="25:28" x14ac:dyDescent="0.25">
      <c r="Y458"/>
      <c r="AB458"/>
    </row>
    <row r="459" spans="25:28" x14ac:dyDescent="0.25">
      <c r="Y459"/>
      <c r="AB459"/>
    </row>
    <row r="460" spans="25:28" x14ac:dyDescent="0.25">
      <c r="Y460"/>
      <c r="AB460"/>
    </row>
    <row r="461" spans="25:28" x14ac:dyDescent="0.25">
      <c r="Y461"/>
      <c r="AB461"/>
    </row>
    <row r="462" spans="25:28" x14ac:dyDescent="0.25">
      <c r="Y462"/>
      <c r="AB462"/>
    </row>
    <row r="463" spans="25:28" x14ac:dyDescent="0.25">
      <c r="Y463"/>
      <c r="AB463"/>
    </row>
    <row r="464" spans="25:28" x14ac:dyDescent="0.25">
      <c r="Y464"/>
      <c r="AB464"/>
    </row>
    <row r="465" spans="25:28" x14ac:dyDescent="0.25">
      <c r="Y465"/>
      <c r="AB465"/>
    </row>
    <row r="466" spans="25:28" x14ac:dyDescent="0.25">
      <c r="Y466"/>
      <c r="AB466"/>
    </row>
    <row r="467" spans="25:28" x14ac:dyDescent="0.25">
      <c r="Y467"/>
      <c r="AB467"/>
    </row>
    <row r="468" spans="25:28" x14ac:dyDescent="0.25">
      <c r="Y468"/>
      <c r="AB468"/>
    </row>
    <row r="469" spans="25:28" x14ac:dyDescent="0.25">
      <c r="Y469"/>
      <c r="AB469"/>
    </row>
    <row r="470" spans="25:28" x14ac:dyDescent="0.25">
      <c r="Y470"/>
      <c r="AB470"/>
    </row>
    <row r="471" spans="25:28" x14ac:dyDescent="0.25">
      <c r="Y471"/>
      <c r="AB471"/>
    </row>
    <row r="472" spans="25:28" x14ac:dyDescent="0.25">
      <c r="Y472"/>
      <c r="AB472"/>
    </row>
    <row r="473" spans="25:28" x14ac:dyDescent="0.25">
      <c r="Y473"/>
      <c r="AB473"/>
    </row>
    <row r="474" spans="25:28" x14ac:dyDescent="0.25">
      <c r="Y474"/>
      <c r="AB474"/>
    </row>
    <row r="475" spans="25:28" x14ac:dyDescent="0.25">
      <c r="Y475"/>
      <c r="AB475"/>
    </row>
    <row r="476" spans="25:28" x14ac:dyDescent="0.25">
      <c r="Y476"/>
      <c r="AB476"/>
    </row>
    <row r="477" spans="25:28" x14ac:dyDescent="0.25">
      <c r="Y477"/>
      <c r="AB477"/>
    </row>
    <row r="478" spans="25:28" x14ac:dyDescent="0.25">
      <c r="Y478"/>
      <c r="AB478"/>
    </row>
    <row r="479" spans="25:28" x14ac:dyDescent="0.25">
      <c r="Y479"/>
      <c r="AB479"/>
    </row>
    <row r="480" spans="25:28" x14ac:dyDescent="0.25">
      <c r="Y480"/>
      <c r="AB480"/>
    </row>
    <row r="481" spans="25:28" x14ac:dyDescent="0.25">
      <c r="Y481"/>
      <c r="AB481"/>
    </row>
    <row r="482" spans="25:28" x14ac:dyDescent="0.25">
      <c r="Y482"/>
      <c r="AB482"/>
    </row>
    <row r="483" spans="25:28" x14ac:dyDescent="0.25">
      <c r="Y483"/>
      <c r="AB483"/>
    </row>
    <row r="484" spans="25:28" x14ac:dyDescent="0.25">
      <c r="Y484"/>
      <c r="AB484"/>
    </row>
    <row r="485" spans="25:28" x14ac:dyDescent="0.25">
      <c r="Y485"/>
      <c r="AB485"/>
    </row>
    <row r="486" spans="25:28" x14ac:dyDescent="0.25">
      <c r="Y486"/>
      <c r="AB486"/>
    </row>
    <row r="487" spans="25:28" x14ac:dyDescent="0.25">
      <c r="Y487"/>
      <c r="AB487"/>
    </row>
    <row r="488" spans="25:28" x14ac:dyDescent="0.25">
      <c r="Y488"/>
      <c r="AB488"/>
    </row>
    <row r="489" spans="25:28" x14ac:dyDescent="0.25">
      <c r="Y489"/>
      <c r="AB489"/>
    </row>
    <row r="490" spans="25:28" x14ac:dyDescent="0.25">
      <c r="Y490"/>
      <c r="AB490"/>
    </row>
    <row r="491" spans="25:28" x14ac:dyDescent="0.25">
      <c r="Y491"/>
      <c r="AB491"/>
    </row>
    <row r="492" spans="25:28" x14ac:dyDescent="0.25">
      <c r="Y492"/>
      <c r="AB492"/>
    </row>
    <row r="493" spans="25:28" x14ac:dyDescent="0.25">
      <c r="Y493"/>
      <c r="AB493"/>
    </row>
    <row r="494" spans="25:28" x14ac:dyDescent="0.25">
      <c r="Y494"/>
      <c r="AB494"/>
    </row>
    <row r="495" spans="25:28" x14ac:dyDescent="0.25">
      <c r="Y495"/>
      <c r="AB495"/>
    </row>
    <row r="496" spans="25:28" x14ac:dyDescent="0.25">
      <c r="Y496"/>
      <c r="AB496"/>
    </row>
    <row r="497" spans="25:28" x14ac:dyDescent="0.25">
      <c r="Y497"/>
      <c r="AB497"/>
    </row>
    <row r="498" spans="25:28" x14ac:dyDescent="0.25">
      <c r="Y498"/>
      <c r="AB498"/>
    </row>
    <row r="499" spans="25:28" x14ac:dyDescent="0.25">
      <c r="Y499"/>
      <c r="AB499"/>
    </row>
    <row r="500" spans="25:28" x14ac:dyDescent="0.25">
      <c r="Y500"/>
      <c r="AB500"/>
    </row>
    <row r="501" spans="25:28" x14ac:dyDescent="0.25">
      <c r="Y501"/>
      <c r="AB501"/>
    </row>
    <row r="502" spans="25:28" x14ac:dyDescent="0.25">
      <c r="Y502"/>
      <c r="AB502"/>
    </row>
    <row r="503" spans="25:28" x14ac:dyDescent="0.25">
      <c r="Y503"/>
      <c r="AB503"/>
    </row>
    <row r="504" spans="25:28" x14ac:dyDescent="0.25">
      <c r="Y504"/>
      <c r="AB504"/>
    </row>
    <row r="505" spans="25:28" x14ac:dyDescent="0.25">
      <c r="Y505"/>
      <c r="AB505"/>
    </row>
    <row r="506" spans="25:28" x14ac:dyDescent="0.25">
      <c r="Y506"/>
      <c r="AB506"/>
    </row>
    <row r="507" spans="25:28" x14ac:dyDescent="0.25">
      <c r="Y507"/>
      <c r="AB507"/>
    </row>
    <row r="508" spans="25:28" x14ac:dyDescent="0.25">
      <c r="Y508"/>
      <c r="AB508"/>
    </row>
    <row r="509" spans="25:28" x14ac:dyDescent="0.25">
      <c r="Y509"/>
      <c r="AB509"/>
    </row>
    <row r="510" spans="25:28" x14ac:dyDescent="0.25">
      <c r="Y510"/>
      <c r="AB510"/>
    </row>
    <row r="511" spans="25:28" x14ac:dyDescent="0.25">
      <c r="Y511"/>
      <c r="AB511"/>
    </row>
    <row r="512" spans="25:28" x14ac:dyDescent="0.25">
      <c r="Y512"/>
      <c r="AB512"/>
    </row>
    <row r="513" spans="25:28" x14ac:dyDescent="0.25">
      <c r="Y513"/>
      <c r="AB513"/>
    </row>
    <row r="514" spans="25:28" x14ac:dyDescent="0.25">
      <c r="Y514"/>
      <c r="AB514"/>
    </row>
    <row r="515" spans="25:28" x14ac:dyDescent="0.25">
      <c r="Y515"/>
      <c r="AB515"/>
    </row>
    <row r="516" spans="25:28" x14ac:dyDescent="0.25">
      <c r="Y516"/>
      <c r="AB516"/>
    </row>
    <row r="517" spans="25:28" x14ac:dyDescent="0.25">
      <c r="Y517"/>
      <c r="AB517"/>
    </row>
    <row r="518" spans="25:28" x14ac:dyDescent="0.25">
      <c r="Y518"/>
      <c r="AB518"/>
    </row>
    <row r="519" spans="25:28" x14ac:dyDescent="0.25">
      <c r="Y519"/>
      <c r="AB519"/>
    </row>
    <row r="520" spans="25:28" x14ac:dyDescent="0.25">
      <c r="Y520"/>
      <c r="AB520"/>
    </row>
    <row r="521" spans="25:28" x14ac:dyDescent="0.25">
      <c r="Y521"/>
      <c r="AB521"/>
    </row>
    <row r="522" spans="25:28" x14ac:dyDescent="0.25">
      <c r="Y522"/>
      <c r="AB522"/>
    </row>
    <row r="523" spans="25:28" x14ac:dyDescent="0.25">
      <c r="Y523"/>
      <c r="AB523"/>
    </row>
    <row r="524" spans="25:28" x14ac:dyDescent="0.25">
      <c r="Y524"/>
      <c r="AB524"/>
    </row>
    <row r="525" spans="25:28" x14ac:dyDescent="0.25">
      <c r="Y525"/>
      <c r="AB525"/>
    </row>
    <row r="526" spans="25:28" x14ac:dyDescent="0.25">
      <c r="Y526"/>
      <c r="AB526"/>
    </row>
    <row r="527" spans="25:28" x14ac:dyDescent="0.25">
      <c r="Y527"/>
      <c r="AB527"/>
    </row>
    <row r="528" spans="25:28" x14ac:dyDescent="0.25">
      <c r="Y528"/>
      <c r="AB528"/>
    </row>
    <row r="529" spans="25:28" x14ac:dyDescent="0.25">
      <c r="Y529"/>
      <c r="AB529"/>
    </row>
    <row r="530" spans="25:28" x14ac:dyDescent="0.25">
      <c r="Y530"/>
      <c r="AB530"/>
    </row>
    <row r="531" spans="25:28" x14ac:dyDescent="0.25">
      <c r="Y531"/>
      <c r="AB531"/>
    </row>
    <row r="532" spans="25:28" x14ac:dyDescent="0.25">
      <c r="Y532"/>
      <c r="AB532"/>
    </row>
    <row r="533" spans="25:28" x14ac:dyDescent="0.25">
      <c r="Y533"/>
      <c r="AB533"/>
    </row>
    <row r="534" spans="25:28" x14ac:dyDescent="0.25">
      <c r="Y534"/>
      <c r="AB534"/>
    </row>
    <row r="535" spans="25:28" x14ac:dyDescent="0.25">
      <c r="Y535"/>
      <c r="AB535"/>
    </row>
    <row r="536" spans="25:28" x14ac:dyDescent="0.25">
      <c r="Y536"/>
      <c r="AB536"/>
    </row>
    <row r="537" spans="25:28" x14ac:dyDescent="0.25">
      <c r="Y537"/>
      <c r="AB537"/>
    </row>
    <row r="538" spans="25:28" x14ac:dyDescent="0.25">
      <c r="Y538"/>
      <c r="AB538"/>
    </row>
    <row r="539" spans="25:28" x14ac:dyDescent="0.25">
      <c r="Y539"/>
      <c r="AB539"/>
    </row>
    <row r="540" spans="25:28" x14ac:dyDescent="0.25">
      <c r="Y540"/>
      <c r="AB540"/>
    </row>
    <row r="541" spans="25:28" x14ac:dyDescent="0.25">
      <c r="Y541"/>
      <c r="AB541"/>
    </row>
    <row r="542" spans="25:28" x14ac:dyDescent="0.25">
      <c r="Y542"/>
      <c r="AB542"/>
    </row>
    <row r="543" spans="25:28" x14ac:dyDescent="0.25">
      <c r="Y543"/>
      <c r="AB543"/>
    </row>
    <row r="544" spans="25:28" x14ac:dyDescent="0.25">
      <c r="Y544"/>
      <c r="AB544"/>
    </row>
    <row r="545" spans="25:28" x14ac:dyDescent="0.25">
      <c r="Y545"/>
      <c r="AB545"/>
    </row>
    <row r="546" spans="25:28" x14ac:dyDescent="0.25">
      <c r="Y546"/>
      <c r="AB546"/>
    </row>
    <row r="547" spans="25:28" x14ac:dyDescent="0.25">
      <c r="Y547"/>
      <c r="AB547"/>
    </row>
    <row r="548" spans="25:28" x14ac:dyDescent="0.25">
      <c r="Y548"/>
      <c r="AB548"/>
    </row>
    <row r="549" spans="25:28" x14ac:dyDescent="0.25">
      <c r="Y549"/>
      <c r="AB549"/>
    </row>
    <row r="550" spans="25:28" x14ac:dyDescent="0.25">
      <c r="Y550"/>
      <c r="AB550"/>
    </row>
    <row r="551" spans="25:28" x14ac:dyDescent="0.25">
      <c r="Y551"/>
      <c r="AB551"/>
    </row>
    <row r="552" spans="25:28" x14ac:dyDescent="0.25">
      <c r="Y552"/>
      <c r="AB552"/>
    </row>
    <row r="553" spans="25:28" x14ac:dyDescent="0.25">
      <c r="Y553"/>
      <c r="AB553"/>
    </row>
    <row r="554" spans="25:28" x14ac:dyDescent="0.25">
      <c r="Y554"/>
      <c r="AB554"/>
    </row>
    <row r="555" spans="25:28" x14ac:dyDescent="0.25">
      <c r="Y555"/>
      <c r="AB555"/>
    </row>
    <row r="556" spans="25:28" x14ac:dyDescent="0.25">
      <c r="Y556"/>
      <c r="AB556"/>
    </row>
    <row r="557" spans="25:28" x14ac:dyDescent="0.25">
      <c r="Y557"/>
      <c r="AB557"/>
    </row>
    <row r="558" spans="25:28" x14ac:dyDescent="0.25">
      <c r="Y558"/>
      <c r="AB558"/>
    </row>
    <row r="559" spans="25:28" x14ac:dyDescent="0.25">
      <c r="Y559"/>
      <c r="AB559"/>
    </row>
    <row r="560" spans="25:28" x14ac:dyDescent="0.25">
      <c r="Y560"/>
      <c r="AB560"/>
    </row>
    <row r="561" spans="25:28" x14ac:dyDescent="0.25">
      <c r="Y561"/>
      <c r="AB561"/>
    </row>
    <row r="562" spans="25:28" x14ac:dyDescent="0.25">
      <c r="Y562"/>
      <c r="AB562"/>
    </row>
    <row r="563" spans="25:28" x14ac:dyDescent="0.25">
      <c r="Y563"/>
      <c r="AB563"/>
    </row>
    <row r="564" spans="25:28" x14ac:dyDescent="0.25">
      <c r="Y564"/>
      <c r="AB564"/>
    </row>
    <row r="565" spans="25:28" x14ac:dyDescent="0.25">
      <c r="Y565"/>
      <c r="AB565"/>
    </row>
    <row r="566" spans="25:28" x14ac:dyDescent="0.25">
      <c r="Y566"/>
      <c r="AB566"/>
    </row>
    <row r="567" spans="25:28" x14ac:dyDescent="0.25">
      <c r="Y567"/>
      <c r="AB567"/>
    </row>
    <row r="568" spans="25:28" x14ac:dyDescent="0.25">
      <c r="Y568"/>
      <c r="AB568"/>
    </row>
    <row r="569" spans="25:28" x14ac:dyDescent="0.25">
      <c r="Y569"/>
      <c r="AB569"/>
    </row>
    <row r="570" spans="25:28" x14ac:dyDescent="0.25">
      <c r="Y570"/>
      <c r="AB570"/>
    </row>
    <row r="571" spans="25:28" x14ac:dyDescent="0.25">
      <c r="Y571"/>
      <c r="AB571"/>
    </row>
    <row r="572" spans="25:28" x14ac:dyDescent="0.25">
      <c r="Y572"/>
      <c r="AB572"/>
    </row>
    <row r="573" spans="25:28" x14ac:dyDescent="0.25">
      <c r="Y573"/>
      <c r="AB573"/>
    </row>
    <row r="574" spans="25:28" x14ac:dyDescent="0.25">
      <c r="Y574"/>
      <c r="AB574"/>
    </row>
    <row r="575" spans="25:28" x14ac:dyDescent="0.25">
      <c r="Y575"/>
      <c r="AB575"/>
    </row>
    <row r="576" spans="25:28" x14ac:dyDescent="0.25">
      <c r="Y576"/>
      <c r="AB576"/>
    </row>
    <row r="577" spans="25:28" x14ac:dyDescent="0.25">
      <c r="Y577"/>
      <c r="AB577"/>
    </row>
    <row r="578" spans="25:28" x14ac:dyDescent="0.25">
      <c r="Y578"/>
      <c r="AB578"/>
    </row>
    <row r="579" spans="25:28" x14ac:dyDescent="0.25">
      <c r="Y579"/>
      <c r="AB579"/>
    </row>
    <row r="580" spans="25:28" x14ac:dyDescent="0.25">
      <c r="Y580"/>
      <c r="AB580"/>
    </row>
    <row r="581" spans="25:28" x14ac:dyDescent="0.25">
      <c r="Y581"/>
      <c r="AB581"/>
    </row>
    <row r="582" spans="25:28" x14ac:dyDescent="0.25">
      <c r="Y582"/>
      <c r="AB582"/>
    </row>
    <row r="583" spans="25:28" x14ac:dyDescent="0.25">
      <c r="Y583"/>
      <c r="AB583"/>
    </row>
    <row r="584" spans="25:28" x14ac:dyDescent="0.25">
      <c r="Y584"/>
      <c r="AB584"/>
    </row>
    <row r="585" spans="25:28" x14ac:dyDescent="0.25">
      <c r="Y585"/>
      <c r="AB585"/>
    </row>
    <row r="586" spans="25:28" x14ac:dyDescent="0.25">
      <c r="Y586"/>
      <c r="AB586"/>
    </row>
    <row r="587" spans="25:28" x14ac:dyDescent="0.25">
      <c r="Y587"/>
      <c r="AB587"/>
    </row>
    <row r="588" spans="25:28" x14ac:dyDescent="0.25">
      <c r="Y588"/>
      <c r="AB588"/>
    </row>
    <row r="589" spans="25:28" x14ac:dyDescent="0.25">
      <c r="Y589"/>
      <c r="AB589"/>
    </row>
    <row r="590" spans="25:28" x14ac:dyDescent="0.25">
      <c r="Y590"/>
      <c r="AB590"/>
    </row>
    <row r="591" spans="25:28" x14ac:dyDescent="0.25">
      <c r="Y591"/>
      <c r="AB591"/>
    </row>
    <row r="592" spans="25:28" x14ac:dyDescent="0.25">
      <c r="Y592"/>
      <c r="AB592"/>
    </row>
    <row r="593" spans="25:28" x14ac:dyDescent="0.25">
      <c r="Y593"/>
      <c r="AB593"/>
    </row>
    <row r="594" spans="25:28" x14ac:dyDescent="0.25">
      <c r="Y594"/>
      <c r="AB594"/>
    </row>
    <row r="595" spans="25:28" x14ac:dyDescent="0.25">
      <c r="Y595"/>
      <c r="AB595"/>
    </row>
    <row r="596" spans="25:28" x14ac:dyDescent="0.25">
      <c r="Y596"/>
      <c r="AB596"/>
    </row>
    <row r="597" spans="25:28" x14ac:dyDescent="0.25">
      <c r="Y597"/>
      <c r="AB597"/>
    </row>
    <row r="598" spans="25:28" x14ac:dyDescent="0.25">
      <c r="Y598"/>
      <c r="AB598"/>
    </row>
    <row r="599" spans="25:28" x14ac:dyDescent="0.25">
      <c r="Y599"/>
      <c r="AB599"/>
    </row>
    <row r="600" spans="25:28" x14ac:dyDescent="0.25">
      <c r="Y600"/>
      <c r="AB600"/>
    </row>
    <row r="601" spans="25:28" x14ac:dyDescent="0.25">
      <c r="Y601"/>
      <c r="AB601"/>
    </row>
    <row r="602" spans="25:28" x14ac:dyDescent="0.25">
      <c r="Y602"/>
      <c r="AB602"/>
    </row>
    <row r="603" spans="25:28" x14ac:dyDescent="0.25">
      <c r="Y603"/>
      <c r="AB603"/>
    </row>
    <row r="604" spans="25:28" x14ac:dyDescent="0.25">
      <c r="Y604"/>
      <c r="AB604"/>
    </row>
    <row r="605" spans="25:28" x14ac:dyDescent="0.25">
      <c r="Y605"/>
      <c r="AB605"/>
    </row>
    <row r="606" spans="25:28" x14ac:dyDescent="0.25">
      <c r="Y606"/>
      <c r="AB606"/>
    </row>
    <row r="607" spans="25:28" x14ac:dyDescent="0.25">
      <c r="Y607"/>
      <c r="AB607"/>
    </row>
    <row r="608" spans="25:28" x14ac:dyDescent="0.25">
      <c r="Y608"/>
      <c r="AB608"/>
    </row>
    <row r="609" spans="25:28" x14ac:dyDescent="0.25">
      <c r="Y609"/>
      <c r="AB609"/>
    </row>
    <row r="610" spans="25:28" x14ac:dyDescent="0.25">
      <c r="Y610"/>
      <c r="AB610"/>
    </row>
    <row r="611" spans="25:28" x14ac:dyDescent="0.25">
      <c r="Y611"/>
      <c r="AB611"/>
    </row>
    <row r="612" spans="25:28" x14ac:dyDescent="0.25">
      <c r="Y612"/>
      <c r="AB612"/>
    </row>
    <row r="613" spans="25:28" x14ac:dyDescent="0.25">
      <c r="Y613"/>
      <c r="AB613"/>
    </row>
    <row r="614" spans="25:28" x14ac:dyDescent="0.25">
      <c r="Y614"/>
      <c r="AB614"/>
    </row>
    <row r="615" spans="25:28" x14ac:dyDescent="0.25">
      <c r="Y615"/>
      <c r="AB615"/>
    </row>
    <row r="616" spans="25:28" x14ac:dyDescent="0.25">
      <c r="Y616"/>
      <c r="AB616"/>
    </row>
    <row r="617" spans="25:28" x14ac:dyDescent="0.25">
      <c r="Y617"/>
      <c r="AB617"/>
    </row>
    <row r="618" spans="25:28" x14ac:dyDescent="0.25">
      <c r="Y618"/>
      <c r="AB618"/>
    </row>
    <row r="619" spans="25:28" x14ac:dyDescent="0.25">
      <c r="Y619"/>
      <c r="AB619"/>
    </row>
    <row r="620" spans="25:28" x14ac:dyDescent="0.25">
      <c r="Y620"/>
      <c r="AB620"/>
    </row>
    <row r="621" spans="25:28" x14ac:dyDescent="0.25">
      <c r="Y621"/>
      <c r="AB621"/>
    </row>
    <row r="622" spans="25:28" x14ac:dyDescent="0.25">
      <c r="Y622"/>
      <c r="AB622"/>
    </row>
    <row r="623" spans="25:28" x14ac:dyDescent="0.25">
      <c r="Y623"/>
      <c r="AB623"/>
    </row>
    <row r="624" spans="25:28" x14ac:dyDescent="0.25">
      <c r="Y624"/>
      <c r="AB624"/>
    </row>
    <row r="625" spans="25:28" x14ac:dyDescent="0.25">
      <c r="Y625"/>
      <c r="AB625"/>
    </row>
    <row r="626" spans="25:28" x14ac:dyDescent="0.25">
      <c r="Y626"/>
      <c r="AB626"/>
    </row>
    <row r="627" spans="25:28" x14ac:dyDescent="0.25">
      <c r="Y627"/>
      <c r="AB627"/>
    </row>
    <row r="628" spans="25:28" x14ac:dyDescent="0.25">
      <c r="Y628"/>
      <c r="AB628"/>
    </row>
    <row r="629" spans="25:28" x14ac:dyDescent="0.25">
      <c r="Y629"/>
      <c r="AB629"/>
    </row>
    <row r="630" spans="25:28" x14ac:dyDescent="0.25">
      <c r="Y630"/>
      <c r="AB630"/>
    </row>
    <row r="631" spans="25:28" x14ac:dyDescent="0.25">
      <c r="Y631"/>
      <c r="AB631"/>
    </row>
    <row r="632" spans="25:28" x14ac:dyDescent="0.25">
      <c r="Y632"/>
      <c r="AB632"/>
    </row>
    <row r="633" spans="25:28" x14ac:dyDescent="0.25">
      <c r="Y633"/>
      <c r="AB633"/>
    </row>
    <row r="634" spans="25:28" x14ac:dyDescent="0.25">
      <c r="Y634"/>
      <c r="AB634"/>
    </row>
    <row r="635" spans="25:28" x14ac:dyDescent="0.25">
      <c r="Y635"/>
      <c r="AB635"/>
    </row>
    <row r="636" spans="25:28" x14ac:dyDescent="0.25">
      <c r="Y636"/>
      <c r="AB636"/>
    </row>
    <row r="637" spans="25:28" x14ac:dyDescent="0.25">
      <c r="Y637"/>
      <c r="AB637"/>
    </row>
    <row r="638" spans="25:28" x14ac:dyDescent="0.25">
      <c r="Y638"/>
      <c r="AB638"/>
    </row>
    <row r="639" spans="25:28" x14ac:dyDescent="0.25">
      <c r="Y639"/>
      <c r="AB639"/>
    </row>
    <row r="640" spans="25:28" x14ac:dyDescent="0.25">
      <c r="Y640"/>
      <c r="AB640"/>
    </row>
    <row r="641" spans="25:28" x14ac:dyDescent="0.25">
      <c r="Y641"/>
      <c r="AB641"/>
    </row>
    <row r="642" spans="25:28" x14ac:dyDescent="0.25">
      <c r="Y642"/>
      <c r="AB642"/>
    </row>
    <row r="643" spans="25:28" x14ac:dyDescent="0.25">
      <c r="Y643"/>
      <c r="AB643"/>
    </row>
    <row r="644" spans="25:28" x14ac:dyDescent="0.25">
      <c r="Y644"/>
      <c r="AB644"/>
    </row>
    <row r="645" spans="25:28" x14ac:dyDescent="0.25">
      <c r="Y645"/>
      <c r="AB645"/>
    </row>
    <row r="646" spans="25:28" x14ac:dyDescent="0.25">
      <c r="Y646"/>
      <c r="AB646"/>
    </row>
    <row r="647" spans="25:28" x14ac:dyDescent="0.25">
      <c r="Y647"/>
      <c r="AB647"/>
    </row>
    <row r="648" spans="25:28" x14ac:dyDescent="0.25">
      <c r="Y648"/>
      <c r="AB648"/>
    </row>
    <row r="649" spans="25:28" x14ac:dyDescent="0.25">
      <c r="Y649"/>
      <c r="AB649"/>
    </row>
    <row r="650" spans="25:28" x14ac:dyDescent="0.25">
      <c r="Y650"/>
      <c r="AB650"/>
    </row>
    <row r="651" spans="25:28" x14ac:dyDescent="0.25">
      <c r="Y651"/>
      <c r="AB651"/>
    </row>
    <row r="652" spans="25:28" x14ac:dyDescent="0.25">
      <c r="Y652"/>
      <c r="AB652"/>
    </row>
    <row r="653" spans="25:28" x14ac:dyDescent="0.25">
      <c r="Y653"/>
      <c r="AB653"/>
    </row>
    <row r="654" spans="25:28" x14ac:dyDescent="0.25">
      <c r="Y654"/>
      <c r="AB654"/>
    </row>
    <row r="655" spans="25:28" x14ac:dyDescent="0.25">
      <c r="Y655"/>
      <c r="AB655"/>
    </row>
    <row r="656" spans="25:28" x14ac:dyDescent="0.25">
      <c r="Y656"/>
      <c r="AB656"/>
    </row>
    <row r="657" spans="25:28" x14ac:dyDescent="0.25">
      <c r="Y657"/>
      <c r="AB657"/>
    </row>
    <row r="658" spans="25:28" x14ac:dyDescent="0.25">
      <c r="Y658"/>
      <c r="AB658"/>
    </row>
    <row r="659" spans="25:28" x14ac:dyDescent="0.25">
      <c r="Y659"/>
      <c r="AB659"/>
    </row>
    <row r="660" spans="25:28" x14ac:dyDescent="0.25">
      <c r="Y660"/>
      <c r="AB660"/>
    </row>
    <row r="661" spans="25:28" x14ac:dyDescent="0.25">
      <c r="Y661"/>
      <c r="AB661"/>
    </row>
    <row r="662" spans="25:28" x14ac:dyDescent="0.25">
      <c r="Y662"/>
      <c r="AB662"/>
    </row>
    <row r="663" spans="25:28" x14ac:dyDescent="0.25">
      <c r="Y663"/>
      <c r="AB663"/>
    </row>
    <row r="664" spans="25:28" x14ac:dyDescent="0.25">
      <c r="Y664"/>
      <c r="AB664"/>
    </row>
    <row r="665" spans="25:28" x14ac:dyDescent="0.25">
      <c r="Y665"/>
      <c r="AB665"/>
    </row>
    <row r="666" spans="25:28" x14ac:dyDescent="0.25">
      <c r="Y666"/>
      <c r="AB666"/>
    </row>
    <row r="667" spans="25:28" x14ac:dyDescent="0.25">
      <c r="Y667"/>
      <c r="AB667"/>
    </row>
    <row r="668" spans="25:28" x14ac:dyDescent="0.25">
      <c r="Y668"/>
      <c r="AB668"/>
    </row>
    <row r="669" spans="25:28" x14ac:dyDescent="0.25">
      <c r="Y669"/>
      <c r="AB669"/>
    </row>
    <row r="670" spans="25:28" x14ac:dyDescent="0.25">
      <c r="Y670"/>
      <c r="AB670"/>
    </row>
    <row r="671" spans="25:28" x14ac:dyDescent="0.25">
      <c r="Y671"/>
      <c r="AB671"/>
    </row>
    <row r="672" spans="25:28" x14ac:dyDescent="0.25">
      <c r="Y672"/>
      <c r="AB672"/>
    </row>
    <row r="673" spans="25:28" x14ac:dyDescent="0.25">
      <c r="Y673"/>
      <c r="AB673"/>
    </row>
    <row r="674" spans="25:28" x14ac:dyDescent="0.25">
      <c r="Y674"/>
      <c r="AB674"/>
    </row>
    <row r="675" spans="25:28" x14ac:dyDescent="0.25">
      <c r="Y675"/>
      <c r="AB675"/>
    </row>
    <row r="676" spans="25:28" x14ac:dyDescent="0.25">
      <c r="Y676"/>
      <c r="AB676"/>
    </row>
    <row r="677" spans="25:28" x14ac:dyDescent="0.25">
      <c r="Y677"/>
      <c r="AB677"/>
    </row>
    <row r="678" spans="25:28" x14ac:dyDescent="0.25">
      <c r="Y678"/>
      <c r="AB678"/>
    </row>
    <row r="679" spans="25:28" x14ac:dyDescent="0.25">
      <c r="Y679"/>
      <c r="AB679"/>
    </row>
    <row r="680" spans="25:28" x14ac:dyDescent="0.25">
      <c r="Y680"/>
      <c r="AB680"/>
    </row>
    <row r="681" spans="25:28" x14ac:dyDescent="0.25">
      <c r="Y681"/>
      <c r="AB681"/>
    </row>
    <row r="682" spans="25:28" x14ac:dyDescent="0.25">
      <c r="Y682"/>
      <c r="AB682"/>
    </row>
    <row r="683" spans="25:28" x14ac:dyDescent="0.25">
      <c r="Y683"/>
      <c r="AB683"/>
    </row>
    <row r="684" spans="25:28" x14ac:dyDescent="0.25">
      <c r="Y684"/>
      <c r="AB684"/>
    </row>
    <row r="685" spans="25:28" x14ac:dyDescent="0.25">
      <c r="Y685"/>
      <c r="AB685"/>
    </row>
    <row r="686" spans="25:28" x14ac:dyDescent="0.25">
      <c r="Y686"/>
      <c r="AB686"/>
    </row>
    <row r="687" spans="25:28" x14ac:dyDescent="0.25">
      <c r="Y687"/>
      <c r="AB687"/>
    </row>
    <row r="688" spans="25:28" x14ac:dyDescent="0.25">
      <c r="Y688"/>
      <c r="AB688"/>
    </row>
    <row r="689" spans="25:28" x14ac:dyDescent="0.25">
      <c r="Y689"/>
      <c r="AB689"/>
    </row>
    <row r="690" spans="25:28" x14ac:dyDescent="0.25">
      <c r="Y690"/>
      <c r="AB690"/>
    </row>
    <row r="691" spans="25:28" x14ac:dyDescent="0.25">
      <c r="Y691"/>
      <c r="AB691"/>
    </row>
    <row r="692" spans="25:28" x14ac:dyDescent="0.25">
      <c r="Y692"/>
      <c r="AB692"/>
    </row>
    <row r="693" spans="25:28" x14ac:dyDescent="0.25">
      <c r="Y693"/>
      <c r="AB693"/>
    </row>
    <row r="694" spans="25:28" x14ac:dyDescent="0.25">
      <c r="Y694"/>
      <c r="AB694"/>
    </row>
    <row r="695" spans="25:28" x14ac:dyDescent="0.25">
      <c r="Y695"/>
      <c r="AB695"/>
    </row>
    <row r="696" spans="25:28" x14ac:dyDescent="0.25">
      <c r="Y696"/>
      <c r="AB696"/>
    </row>
    <row r="697" spans="25:28" x14ac:dyDescent="0.25">
      <c r="Y697"/>
      <c r="AB697"/>
    </row>
    <row r="698" spans="25:28" x14ac:dyDescent="0.25">
      <c r="Y698"/>
      <c r="AB698"/>
    </row>
    <row r="699" spans="25:28" x14ac:dyDescent="0.25">
      <c r="Y699"/>
      <c r="AB699"/>
    </row>
    <row r="700" spans="25:28" x14ac:dyDescent="0.25">
      <c r="Y700"/>
      <c r="AB700"/>
    </row>
    <row r="701" spans="25:28" x14ac:dyDescent="0.25">
      <c r="Y701"/>
      <c r="AB701"/>
    </row>
    <row r="702" spans="25:28" x14ac:dyDescent="0.25">
      <c r="Y702"/>
      <c r="AB702"/>
    </row>
    <row r="703" spans="25:28" x14ac:dyDescent="0.25">
      <c r="Y703"/>
      <c r="AB703"/>
    </row>
    <row r="704" spans="25:28" x14ac:dyDescent="0.25">
      <c r="Y704"/>
      <c r="AB704"/>
    </row>
    <row r="705" spans="25:28" x14ac:dyDescent="0.25">
      <c r="Y705"/>
      <c r="AB705"/>
    </row>
    <row r="706" spans="25:28" x14ac:dyDescent="0.25">
      <c r="Y706"/>
      <c r="AB706"/>
    </row>
    <row r="707" spans="25:28" x14ac:dyDescent="0.25">
      <c r="Y707"/>
      <c r="AB707"/>
    </row>
    <row r="708" spans="25:28" x14ac:dyDescent="0.25">
      <c r="Y708"/>
      <c r="AB708"/>
    </row>
    <row r="709" spans="25:28" x14ac:dyDescent="0.25">
      <c r="Y709"/>
      <c r="AB709"/>
    </row>
    <row r="710" spans="25:28" x14ac:dyDescent="0.25">
      <c r="Y710"/>
      <c r="AB710"/>
    </row>
    <row r="711" spans="25:28" x14ac:dyDescent="0.25">
      <c r="Y711"/>
      <c r="AB711"/>
    </row>
    <row r="712" spans="25:28" x14ac:dyDescent="0.25">
      <c r="Y712"/>
      <c r="AB712"/>
    </row>
    <row r="713" spans="25:28" x14ac:dyDescent="0.25">
      <c r="Y713"/>
      <c r="AB713"/>
    </row>
    <row r="714" spans="25:28" x14ac:dyDescent="0.25">
      <c r="Y714"/>
      <c r="AB714"/>
    </row>
    <row r="715" spans="25:28" x14ac:dyDescent="0.25">
      <c r="Y715"/>
      <c r="AB715"/>
    </row>
    <row r="716" spans="25:28" x14ac:dyDescent="0.25">
      <c r="Y716"/>
      <c r="AB716"/>
    </row>
    <row r="717" spans="25:28" x14ac:dyDescent="0.25">
      <c r="Y717"/>
      <c r="AB717"/>
    </row>
    <row r="718" spans="25:28" x14ac:dyDescent="0.25">
      <c r="Y718"/>
      <c r="AB718"/>
    </row>
    <row r="719" spans="25:28" x14ac:dyDescent="0.25">
      <c r="Y719"/>
      <c r="AB719"/>
    </row>
    <row r="720" spans="25:28" x14ac:dyDescent="0.25">
      <c r="Y720"/>
      <c r="AB720"/>
    </row>
    <row r="721" spans="25:28" x14ac:dyDescent="0.25">
      <c r="Y721"/>
      <c r="AB721"/>
    </row>
    <row r="722" spans="25:28" x14ac:dyDescent="0.25">
      <c r="Y722"/>
      <c r="AB722"/>
    </row>
    <row r="723" spans="25:28" x14ac:dyDescent="0.25">
      <c r="Y723"/>
      <c r="AB723"/>
    </row>
    <row r="724" spans="25:28" x14ac:dyDescent="0.25">
      <c r="Y724"/>
      <c r="AB724"/>
    </row>
    <row r="725" spans="25:28" x14ac:dyDescent="0.25">
      <c r="Y725"/>
      <c r="AB725"/>
    </row>
    <row r="726" spans="25:28" x14ac:dyDescent="0.25">
      <c r="Y726"/>
      <c r="AB726"/>
    </row>
    <row r="727" spans="25:28" x14ac:dyDescent="0.25">
      <c r="Y727"/>
      <c r="AB727"/>
    </row>
    <row r="728" spans="25:28" x14ac:dyDescent="0.25">
      <c r="Y728"/>
      <c r="AB728"/>
    </row>
    <row r="729" spans="25:28" x14ac:dyDescent="0.25">
      <c r="Y729"/>
      <c r="AB729"/>
    </row>
    <row r="730" spans="25:28" x14ac:dyDescent="0.25">
      <c r="Y730"/>
      <c r="AB730"/>
    </row>
    <row r="731" spans="25:28" x14ac:dyDescent="0.25">
      <c r="Y731"/>
      <c r="AB731"/>
    </row>
    <row r="732" spans="25:28" x14ac:dyDescent="0.25">
      <c r="Y732"/>
      <c r="AB732"/>
    </row>
    <row r="733" spans="25:28" x14ac:dyDescent="0.25">
      <c r="Y733"/>
      <c r="AB733"/>
    </row>
    <row r="734" spans="25:28" x14ac:dyDescent="0.25">
      <c r="Y734"/>
      <c r="AB734"/>
    </row>
    <row r="735" spans="25:28" x14ac:dyDescent="0.25">
      <c r="Y735"/>
      <c r="AB735"/>
    </row>
    <row r="736" spans="25:28" x14ac:dyDescent="0.25">
      <c r="Y736"/>
      <c r="AB736"/>
    </row>
    <row r="737" spans="25:28" x14ac:dyDescent="0.25">
      <c r="Y737"/>
      <c r="AB737"/>
    </row>
    <row r="738" spans="25:28" x14ac:dyDescent="0.25">
      <c r="Y738"/>
      <c r="AB738"/>
    </row>
    <row r="739" spans="25:28" x14ac:dyDescent="0.25">
      <c r="Y739"/>
      <c r="AB739"/>
    </row>
    <row r="740" spans="25:28" x14ac:dyDescent="0.25">
      <c r="Y740"/>
      <c r="AB740"/>
    </row>
    <row r="741" spans="25:28" x14ac:dyDescent="0.25">
      <c r="Y741"/>
      <c r="AB741"/>
    </row>
    <row r="742" spans="25:28" x14ac:dyDescent="0.25">
      <c r="Y742"/>
      <c r="AB742"/>
    </row>
    <row r="743" spans="25:28" x14ac:dyDescent="0.25">
      <c r="Y743"/>
      <c r="AB743"/>
    </row>
    <row r="744" spans="25:28" x14ac:dyDescent="0.25">
      <c r="Y744"/>
      <c r="AB744"/>
    </row>
    <row r="745" spans="25:28" x14ac:dyDescent="0.25">
      <c r="Y745"/>
      <c r="AB745"/>
    </row>
    <row r="746" spans="25:28" x14ac:dyDescent="0.25">
      <c r="Y746"/>
      <c r="AB746"/>
    </row>
    <row r="747" spans="25:28" x14ac:dyDescent="0.25">
      <c r="Y747"/>
      <c r="AB747"/>
    </row>
    <row r="748" spans="25:28" x14ac:dyDescent="0.25">
      <c r="Y748"/>
      <c r="AB748"/>
    </row>
    <row r="749" spans="25:28" x14ac:dyDescent="0.25">
      <c r="Y749"/>
      <c r="AB749"/>
    </row>
    <row r="750" spans="25:28" x14ac:dyDescent="0.25">
      <c r="Y750"/>
      <c r="AB750"/>
    </row>
    <row r="751" spans="25:28" x14ac:dyDescent="0.25">
      <c r="Y751"/>
      <c r="AB751"/>
    </row>
    <row r="752" spans="25:28" x14ac:dyDescent="0.25">
      <c r="Y752"/>
      <c r="AB752"/>
    </row>
    <row r="753" spans="25:28" x14ac:dyDescent="0.25">
      <c r="Y753"/>
      <c r="AB753"/>
    </row>
    <row r="754" spans="25:28" x14ac:dyDescent="0.25">
      <c r="Y754"/>
      <c r="AB754"/>
    </row>
    <row r="755" spans="25:28" x14ac:dyDescent="0.25">
      <c r="Y755"/>
      <c r="AB755"/>
    </row>
    <row r="756" spans="25:28" x14ac:dyDescent="0.25">
      <c r="Y756"/>
      <c r="AB756"/>
    </row>
    <row r="757" spans="25:28" x14ac:dyDescent="0.25">
      <c r="Y757"/>
      <c r="AB757"/>
    </row>
    <row r="758" spans="25:28" x14ac:dyDescent="0.25">
      <c r="Y758"/>
      <c r="AB758"/>
    </row>
    <row r="759" spans="25:28" x14ac:dyDescent="0.25">
      <c r="Y759"/>
      <c r="AB759"/>
    </row>
    <row r="760" spans="25:28" x14ac:dyDescent="0.25">
      <c r="Y760"/>
      <c r="AB760"/>
    </row>
    <row r="761" spans="25:28" x14ac:dyDescent="0.25">
      <c r="Y761"/>
      <c r="AB761"/>
    </row>
    <row r="762" spans="25:28" x14ac:dyDescent="0.25">
      <c r="Y762"/>
      <c r="AB762"/>
    </row>
    <row r="763" spans="25:28" x14ac:dyDescent="0.25">
      <c r="Y763"/>
      <c r="AB763"/>
    </row>
    <row r="764" spans="25:28" x14ac:dyDescent="0.25">
      <c r="Y764"/>
      <c r="AB764"/>
    </row>
    <row r="765" spans="25:28" x14ac:dyDescent="0.25">
      <c r="Y765"/>
      <c r="AB765"/>
    </row>
    <row r="766" spans="25:28" x14ac:dyDescent="0.25">
      <c r="Y766"/>
      <c r="AB766"/>
    </row>
    <row r="767" spans="25:28" x14ac:dyDescent="0.25">
      <c r="Y767"/>
      <c r="AB767"/>
    </row>
    <row r="768" spans="25:28" x14ac:dyDescent="0.25">
      <c r="Y768"/>
      <c r="AB768"/>
    </row>
    <row r="769" spans="25:28" x14ac:dyDescent="0.25">
      <c r="Y769"/>
      <c r="AB769"/>
    </row>
    <row r="770" spans="25:28" x14ac:dyDescent="0.25">
      <c r="Y770"/>
      <c r="AB770"/>
    </row>
    <row r="771" spans="25:28" x14ac:dyDescent="0.25">
      <c r="Y771"/>
      <c r="AB771"/>
    </row>
    <row r="772" spans="25:28" x14ac:dyDescent="0.25">
      <c r="Y772"/>
      <c r="AB772"/>
    </row>
    <row r="773" spans="25:28" x14ac:dyDescent="0.25">
      <c r="Y773"/>
      <c r="AB773"/>
    </row>
    <row r="774" spans="25:28" x14ac:dyDescent="0.25">
      <c r="Y774"/>
      <c r="AB774"/>
    </row>
    <row r="775" spans="25:28" x14ac:dyDescent="0.25">
      <c r="Y775"/>
      <c r="AB775"/>
    </row>
    <row r="776" spans="25:28" x14ac:dyDescent="0.25">
      <c r="Y776"/>
      <c r="AB776"/>
    </row>
    <row r="777" spans="25:28" x14ac:dyDescent="0.25">
      <c r="Y777"/>
      <c r="AB777"/>
    </row>
    <row r="778" spans="25:28" x14ac:dyDescent="0.25">
      <c r="Y778"/>
      <c r="AB778"/>
    </row>
    <row r="779" spans="25:28" x14ac:dyDescent="0.25">
      <c r="Y779"/>
      <c r="AB779"/>
    </row>
    <row r="780" spans="25:28" x14ac:dyDescent="0.25">
      <c r="Y780"/>
      <c r="AB780"/>
    </row>
    <row r="781" spans="25:28" x14ac:dyDescent="0.25">
      <c r="Y781"/>
      <c r="AB781"/>
    </row>
    <row r="782" spans="25:28" x14ac:dyDescent="0.25">
      <c r="Y782"/>
      <c r="AB782"/>
    </row>
    <row r="783" spans="25:28" x14ac:dyDescent="0.25">
      <c r="Y783"/>
      <c r="AB783"/>
    </row>
    <row r="784" spans="25:28" x14ac:dyDescent="0.25">
      <c r="Y784"/>
      <c r="AB784"/>
    </row>
    <row r="785" spans="25:28" x14ac:dyDescent="0.25">
      <c r="Y785"/>
      <c r="AB785"/>
    </row>
    <row r="786" spans="25:28" x14ac:dyDescent="0.25">
      <c r="Y786"/>
      <c r="AB786"/>
    </row>
    <row r="787" spans="25:28" x14ac:dyDescent="0.25">
      <c r="Y787"/>
      <c r="AB787"/>
    </row>
    <row r="788" spans="25:28" x14ac:dyDescent="0.25">
      <c r="Y788"/>
      <c r="AB788"/>
    </row>
    <row r="789" spans="25:28" x14ac:dyDescent="0.25">
      <c r="Y789"/>
      <c r="AB789"/>
    </row>
    <row r="790" spans="25:28" x14ac:dyDescent="0.25">
      <c r="Y790"/>
      <c r="AB790"/>
    </row>
    <row r="791" spans="25:28" x14ac:dyDescent="0.25">
      <c r="Y791"/>
      <c r="AB791"/>
    </row>
    <row r="792" spans="25:28" x14ac:dyDescent="0.25">
      <c r="Y792"/>
      <c r="AB792"/>
    </row>
    <row r="793" spans="25:28" x14ac:dyDescent="0.25">
      <c r="Y793"/>
      <c r="AB793"/>
    </row>
    <row r="794" spans="25:28" x14ac:dyDescent="0.25">
      <c r="Y794"/>
      <c r="AB794"/>
    </row>
    <row r="795" spans="25:28" x14ac:dyDescent="0.25">
      <c r="Y795"/>
      <c r="AB795"/>
    </row>
    <row r="796" spans="25:28" x14ac:dyDescent="0.25">
      <c r="Y796"/>
      <c r="AB796"/>
    </row>
    <row r="797" spans="25:28" x14ac:dyDescent="0.25">
      <c r="Y797"/>
      <c r="AB797"/>
    </row>
    <row r="798" spans="25:28" x14ac:dyDescent="0.25">
      <c r="Y798"/>
      <c r="AB798"/>
    </row>
    <row r="799" spans="25:28" x14ac:dyDescent="0.25">
      <c r="Y799"/>
      <c r="AB799"/>
    </row>
    <row r="800" spans="25:28" x14ac:dyDescent="0.25">
      <c r="Y800"/>
      <c r="AB800"/>
    </row>
    <row r="801" spans="25:28" x14ac:dyDescent="0.25">
      <c r="Y801"/>
      <c r="AB801"/>
    </row>
    <row r="802" spans="25:28" x14ac:dyDescent="0.25">
      <c r="Y802"/>
      <c r="AB802"/>
    </row>
    <row r="803" spans="25:28" x14ac:dyDescent="0.25">
      <c r="Y803"/>
      <c r="AB803"/>
    </row>
    <row r="804" spans="25:28" x14ac:dyDescent="0.25">
      <c r="Y804"/>
      <c r="AB804"/>
    </row>
    <row r="805" spans="25:28" x14ac:dyDescent="0.25">
      <c r="Y805"/>
      <c r="AB805"/>
    </row>
    <row r="806" spans="25:28" x14ac:dyDescent="0.25">
      <c r="Y806"/>
      <c r="AB806"/>
    </row>
    <row r="807" spans="25:28" x14ac:dyDescent="0.25">
      <c r="Y807"/>
      <c r="AB807"/>
    </row>
    <row r="808" spans="25:28" x14ac:dyDescent="0.25">
      <c r="Y808"/>
      <c r="AB808"/>
    </row>
    <row r="809" spans="25:28" x14ac:dyDescent="0.25">
      <c r="Y809"/>
      <c r="AB809"/>
    </row>
    <row r="810" spans="25:28" x14ac:dyDescent="0.25">
      <c r="Y810"/>
      <c r="AB810"/>
    </row>
    <row r="811" spans="25:28" x14ac:dyDescent="0.25">
      <c r="Y811"/>
      <c r="AB811"/>
    </row>
    <row r="812" spans="25:28" x14ac:dyDescent="0.25">
      <c r="Y812"/>
      <c r="AB812"/>
    </row>
    <row r="813" spans="25:28" x14ac:dyDescent="0.25">
      <c r="Y813"/>
      <c r="AB813"/>
    </row>
    <row r="814" spans="25:28" x14ac:dyDescent="0.25">
      <c r="Y814"/>
      <c r="AB814"/>
    </row>
    <row r="815" spans="25:28" x14ac:dyDescent="0.25">
      <c r="Y815"/>
      <c r="AB815"/>
    </row>
    <row r="816" spans="25:28" x14ac:dyDescent="0.25">
      <c r="Y816"/>
      <c r="AB816"/>
    </row>
    <row r="817" spans="25:28" x14ac:dyDescent="0.25">
      <c r="Y817"/>
      <c r="AB817"/>
    </row>
    <row r="818" spans="25:28" x14ac:dyDescent="0.25">
      <c r="Y818"/>
      <c r="AB818"/>
    </row>
    <row r="819" spans="25:28" x14ac:dyDescent="0.25">
      <c r="Y819"/>
      <c r="AB819"/>
    </row>
    <row r="820" spans="25:28" x14ac:dyDescent="0.25">
      <c r="Y820"/>
      <c r="AB820"/>
    </row>
    <row r="821" spans="25:28" x14ac:dyDescent="0.25">
      <c r="Y821"/>
      <c r="AB821"/>
    </row>
    <row r="822" spans="25:28" x14ac:dyDescent="0.25">
      <c r="Y822"/>
      <c r="AB822"/>
    </row>
    <row r="823" spans="25:28" x14ac:dyDescent="0.25">
      <c r="Y823"/>
      <c r="AB823"/>
    </row>
    <row r="824" spans="25:28" x14ac:dyDescent="0.25">
      <c r="Y824"/>
      <c r="AB824"/>
    </row>
    <row r="825" spans="25:28" x14ac:dyDescent="0.25">
      <c r="Y825"/>
      <c r="AB825"/>
    </row>
    <row r="826" spans="25:28" x14ac:dyDescent="0.25">
      <c r="Y826"/>
      <c r="AB826"/>
    </row>
    <row r="827" spans="25:28" x14ac:dyDescent="0.25">
      <c r="Y827"/>
      <c r="AB827"/>
    </row>
    <row r="828" spans="25:28" x14ac:dyDescent="0.25">
      <c r="Y828"/>
      <c r="AB828"/>
    </row>
    <row r="829" spans="25:28" x14ac:dyDescent="0.25">
      <c r="Y829"/>
      <c r="AB829"/>
    </row>
    <row r="830" spans="25:28" x14ac:dyDescent="0.25">
      <c r="Y830"/>
      <c r="AB830"/>
    </row>
    <row r="831" spans="25:28" x14ac:dyDescent="0.25">
      <c r="Y831"/>
      <c r="AB831"/>
    </row>
    <row r="832" spans="25:28" x14ac:dyDescent="0.25">
      <c r="Y832"/>
      <c r="AB832"/>
    </row>
    <row r="833" spans="25:28" x14ac:dyDescent="0.25">
      <c r="Y833"/>
      <c r="AB833"/>
    </row>
    <row r="834" spans="25:28" x14ac:dyDescent="0.25">
      <c r="Y834"/>
      <c r="AB834"/>
    </row>
    <row r="835" spans="25:28" x14ac:dyDescent="0.25">
      <c r="Y835"/>
      <c r="AB835"/>
    </row>
    <row r="836" spans="25:28" x14ac:dyDescent="0.25">
      <c r="Y836"/>
      <c r="AB836"/>
    </row>
    <row r="837" spans="25:28" x14ac:dyDescent="0.25">
      <c r="Y837"/>
      <c r="AB837"/>
    </row>
    <row r="838" spans="25:28" x14ac:dyDescent="0.25">
      <c r="Y838"/>
      <c r="AB838"/>
    </row>
    <row r="839" spans="25:28" x14ac:dyDescent="0.25">
      <c r="Y839"/>
      <c r="AB839"/>
    </row>
    <row r="840" spans="25:28" x14ac:dyDescent="0.25">
      <c r="Y840"/>
      <c r="AB840"/>
    </row>
    <row r="841" spans="25:28" x14ac:dyDescent="0.25">
      <c r="Y841"/>
      <c r="AB841"/>
    </row>
    <row r="842" spans="25:28" x14ac:dyDescent="0.25">
      <c r="Y842"/>
      <c r="AB842"/>
    </row>
    <row r="843" spans="25:28" x14ac:dyDescent="0.25">
      <c r="Y843"/>
      <c r="AB843"/>
    </row>
    <row r="844" spans="25:28" x14ac:dyDescent="0.25">
      <c r="Y844"/>
      <c r="AB844"/>
    </row>
    <row r="845" spans="25:28" x14ac:dyDescent="0.25">
      <c r="Y845"/>
      <c r="AB845"/>
    </row>
    <row r="846" spans="25:28" x14ac:dyDescent="0.25">
      <c r="Y846"/>
      <c r="AB846"/>
    </row>
    <row r="847" spans="25:28" x14ac:dyDescent="0.25">
      <c r="Y847"/>
      <c r="AB847"/>
    </row>
    <row r="848" spans="25:28" x14ac:dyDescent="0.25">
      <c r="Y848"/>
      <c r="AB848"/>
    </row>
    <row r="849" spans="25:28" x14ac:dyDescent="0.25">
      <c r="Y849"/>
      <c r="AB849"/>
    </row>
    <row r="850" spans="25:28" x14ac:dyDescent="0.25">
      <c r="Y850"/>
      <c r="AB850"/>
    </row>
    <row r="851" spans="25:28" x14ac:dyDescent="0.25">
      <c r="Y851"/>
      <c r="AB851"/>
    </row>
    <row r="852" spans="25:28" x14ac:dyDescent="0.25">
      <c r="Y852"/>
      <c r="AB852"/>
    </row>
    <row r="853" spans="25:28" x14ac:dyDescent="0.25">
      <c r="Y853"/>
      <c r="AB853"/>
    </row>
    <row r="854" spans="25:28" x14ac:dyDescent="0.25">
      <c r="Y854"/>
      <c r="AB854"/>
    </row>
    <row r="855" spans="25:28" x14ac:dyDescent="0.25">
      <c r="Y855"/>
      <c r="AB855"/>
    </row>
    <row r="856" spans="25:28" x14ac:dyDescent="0.25">
      <c r="Y856"/>
      <c r="AB856"/>
    </row>
    <row r="857" spans="25:28" x14ac:dyDescent="0.25">
      <c r="Y857"/>
      <c r="AB857"/>
    </row>
    <row r="858" spans="25:28" x14ac:dyDescent="0.25">
      <c r="Y858"/>
      <c r="AB858"/>
    </row>
    <row r="859" spans="25:28" x14ac:dyDescent="0.25">
      <c r="Y859"/>
      <c r="AB859"/>
    </row>
    <row r="860" spans="25:28" x14ac:dyDescent="0.25">
      <c r="Y860"/>
      <c r="AB860"/>
    </row>
    <row r="861" spans="25:28" x14ac:dyDescent="0.25">
      <c r="Y861"/>
      <c r="AB861"/>
    </row>
    <row r="862" spans="25:28" x14ac:dyDescent="0.25">
      <c r="Y862"/>
      <c r="AB862"/>
    </row>
    <row r="863" spans="25:28" x14ac:dyDescent="0.25">
      <c r="Y863"/>
      <c r="AB863"/>
    </row>
    <row r="864" spans="25:28" x14ac:dyDescent="0.25">
      <c r="Y864"/>
      <c r="AB864"/>
    </row>
    <row r="865" spans="25:28" x14ac:dyDescent="0.25">
      <c r="Y865"/>
      <c r="AB865"/>
    </row>
    <row r="866" spans="25:28" x14ac:dyDescent="0.25">
      <c r="Y866"/>
      <c r="AB866"/>
    </row>
    <row r="867" spans="25:28" x14ac:dyDescent="0.25">
      <c r="Y867"/>
      <c r="AB867"/>
    </row>
    <row r="868" spans="25:28" x14ac:dyDescent="0.25">
      <c r="Y868"/>
      <c r="AB868"/>
    </row>
    <row r="869" spans="25:28" x14ac:dyDescent="0.25">
      <c r="Y869"/>
      <c r="AB869"/>
    </row>
    <row r="870" spans="25:28" x14ac:dyDescent="0.25">
      <c r="Y870"/>
      <c r="AB870"/>
    </row>
    <row r="871" spans="25:28" x14ac:dyDescent="0.25">
      <c r="Y871"/>
      <c r="AB871"/>
    </row>
    <row r="872" spans="25:28" x14ac:dyDescent="0.25">
      <c r="Y872"/>
      <c r="AB872"/>
    </row>
    <row r="873" spans="25:28" x14ac:dyDescent="0.25">
      <c r="Y873"/>
      <c r="AB873"/>
    </row>
    <row r="874" spans="25:28" x14ac:dyDescent="0.25">
      <c r="Y874"/>
      <c r="AB874"/>
    </row>
    <row r="875" spans="25:28" x14ac:dyDescent="0.25">
      <c r="Y875"/>
      <c r="AB875"/>
    </row>
    <row r="876" spans="25:28" x14ac:dyDescent="0.25">
      <c r="Y876"/>
      <c r="AB876"/>
    </row>
    <row r="877" spans="25:28" x14ac:dyDescent="0.25">
      <c r="Y877"/>
      <c r="AB877"/>
    </row>
    <row r="878" spans="25:28" x14ac:dyDescent="0.25">
      <c r="Y878"/>
      <c r="AB878"/>
    </row>
    <row r="879" spans="25:28" x14ac:dyDescent="0.25">
      <c r="Y879"/>
      <c r="AB879"/>
    </row>
    <row r="880" spans="25:28" x14ac:dyDescent="0.25">
      <c r="Y880"/>
      <c r="AB880"/>
    </row>
    <row r="881" spans="25:28" x14ac:dyDescent="0.25">
      <c r="Y881"/>
      <c r="AB881"/>
    </row>
    <row r="882" spans="25:28" x14ac:dyDescent="0.25">
      <c r="Y882"/>
      <c r="AB882"/>
    </row>
    <row r="883" spans="25:28" x14ac:dyDescent="0.25">
      <c r="Y883"/>
      <c r="AB883"/>
    </row>
    <row r="884" spans="25:28" x14ac:dyDescent="0.25">
      <c r="Y884"/>
      <c r="AB884"/>
    </row>
    <row r="885" spans="25:28" x14ac:dyDescent="0.25">
      <c r="Y885"/>
      <c r="AB885"/>
    </row>
    <row r="886" spans="25:28" x14ac:dyDescent="0.25">
      <c r="Y886"/>
      <c r="AB886"/>
    </row>
    <row r="887" spans="25:28" x14ac:dyDescent="0.25">
      <c r="Y887"/>
      <c r="AB887"/>
    </row>
    <row r="888" spans="25:28" x14ac:dyDescent="0.25">
      <c r="Y888"/>
      <c r="AB888"/>
    </row>
    <row r="889" spans="25:28" x14ac:dyDescent="0.25">
      <c r="Y889"/>
      <c r="AB889"/>
    </row>
    <row r="890" spans="25:28" x14ac:dyDescent="0.25">
      <c r="Y890"/>
      <c r="AB890"/>
    </row>
    <row r="891" spans="25:28" x14ac:dyDescent="0.25">
      <c r="Y891"/>
      <c r="AB891"/>
    </row>
    <row r="892" spans="25:28" x14ac:dyDescent="0.25">
      <c r="Y892"/>
      <c r="AB892"/>
    </row>
    <row r="893" spans="25:28" x14ac:dyDescent="0.25">
      <c r="Y893"/>
      <c r="AB893"/>
    </row>
    <row r="894" spans="25:28" x14ac:dyDescent="0.25">
      <c r="Y894"/>
      <c r="AB894"/>
    </row>
    <row r="895" spans="25:28" x14ac:dyDescent="0.25">
      <c r="Y895"/>
      <c r="AB895"/>
    </row>
    <row r="896" spans="25:28" x14ac:dyDescent="0.25">
      <c r="Y896"/>
      <c r="AB896"/>
    </row>
    <row r="897" spans="25:28" x14ac:dyDescent="0.25">
      <c r="Y897"/>
      <c r="AB897"/>
    </row>
    <row r="898" spans="25:28" x14ac:dyDescent="0.25">
      <c r="Y898"/>
      <c r="AB898"/>
    </row>
    <row r="899" spans="25:28" x14ac:dyDescent="0.25">
      <c r="Y899"/>
      <c r="AB899"/>
    </row>
    <row r="900" spans="25:28" x14ac:dyDescent="0.25">
      <c r="Y900"/>
      <c r="AB900"/>
    </row>
    <row r="901" spans="25:28" x14ac:dyDescent="0.25">
      <c r="Y901"/>
      <c r="AB901"/>
    </row>
    <row r="902" spans="25:28" x14ac:dyDescent="0.25">
      <c r="Y902"/>
      <c r="AB902"/>
    </row>
    <row r="903" spans="25:28" x14ac:dyDescent="0.25">
      <c r="Y903"/>
      <c r="AB903"/>
    </row>
    <row r="904" spans="25:28" x14ac:dyDescent="0.25">
      <c r="Y904"/>
      <c r="AB904"/>
    </row>
    <row r="905" spans="25:28" x14ac:dyDescent="0.25">
      <c r="Y905"/>
      <c r="AB905"/>
    </row>
    <row r="906" spans="25:28" x14ac:dyDescent="0.25">
      <c r="Y906"/>
      <c r="AB906"/>
    </row>
    <row r="907" spans="25:28" x14ac:dyDescent="0.25">
      <c r="Y907"/>
      <c r="AB907"/>
    </row>
    <row r="908" spans="25:28" x14ac:dyDescent="0.25">
      <c r="Y908"/>
      <c r="AB908"/>
    </row>
    <row r="909" spans="25:28" x14ac:dyDescent="0.25">
      <c r="Y909"/>
      <c r="AB909"/>
    </row>
    <row r="910" spans="25:28" x14ac:dyDescent="0.25">
      <c r="Y910"/>
      <c r="AB910"/>
    </row>
    <row r="911" spans="25:28" x14ac:dyDescent="0.25">
      <c r="Y911"/>
      <c r="AB911"/>
    </row>
    <row r="912" spans="25:28" x14ac:dyDescent="0.25">
      <c r="Y912"/>
      <c r="AB912"/>
    </row>
    <row r="913" spans="25:28" x14ac:dyDescent="0.25">
      <c r="Y913"/>
      <c r="AB913"/>
    </row>
    <row r="914" spans="25:28" x14ac:dyDescent="0.25">
      <c r="Y914"/>
      <c r="AB914"/>
    </row>
    <row r="915" spans="25:28" x14ac:dyDescent="0.25">
      <c r="Y915"/>
      <c r="AB915"/>
    </row>
    <row r="916" spans="25:28" x14ac:dyDescent="0.25">
      <c r="Y916"/>
      <c r="AB916"/>
    </row>
    <row r="917" spans="25:28" x14ac:dyDescent="0.25">
      <c r="Y917"/>
      <c r="AB917"/>
    </row>
    <row r="918" spans="25:28" x14ac:dyDescent="0.25">
      <c r="Y918"/>
      <c r="AB918"/>
    </row>
    <row r="919" spans="25:28" x14ac:dyDescent="0.25">
      <c r="Y919"/>
      <c r="AB919"/>
    </row>
    <row r="920" spans="25:28" x14ac:dyDescent="0.25">
      <c r="Y920"/>
      <c r="AB920"/>
    </row>
    <row r="921" spans="25:28" x14ac:dyDescent="0.25">
      <c r="Y921"/>
      <c r="AB921"/>
    </row>
    <row r="922" spans="25:28" x14ac:dyDescent="0.25">
      <c r="Y922"/>
      <c r="AB922"/>
    </row>
    <row r="923" spans="25:28" x14ac:dyDescent="0.25">
      <c r="Y923"/>
      <c r="AB923"/>
    </row>
    <row r="924" spans="25:28" x14ac:dyDescent="0.25">
      <c r="Y924"/>
      <c r="AB924"/>
    </row>
    <row r="925" spans="25:28" x14ac:dyDescent="0.25">
      <c r="Y925"/>
      <c r="AB925"/>
    </row>
    <row r="926" spans="25:28" x14ac:dyDescent="0.25">
      <c r="Y926"/>
      <c r="AB926"/>
    </row>
    <row r="927" spans="25:28" x14ac:dyDescent="0.25">
      <c r="Y927"/>
      <c r="AB927"/>
    </row>
    <row r="928" spans="25:28" x14ac:dyDescent="0.25">
      <c r="Y928"/>
      <c r="AB928"/>
    </row>
    <row r="929" spans="25:28" x14ac:dyDescent="0.25">
      <c r="Y929"/>
      <c r="AB929"/>
    </row>
    <row r="930" spans="25:28" x14ac:dyDescent="0.25">
      <c r="Y930"/>
      <c r="AB930"/>
    </row>
    <row r="931" spans="25:28" x14ac:dyDescent="0.25">
      <c r="Y931"/>
      <c r="AB931"/>
    </row>
    <row r="932" spans="25:28" x14ac:dyDescent="0.25">
      <c r="Y932"/>
      <c r="AB932"/>
    </row>
    <row r="933" spans="25:28" x14ac:dyDescent="0.25">
      <c r="Y933"/>
      <c r="AB933"/>
    </row>
    <row r="934" spans="25:28" x14ac:dyDescent="0.25">
      <c r="Y934"/>
      <c r="AB934"/>
    </row>
    <row r="935" spans="25:28" x14ac:dyDescent="0.25">
      <c r="Y935"/>
      <c r="AB935"/>
    </row>
    <row r="936" spans="25:28" x14ac:dyDescent="0.25">
      <c r="Y936"/>
      <c r="AB936"/>
    </row>
    <row r="937" spans="25:28" x14ac:dyDescent="0.25">
      <c r="Y937"/>
      <c r="AB937"/>
    </row>
    <row r="938" spans="25:28" x14ac:dyDescent="0.25">
      <c r="Y938"/>
      <c r="AB938"/>
    </row>
    <row r="939" spans="25:28" x14ac:dyDescent="0.25">
      <c r="Y939"/>
      <c r="AB939"/>
    </row>
    <row r="940" spans="25:28" x14ac:dyDescent="0.25">
      <c r="Y940"/>
      <c r="AB940"/>
    </row>
    <row r="941" spans="25:28" x14ac:dyDescent="0.25">
      <c r="Y941"/>
      <c r="AB941"/>
    </row>
    <row r="942" spans="25:28" x14ac:dyDescent="0.25">
      <c r="Y942"/>
      <c r="AB942"/>
    </row>
    <row r="943" spans="25:28" x14ac:dyDescent="0.25">
      <c r="Y943"/>
      <c r="AB943"/>
    </row>
    <row r="944" spans="25:28" x14ac:dyDescent="0.25">
      <c r="Y944"/>
      <c r="AB944"/>
    </row>
    <row r="945" spans="25:28" x14ac:dyDescent="0.25">
      <c r="Y945"/>
      <c r="AB945"/>
    </row>
    <row r="946" spans="25:28" x14ac:dyDescent="0.25">
      <c r="Y946"/>
      <c r="AB946"/>
    </row>
    <row r="947" spans="25:28" x14ac:dyDescent="0.25">
      <c r="Y947"/>
      <c r="AB947"/>
    </row>
    <row r="948" spans="25:28" x14ac:dyDescent="0.25">
      <c r="Y948"/>
      <c r="AB948"/>
    </row>
    <row r="949" spans="25:28" x14ac:dyDescent="0.25">
      <c r="Y949"/>
      <c r="AB949"/>
    </row>
    <row r="950" spans="25:28" x14ac:dyDescent="0.25">
      <c r="Y950"/>
      <c r="AB950"/>
    </row>
    <row r="951" spans="25:28" x14ac:dyDescent="0.25">
      <c r="Y951"/>
      <c r="AB951"/>
    </row>
    <row r="952" spans="25:28" x14ac:dyDescent="0.25">
      <c r="Y952"/>
      <c r="AB952"/>
    </row>
    <row r="953" spans="25:28" x14ac:dyDescent="0.25">
      <c r="Y953"/>
      <c r="AB953"/>
    </row>
    <row r="954" spans="25:28" x14ac:dyDescent="0.25">
      <c r="Y954"/>
      <c r="AB954"/>
    </row>
    <row r="955" spans="25:28" x14ac:dyDescent="0.25">
      <c r="Y955"/>
      <c r="AB955"/>
    </row>
    <row r="956" spans="25:28" x14ac:dyDescent="0.25">
      <c r="Y956"/>
      <c r="AB956"/>
    </row>
    <row r="957" spans="25:28" x14ac:dyDescent="0.25">
      <c r="Y957"/>
      <c r="AB957"/>
    </row>
    <row r="958" spans="25:28" x14ac:dyDescent="0.25">
      <c r="Y958"/>
      <c r="AB958"/>
    </row>
    <row r="959" spans="25:28" x14ac:dyDescent="0.25">
      <c r="Y959"/>
      <c r="AB959"/>
    </row>
    <row r="960" spans="25:28" x14ac:dyDescent="0.25">
      <c r="Y960"/>
      <c r="AB960"/>
    </row>
    <row r="961" spans="25:28" x14ac:dyDescent="0.25">
      <c r="Y961"/>
      <c r="AB961"/>
    </row>
    <row r="962" spans="25:28" x14ac:dyDescent="0.25">
      <c r="Y962"/>
      <c r="AB962"/>
    </row>
    <row r="963" spans="25:28" x14ac:dyDescent="0.25">
      <c r="Y963"/>
      <c r="AB963"/>
    </row>
    <row r="964" spans="25:28" x14ac:dyDescent="0.25">
      <c r="Y964"/>
      <c r="AB964"/>
    </row>
    <row r="965" spans="25:28" x14ac:dyDescent="0.25">
      <c r="Y965"/>
      <c r="AB965"/>
    </row>
    <row r="966" spans="25:28" x14ac:dyDescent="0.25">
      <c r="Y966"/>
      <c r="AB966"/>
    </row>
    <row r="967" spans="25:28" x14ac:dyDescent="0.25">
      <c r="Y967"/>
      <c r="AB967"/>
    </row>
    <row r="968" spans="25:28" x14ac:dyDescent="0.25">
      <c r="Y968"/>
      <c r="AB968"/>
    </row>
    <row r="969" spans="25:28" x14ac:dyDescent="0.25">
      <c r="Y969"/>
      <c r="AB969"/>
    </row>
    <row r="970" spans="25:28" x14ac:dyDescent="0.25">
      <c r="Y970"/>
      <c r="AB970"/>
    </row>
    <row r="971" spans="25:28" x14ac:dyDescent="0.25">
      <c r="Y971"/>
      <c r="AB971"/>
    </row>
    <row r="972" spans="25:28" x14ac:dyDescent="0.25">
      <c r="Y972"/>
      <c r="AB972"/>
    </row>
    <row r="973" spans="25:28" x14ac:dyDescent="0.25">
      <c r="Y973"/>
      <c r="AB973"/>
    </row>
    <row r="974" spans="25:28" x14ac:dyDescent="0.25">
      <c r="Y974"/>
      <c r="AB974"/>
    </row>
    <row r="975" spans="25:28" x14ac:dyDescent="0.25">
      <c r="Y975"/>
      <c r="AB975"/>
    </row>
    <row r="976" spans="25:28" x14ac:dyDescent="0.25">
      <c r="Y976"/>
      <c r="AB976"/>
    </row>
    <row r="977" spans="25:28" x14ac:dyDescent="0.25">
      <c r="Y977"/>
      <c r="AB977"/>
    </row>
    <row r="978" spans="25:28" x14ac:dyDescent="0.25">
      <c r="Y978"/>
      <c r="AB978"/>
    </row>
    <row r="979" spans="25:28" x14ac:dyDescent="0.25">
      <c r="Y979"/>
      <c r="AB979"/>
    </row>
    <row r="980" spans="25:28" x14ac:dyDescent="0.25">
      <c r="Y980"/>
      <c r="AB980"/>
    </row>
    <row r="981" spans="25:28" x14ac:dyDescent="0.25">
      <c r="Y981"/>
      <c r="AB981"/>
    </row>
    <row r="982" spans="25:28" x14ac:dyDescent="0.25">
      <c r="Y982"/>
      <c r="AB982"/>
    </row>
    <row r="983" spans="25:28" x14ac:dyDescent="0.25">
      <c r="Y983"/>
      <c r="AB983"/>
    </row>
    <row r="984" spans="25:28" x14ac:dyDescent="0.25">
      <c r="Y984"/>
      <c r="AB984"/>
    </row>
    <row r="985" spans="25:28" x14ac:dyDescent="0.25">
      <c r="Y985"/>
      <c r="AB985"/>
    </row>
    <row r="986" spans="25:28" x14ac:dyDescent="0.25">
      <c r="Y986"/>
      <c r="AB986"/>
    </row>
    <row r="987" spans="25:28" x14ac:dyDescent="0.25">
      <c r="Y987"/>
      <c r="AB987"/>
    </row>
    <row r="988" spans="25:28" x14ac:dyDescent="0.25">
      <c r="Y988"/>
      <c r="AB988"/>
    </row>
    <row r="989" spans="25:28" x14ac:dyDescent="0.25">
      <c r="Y989"/>
      <c r="AB989"/>
    </row>
    <row r="990" spans="25:28" x14ac:dyDescent="0.25">
      <c r="Y990"/>
      <c r="AB990"/>
    </row>
    <row r="991" spans="25:28" x14ac:dyDescent="0.25">
      <c r="Y991"/>
      <c r="AB991"/>
    </row>
    <row r="992" spans="25:28" x14ac:dyDescent="0.25">
      <c r="Y992"/>
      <c r="AB992"/>
    </row>
    <row r="993" spans="25:28" x14ac:dyDescent="0.25">
      <c r="Y993"/>
      <c r="AB993"/>
    </row>
    <row r="994" spans="25:28" x14ac:dyDescent="0.25">
      <c r="Y994"/>
      <c r="AB994"/>
    </row>
    <row r="995" spans="25:28" x14ac:dyDescent="0.25">
      <c r="Y995"/>
      <c r="AB995"/>
    </row>
    <row r="996" spans="25:28" x14ac:dyDescent="0.25">
      <c r="Y996"/>
      <c r="AB996"/>
    </row>
    <row r="997" spans="25:28" x14ac:dyDescent="0.25">
      <c r="Y997"/>
      <c r="AB997"/>
    </row>
    <row r="998" spans="25:28" x14ac:dyDescent="0.25">
      <c r="Y998"/>
      <c r="AB998"/>
    </row>
    <row r="999" spans="25:28" x14ac:dyDescent="0.25">
      <c r="Y999"/>
      <c r="AB999"/>
    </row>
    <row r="1000" spans="25:28" x14ac:dyDescent="0.25">
      <c r="Y1000"/>
      <c r="AB1000"/>
    </row>
    <row r="1001" spans="25:28" x14ac:dyDescent="0.25">
      <c r="Y1001"/>
      <c r="AB1001"/>
    </row>
    <row r="1002" spans="25:28" x14ac:dyDescent="0.25">
      <c r="Y1002"/>
      <c r="AB1002"/>
    </row>
    <row r="1003" spans="25:28" x14ac:dyDescent="0.25">
      <c r="Y1003"/>
      <c r="AB1003"/>
    </row>
    <row r="1004" spans="25:28" x14ac:dyDescent="0.25">
      <c r="Y1004"/>
      <c r="AB1004"/>
    </row>
    <row r="1005" spans="25:28" x14ac:dyDescent="0.25">
      <c r="Y1005"/>
      <c r="AB1005"/>
    </row>
    <row r="1006" spans="25:28" x14ac:dyDescent="0.25">
      <c r="Y1006"/>
      <c r="AB1006"/>
    </row>
    <row r="1007" spans="25:28" x14ac:dyDescent="0.25">
      <c r="Y1007"/>
      <c r="AB1007"/>
    </row>
    <row r="1008" spans="25:28" x14ac:dyDescent="0.25">
      <c r="Y1008"/>
      <c r="AB1008"/>
    </row>
    <row r="1009" spans="25:28" x14ac:dyDescent="0.25">
      <c r="Y1009"/>
      <c r="AB1009"/>
    </row>
    <row r="1010" spans="25:28" x14ac:dyDescent="0.25">
      <c r="Y1010"/>
      <c r="AB1010"/>
    </row>
    <row r="1011" spans="25:28" x14ac:dyDescent="0.25">
      <c r="Y1011"/>
      <c r="AB1011"/>
    </row>
    <row r="1012" spans="25:28" x14ac:dyDescent="0.25">
      <c r="Y1012"/>
      <c r="AB1012"/>
    </row>
    <row r="1013" spans="25:28" x14ac:dyDescent="0.25">
      <c r="Y1013"/>
      <c r="AB1013"/>
    </row>
    <row r="1014" spans="25:28" x14ac:dyDescent="0.25">
      <c r="Y1014"/>
      <c r="AB1014"/>
    </row>
    <row r="1015" spans="25:28" x14ac:dyDescent="0.25">
      <c r="Y1015"/>
      <c r="AB1015"/>
    </row>
    <row r="1016" spans="25:28" x14ac:dyDescent="0.25">
      <c r="Y1016"/>
      <c r="AB1016"/>
    </row>
    <row r="1017" spans="25:28" x14ac:dyDescent="0.25">
      <c r="Y1017"/>
      <c r="AB1017"/>
    </row>
    <row r="1018" spans="25:28" x14ac:dyDescent="0.25">
      <c r="Y1018"/>
      <c r="AB1018"/>
    </row>
    <row r="1019" spans="25:28" x14ac:dyDescent="0.25">
      <c r="Y1019"/>
      <c r="AB1019"/>
    </row>
    <row r="1020" spans="25:28" x14ac:dyDescent="0.25">
      <c r="Y1020"/>
      <c r="AB1020"/>
    </row>
    <row r="1021" spans="25:28" x14ac:dyDescent="0.25">
      <c r="Y1021"/>
      <c r="AB1021"/>
    </row>
    <row r="1022" spans="25:28" x14ac:dyDescent="0.25">
      <c r="Y1022"/>
      <c r="AB1022"/>
    </row>
    <row r="1023" spans="25:28" x14ac:dyDescent="0.25">
      <c r="Y1023"/>
      <c r="AB1023"/>
    </row>
    <row r="1024" spans="25:28" x14ac:dyDescent="0.25">
      <c r="Y1024"/>
      <c r="AB1024"/>
    </row>
    <row r="1025" spans="25:28" x14ac:dyDescent="0.25">
      <c r="Y1025"/>
      <c r="AB1025"/>
    </row>
    <row r="1026" spans="25:28" x14ac:dyDescent="0.25">
      <c r="Y1026"/>
      <c r="AB1026"/>
    </row>
    <row r="1027" spans="25:28" x14ac:dyDescent="0.25">
      <c r="Y1027"/>
      <c r="AB1027"/>
    </row>
    <row r="1028" spans="25:28" x14ac:dyDescent="0.25">
      <c r="Y1028"/>
      <c r="AB1028"/>
    </row>
    <row r="1029" spans="25:28" x14ac:dyDescent="0.25">
      <c r="Y1029"/>
      <c r="AB1029"/>
    </row>
    <row r="1030" spans="25:28" x14ac:dyDescent="0.25">
      <c r="Y1030"/>
      <c r="AB1030"/>
    </row>
    <row r="1031" spans="25:28" x14ac:dyDescent="0.25">
      <c r="Y1031"/>
      <c r="AB1031"/>
    </row>
    <row r="1032" spans="25:28" x14ac:dyDescent="0.25">
      <c r="Y1032"/>
      <c r="AB1032"/>
    </row>
    <row r="1033" spans="25:28" x14ac:dyDescent="0.25">
      <c r="Y1033"/>
      <c r="AB1033"/>
    </row>
    <row r="1034" spans="25:28" x14ac:dyDescent="0.25">
      <c r="Y1034"/>
      <c r="AB1034"/>
    </row>
    <row r="1035" spans="25:28" x14ac:dyDescent="0.25">
      <c r="Y1035"/>
      <c r="AB1035"/>
    </row>
    <row r="1036" spans="25:28" x14ac:dyDescent="0.25">
      <c r="Y1036"/>
      <c r="AB1036"/>
    </row>
    <row r="1037" spans="25:28" x14ac:dyDescent="0.25">
      <c r="Y1037"/>
      <c r="AB1037"/>
    </row>
    <row r="1038" spans="25:28" x14ac:dyDescent="0.25">
      <c r="Y1038"/>
      <c r="AB1038"/>
    </row>
    <row r="1039" spans="25:28" x14ac:dyDescent="0.25">
      <c r="Y1039"/>
      <c r="AB1039"/>
    </row>
    <row r="1040" spans="25:28" x14ac:dyDescent="0.25">
      <c r="Y1040"/>
      <c r="AB1040"/>
    </row>
    <row r="1041" spans="25:28" x14ac:dyDescent="0.25">
      <c r="Y1041"/>
      <c r="AB1041"/>
    </row>
    <row r="1042" spans="25:28" x14ac:dyDescent="0.25">
      <c r="Y1042"/>
      <c r="AB1042"/>
    </row>
    <row r="1043" spans="25:28" x14ac:dyDescent="0.25">
      <c r="Y1043"/>
      <c r="AB1043"/>
    </row>
    <row r="1044" spans="25:28" x14ac:dyDescent="0.25">
      <c r="Y1044"/>
      <c r="AB1044"/>
    </row>
    <row r="1045" spans="25:28" x14ac:dyDescent="0.25">
      <c r="Y1045"/>
      <c r="AB1045"/>
    </row>
    <row r="1046" spans="25:28" x14ac:dyDescent="0.25">
      <c r="Y1046"/>
      <c r="AB1046"/>
    </row>
    <row r="1047" spans="25:28" x14ac:dyDescent="0.25">
      <c r="Y1047"/>
      <c r="AB1047"/>
    </row>
    <row r="1048" spans="25:28" x14ac:dyDescent="0.25">
      <c r="Y1048"/>
      <c r="AB1048"/>
    </row>
    <row r="1049" spans="25:28" x14ac:dyDescent="0.25">
      <c r="Y1049"/>
      <c r="AB1049"/>
    </row>
    <row r="1050" spans="25:28" x14ac:dyDescent="0.25">
      <c r="Y1050"/>
      <c r="AB1050"/>
    </row>
    <row r="1051" spans="25:28" x14ac:dyDescent="0.25">
      <c r="Y1051"/>
      <c r="AB1051"/>
    </row>
    <row r="1052" spans="25:28" x14ac:dyDescent="0.25">
      <c r="Y1052"/>
      <c r="AB1052"/>
    </row>
    <row r="1053" spans="25:28" x14ac:dyDescent="0.25">
      <c r="Y1053"/>
      <c r="AB1053"/>
    </row>
    <row r="1054" spans="25:28" x14ac:dyDescent="0.25">
      <c r="Y1054"/>
      <c r="AB1054"/>
    </row>
    <row r="1055" spans="25:28" x14ac:dyDescent="0.25">
      <c r="Y1055"/>
      <c r="AB1055"/>
    </row>
    <row r="1056" spans="25:28" x14ac:dyDescent="0.25">
      <c r="Y1056"/>
      <c r="AB1056"/>
    </row>
    <row r="1057" spans="25:28" x14ac:dyDescent="0.25">
      <c r="Y1057"/>
      <c r="AB1057"/>
    </row>
    <row r="1058" spans="25:28" x14ac:dyDescent="0.25">
      <c r="Y1058"/>
      <c r="AB1058"/>
    </row>
    <row r="1059" spans="25:28" x14ac:dyDescent="0.25">
      <c r="Y1059"/>
      <c r="AB1059"/>
    </row>
    <row r="1060" spans="25:28" x14ac:dyDescent="0.25">
      <c r="Y1060"/>
      <c r="AB1060"/>
    </row>
    <row r="1061" spans="25:28" x14ac:dyDescent="0.25">
      <c r="Y1061"/>
      <c r="AB1061"/>
    </row>
    <row r="1062" spans="25:28" x14ac:dyDescent="0.25">
      <c r="Y1062"/>
      <c r="AB1062"/>
    </row>
    <row r="1063" spans="25:28" x14ac:dyDescent="0.25">
      <c r="Y1063"/>
      <c r="AB1063"/>
    </row>
    <row r="1064" spans="25:28" x14ac:dyDescent="0.25">
      <c r="Y1064"/>
      <c r="AB1064"/>
    </row>
    <row r="1065" spans="25:28" x14ac:dyDescent="0.25">
      <c r="Y1065"/>
      <c r="AB1065"/>
    </row>
    <row r="1066" spans="25:28" x14ac:dyDescent="0.25">
      <c r="Y1066"/>
      <c r="AB1066"/>
    </row>
    <row r="1067" spans="25:28" x14ac:dyDescent="0.25">
      <c r="Y1067"/>
      <c r="AB1067"/>
    </row>
    <row r="1068" spans="25:28" x14ac:dyDescent="0.25">
      <c r="Y1068"/>
      <c r="AB1068"/>
    </row>
    <row r="1069" spans="25:28" x14ac:dyDescent="0.25">
      <c r="Y1069"/>
      <c r="AB1069"/>
    </row>
    <row r="1070" spans="25:28" x14ac:dyDescent="0.25">
      <c r="Y1070"/>
      <c r="AB1070"/>
    </row>
    <row r="1071" spans="25:28" x14ac:dyDescent="0.25">
      <c r="Y1071"/>
      <c r="AB1071"/>
    </row>
    <row r="1072" spans="25:28" x14ac:dyDescent="0.25">
      <c r="Y1072"/>
      <c r="AB1072"/>
    </row>
    <row r="1073" spans="25:28" x14ac:dyDescent="0.25">
      <c r="Y1073"/>
      <c r="AB1073"/>
    </row>
    <row r="1074" spans="25:28" x14ac:dyDescent="0.25">
      <c r="Y1074"/>
      <c r="AB1074"/>
    </row>
    <row r="1075" spans="25:28" x14ac:dyDescent="0.25">
      <c r="Y1075"/>
      <c r="AB1075"/>
    </row>
    <row r="1076" spans="25:28" x14ac:dyDescent="0.25">
      <c r="Y1076"/>
      <c r="AB1076"/>
    </row>
    <row r="1077" spans="25:28" x14ac:dyDescent="0.25">
      <c r="Y1077"/>
      <c r="AB1077"/>
    </row>
    <row r="1078" spans="25:28" x14ac:dyDescent="0.25">
      <c r="Y1078"/>
      <c r="AB1078"/>
    </row>
    <row r="1079" spans="25:28" x14ac:dyDescent="0.25">
      <c r="Y1079"/>
      <c r="AB1079"/>
    </row>
    <row r="1080" spans="25:28" x14ac:dyDescent="0.25">
      <c r="Y1080"/>
      <c r="AB1080"/>
    </row>
    <row r="1081" spans="25:28" x14ac:dyDescent="0.25">
      <c r="Y1081"/>
      <c r="AB1081"/>
    </row>
    <row r="1082" spans="25:28" x14ac:dyDescent="0.25">
      <c r="Y1082"/>
      <c r="AB1082"/>
    </row>
    <row r="1083" spans="25:28" x14ac:dyDescent="0.25">
      <c r="Y1083"/>
      <c r="AB1083"/>
    </row>
    <row r="1084" spans="25:28" x14ac:dyDescent="0.25">
      <c r="Y1084"/>
      <c r="AB1084"/>
    </row>
    <row r="1085" spans="25:28" x14ac:dyDescent="0.25">
      <c r="Y1085"/>
      <c r="AB1085"/>
    </row>
    <row r="1086" spans="25:28" x14ac:dyDescent="0.25">
      <c r="Y1086"/>
      <c r="AB1086"/>
    </row>
    <row r="1087" spans="25:28" x14ac:dyDescent="0.25">
      <c r="Y1087"/>
      <c r="AB1087"/>
    </row>
    <row r="1088" spans="25:28" x14ac:dyDescent="0.25">
      <c r="Y1088"/>
      <c r="AB1088"/>
    </row>
    <row r="1089" spans="25:28" x14ac:dyDescent="0.25">
      <c r="Y1089"/>
      <c r="AB1089"/>
    </row>
    <row r="1090" spans="25:28" x14ac:dyDescent="0.25">
      <c r="Y1090"/>
      <c r="AB1090"/>
    </row>
    <row r="1091" spans="25:28" x14ac:dyDescent="0.25">
      <c r="Y1091"/>
      <c r="AB1091"/>
    </row>
    <row r="1092" spans="25:28" x14ac:dyDescent="0.25">
      <c r="Y1092"/>
      <c r="AB1092"/>
    </row>
    <row r="1093" spans="25:28" x14ac:dyDescent="0.25">
      <c r="Y1093"/>
      <c r="AB1093"/>
    </row>
    <row r="1094" spans="25:28" x14ac:dyDescent="0.25">
      <c r="Y1094"/>
      <c r="AB1094"/>
    </row>
    <row r="1095" spans="25:28" x14ac:dyDescent="0.25">
      <c r="Y1095"/>
      <c r="AB1095"/>
    </row>
    <row r="1096" spans="25:28" x14ac:dyDescent="0.25">
      <c r="Y1096"/>
      <c r="AB1096"/>
    </row>
    <row r="1097" spans="25:28" x14ac:dyDescent="0.25">
      <c r="Y1097"/>
      <c r="AB1097"/>
    </row>
    <row r="1098" spans="25:28" x14ac:dyDescent="0.25">
      <c r="Y1098"/>
      <c r="AB1098"/>
    </row>
    <row r="1099" spans="25:28" x14ac:dyDescent="0.25">
      <c r="Y1099"/>
      <c r="AB1099"/>
    </row>
    <row r="1100" spans="25:28" x14ac:dyDescent="0.25">
      <c r="Y1100"/>
      <c r="AB1100"/>
    </row>
    <row r="1101" spans="25:28" x14ac:dyDescent="0.25">
      <c r="Y1101"/>
      <c r="AB1101"/>
    </row>
    <row r="1102" spans="25:28" x14ac:dyDescent="0.25">
      <c r="Y1102"/>
      <c r="AB1102"/>
    </row>
    <row r="1103" spans="25:28" x14ac:dyDescent="0.25">
      <c r="Y1103"/>
      <c r="AB1103"/>
    </row>
    <row r="1104" spans="25:28" x14ac:dyDescent="0.25">
      <c r="Y1104"/>
      <c r="AB1104"/>
    </row>
    <row r="1105" spans="25:28" x14ac:dyDescent="0.25">
      <c r="Y1105"/>
      <c r="AB1105"/>
    </row>
    <row r="1106" spans="25:28" x14ac:dyDescent="0.25">
      <c r="Y1106"/>
      <c r="AB1106"/>
    </row>
    <row r="1107" spans="25:28" x14ac:dyDescent="0.25">
      <c r="Y1107"/>
      <c r="AB1107"/>
    </row>
    <row r="1108" spans="25:28" x14ac:dyDescent="0.25">
      <c r="Y1108"/>
      <c r="AB1108"/>
    </row>
    <row r="1109" spans="25:28" x14ac:dyDescent="0.25">
      <c r="Y1109"/>
      <c r="AB1109"/>
    </row>
    <row r="1110" spans="25:28" x14ac:dyDescent="0.25">
      <c r="Y1110"/>
      <c r="AB1110"/>
    </row>
    <row r="1111" spans="25:28" x14ac:dyDescent="0.25">
      <c r="Y1111"/>
      <c r="AB1111"/>
    </row>
    <row r="1112" spans="25:28" x14ac:dyDescent="0.25">
      <c r="Y1112"/>
      <c r="AB1112"/>
    </row>
    <row r="1113" spans="25:28" x14ac:dyDescent="0.25">
      <c r="Y1113"/>
      <c r="AB1113"/>
    </row>
    <row r="1114" spans="25:28" x14ac:dyDescent="0.25">
      <c r="Y1114"/>
      <c r="AB1114"/>
    </row>
    <row r="1115" spans="25:28" x14ac:dyDescent="0.25">
      <c r="Y1115"/>
      <c r="AB1115"/>
    </row>
    <row r="1116" spans="25:28" x14ac:dyDescent="0.25">
      <c r="Y1116"/>
      <c r="AB1116"/>
    </row>
    <row r="1117" spans="25:28" x14ac:dyDescent="0.25">
      <c r="Y1117"/>
      <c r="AB1117"/>
    </row>
    <row r="1118" spans="25:28" x14ac:dyDescent="0.25">
      <c r="Y1118"/>
      <c r="AB1118"/>
    </row>
    <row r="1119" spans="25:28" x14ac:dyDescent="0.25">
      <c r="Y1119"/>
      <c r="AB1119"/>
    </row>
    <row r="1120" spans="25:28" x14ac:dyDescent="0.25">
      <c r="Y1120"/>
      <c r="AB1120"/>
    </row>
    <row r="1121" spans="25:28" x14ac:dyDescent="0.25">
      <c r="Y1121"/>
      <c r="AB1121"/>
    </row>
    <row r="1122" spans="25:28" x14ac:dyDescent="0.25">
      <c r="Y1122"/>
      <c r="AB1122"/>
    </row>
    <row r="1123" spans="25:28" x14ac:dyDescent="0.25">
      <c r="Y1123"/>
      <c r="AB1123"/>
    </row>
    <row r="1124" spans="25:28" x14ac:dyDescent="0.25">
      <c r="Y1124"/>
      <c r="AB1124"/>
    </row>
    <row r="1125" spans="25:28" x14ac:dyDescent="0.25">
      <c r="Y1125"/>
      <c r="AB1125"/>
    </row>
    <row r="1126" spans="25:28" x14ac:dyDescent="0.25">
      <c r="Y1126"/>
      <c r="AB1126"/>
    </row>
    <row r="1127" spans="25:28" x14ac:dyDescent="0.25">
      <c r="Y1127"/>
      <c r="AB1127"/>
    </row>
    <row r="1128" spans="25:28" x14ac:dyDescent="0.25">
      <c r="Y1128"/>
      <c r="AB1128"/>
    </row>
    <row r="1129" spans="25:28" x14ac:dyDescent="0.25">
      <c r="Y1129"/>
      <c r="AB1129"/>
    </row>
    <row r="1130" spans="25:28" x14ac:dyDescent="0.25">
      <c r="Y1130"/>
      <c r="AB1130"/>
    </row>
    <row r="1131" spans="25:28" x14ac:dyDescent="0.25">
      <c r="Y1131"/>
      <c r="AB1131"/>
    </row>
    <row r="1132" spans="25:28" x14ac:dyDescent="0.25">
      <c r="Y1132"/>
      <c r="AB1132"/>
    </row>
    <row r="1133" spans="25:28" x14ac:dyDescent="0.25">
      <c r="Y1133"/>
      <c r="AB1133"/>
    </row>
    <row r="1134" spans="25:28" x14ac:dyDescent="0.25">
      <c r="Y1134"/>
      <c r="AB1134"/>
    </row>
    <row r="1135" spans="25:28" x14ac:dyDescent="0.25">
      <c r="Y1135"/>
      <c r="AB1135"/>
    </row>
    <row r="1136" spans="25:28" x14ac:dyDescent="0.25">
      <c r="Y1136"/>
      <c r="AB1136"/>
    </row>
    <row r="1137" spans="25:28" x14ac:dyDescent="0.25">
      <c r="Y1137"/>
      <c r="AB1137"/>
    </row>
    <row r="1138" spans="25:28" x14ac:dyDescent="0.25">
      <c r="Y1138"/>
      <c r="AB1138"/>
    </row>
    <row r="1139" spans="25:28" x14ac:dyDescent="0.25">
      <c r="Y1139"/>
      <c r="AB1139"/>
    </row>
    <row r="1140" spans="25:28" x14ac:dyDescent="0.25">
      <c r="Y1140"/>
      <c r="AB1140"/>
    </row>
    <row r="1141" spans="25:28" x14ac:dyDescent="0.25">
      <c r="Y1141"/>
      <c r="AB1141"/>
    </row>
    <row r="1142" spans="25:28" x14ac:dyDescent="0.25">
      <c r="Y1142"/>
      <c r="AB1142"/>
    </row>
    <row r="1143" spans="25:28" x14ac:dyDescent="0.25">
      <c r="Y1143"/>
      <c r="AB1143"/>
    </row>
    <row r="1144" spans="25:28" x14ac:dyDescent="0.25">
      <c r="Y1144"/>
      <c r="AB1144"/>
    </row>
    <row r="1145" spans="25:28" x14ac:dyDescent="0.25">
      <c r="Y1145"/>
      <c r="AB1145"/>
    </row>
    <row r="1146" spans="25:28" x14ac:dyDescent="0.25">
      <c r="Y1146"/>
      <c r="AB1146"/>
    </row>
    <row r="1147" spans="25:28" x14ac:dyDescent="0.25">
      <c r="Y1147"/>
      <c r="AB1147"/>
    </row>
    <row r="1148" spans="25:28" x14ac:dyDescent="0.25">
      <c r="Y1148"/>
      <c r="AB1148"/>
    </row>
    <row r="1149" spans="25:28" x14ac:dyDescent="0.25">
      <c r="Y1149"/>
      <c r="AB1149"/>
    </row>
    <row r="1150" spans="25:28" x14ac:dyDescent="0.25">
      <c r="Y1150"/>
      <c r="AB1150"/>
    </row>
    <row r="1151" spans="25:28" x14ac:dyDescent="0.25">
      <c r="Y1151"/>
      <c r="AB1151"/>
    </row>
    <row r="1152" spans="25:28" x14ac:dyDescent="0.25">
      <c r="Y1152"/>
      <c r="AB1152"/>
    </row>
    <row r="1153" spans="25:28" x14ac:dyDescent="0.25">
      <c r="Y1153"/>
      <c r="AB1153"/>
    </row>
    <row r="1154" spans="25:28" x14ac:dyDescent="0.25">
      <c r="Y1154"/>
      <c r="AB1154"/>
    </row>
    <row r="1155" spans="25:28" x14ac:dyDescent="0.25">
      <c r="Y1155"/>
      <c r="AB1155"/>
    </row>
    <row r="1156" spans="25:28" x14ac:dyDescent="0.25">
      <c r="Y1156"/>
      <c r="AB1156"/>
    </row>
    <row r="1157" spans="25:28" x14ac:dyDescent="0.25">
      <c r="Y1157"/>
      <c r="AB1157"/>
    </row>
    <row r="1158" spans="25:28" x14ac:dyDescent="0.25">
      <c r="Y1158"/>
      <c r="AB1158"/>
    </row>
    <row r="1159" spans="25:28" x14ac:dyDescent="0.25">
      <c r="Y1159"/>
      <c r="AB1159"/>
    </row>
    <row r="1160" spans="25:28" x14ac:dyDescent="0.25">
      <c r="Y1160"/>
      <c r="AB1160"/>
    </row>
    <row r="1161" spans="25:28" x14ac:dyDescent="0.25">
      <c r="Y1161"/>
      <c r="AB1161"/>
    </row>
    <row r="1162" spans="25:28" x14ac:dyDescent="0.25">
      <c r="Y1162"/>
      <c r="AB1162"/>
    </row>
    <row r="1163" spans="25:28" x14ac:dyDescent="0.25">
      <c r="Y1163"/>
      <c r="AB1163"/>
    </row>
    <row r="1164" spans="25:28" x14ac:dyDescent="0.25">
      <c r="Y1164"/>
      <c r="AB1164"/>
    </row>
    <row r="1165" spans="25:28" x14ac:dyDescent="0.25">
      <c r="Y1165"/>
      <c r="AB1165"/>
    </row>
    <row r="1166" spans="25:28" x14ac:dyDescent="0.25">
      <c r="Y1166"/>
      <c r="AB1166"/>
    </row>
    <row r="1167" spans="25:28" x14ac:dyDescent="0.25">
      <c r="Y1167"/>
      <c r="AB1167"/>
    </row>
    <row r="1168" spans="25:28" x14ac:dyDescent="0.25">
      <c r="Y1168"/>
      <c r="AB1168"/>
    </row>
    <row r="1169" spans="25:28" x14ac:dyDescent="0.25">
      <c r="Y1169"/>
      <c r="AB1169"/>
    </row>
    <row r="1170" spans="25:28" x14ac:dyDescent="0.25">
      <c r="Y1170"/>
      <c r="AB1170"/>
    </row>
    <row r="1171" spans="25:28" x14ac:dyDescent="0.25">
      <c r="Y1171"/>
      <c r="AB1171"/>
    </row>
    <row r="1172" spans="25:28" x14ac:dyDescent="0.25">
      <c r="Y1172"/>
      <c r="AB1172"/>
    </row>
    <row r="1173" spans="25:28" x14ac:dyDescent="0.25">
      <c r="Y1173"/>
      <c r="AB1173"/>
    </row>
    <row r="1174" spans="25:28" x14ac:dyDescent="0.25">
      <c r="Y1174"/>
      <c r="AB1174"/>
    </row>
    <row r="1175" spans="25:28" x14ac:dyDescent="0.25">
      <c r="Y1175"/>
      <c r="AB1175"/>
    </row>
    <row r="1176" spans="25:28" x14ac:dyDescent="0.25">
      <c r="Y1176"/>
      <c r="AB1176"/>
    </row>
    <row r="1177" spans="25:28" x14ac:dyDescent="0.25">
      <c r="Y1177"/>
      <c r="AB1177"/>
    </row>
    <row r="1178" spans="25:28" x14ac:dyDescent="0.25">
      <c r="Y1178"/>
      <c r="AB1178"/>
    </row>
    <row r="1179" spans="25:28" x14ac:dyDescent="0.25">
      <c r="Y1179"/>
      <c r="AB1179"/>
    </row>
    <row r="1180" spans="25:28" x14ac:dyDescent="0.25">
      <c r="Y1180"/>
      <c r="AB1180"/>
    </row>
    <row r="1181" spans="25:28" x14ac:dyDescent="0.25">
      <c r="Y1181"/>
      <c r="AB1181"/>
    </row>
    <row r="1182" spans="25:28" x14ac:dyDescent="0.25">
      <c r="Y1182"/>
      <c r="AB1182"/>
    </row>
    <row r="1183" spans="25:28" x14ac:dyDescent="0.25">
      <c r="Y1183"/>
      <c r="AB1183"/>
    </row>
    <row r="1184" spans="25:28" x14ac:dyDescent="0.25">
      <c r="Y1184"/>
      <c r="AB1184"/>
    </row>
    <row r="1185" spans="25:28" x14ac:dyDescent="0.25">
      <c r="Y1185"/>
      <c r="AB1185"/>
    </row>
    <row r="1186" spans="25:28" x14ac:dyDescent="0.25">
      <c r="Y1186"/>
      <c r="AB1186"/>
    </row>
    <row r="1187" spans="25:28" x14ac:dyDescent="0.25">
      <c r="Y1187"/>
      <c r="AB1187"/>
    </row>
    <row r="1188" spans="25:28" x14ac:dyDescent="0.25">
      <c r="Y1188"/>
      <c r="AB1188"/>
    </row>
    <row r="1189" spans="25:28" x14ac:dyDescent="0.25">
      <c r="Y1189"/>
      <c r="AB1189"/>
    </row>
    <row r="1190" spans="25:28" x14ac:dyDescent="0.25">
      <c r="Y1190"/>
      <c r="AB1190"/>
    </row>
    <row r="1191" spans="25:28" x14ac:dyDescent="0.25">
      <c r="Y1191"/>
      <c r="AB1191"/>
    </row>
    <row r="1192" spans="25:28" x14ac:dyDescent="0.25">
      <c r="Y1192"/>
      <c r="AB1192"/>
    </row>
    <row r="1193" spans="25:28" x14ac:dyDescent="0.25">
      <c r="Y1193"/>
      <c r="AB1193"/>
    </row>
    <row r="1194" spans="25:28" x14ac:dyDescent="0.25">
      <c r="Y1194"/>
      <c r="AB1194"/>
    </row>
    <row r="1195" spans="25:28" x14ac:dyDescent="0.25">
      <c r="Y1195"/>
      <c r="AB1195"/>
    </row>
    <row r="1196" spans="25:28" x14ac:dyDescent="0.25">
      <c r="Y1196"/>
      <c r="AB1196"/>
    </row>
    <row r="1197" spans="25:28" x14ac:dyDescent="0.25">
      <c r="Y1197"/>
      <c r="AB1197"/>
    </row>
    <row r="1198" spans="25:28" x14ac:dyDescent="0.25">
      <c r="Y1198"/>
      <c r="AB1198"/>
    </row>
    <row r="1199" spans="25:28" x14ac:dyDescent="0.25">
      <c r="Y1199"/>
      <c r="AB1199"/>
    </row>
    <row r="1200" spans="25:28" x14ac:dyDescent="0.25">
      <c r="Y1200"/>
      <c r="AB1200"/>
    </row>
    <row r="1201" spans="25:28" x14ac:dyDescent="0.25">
      <c r="Y1201"/>
      <c r="AB1201"/>
    </row>
    <row r="1202" spans="25:28" x14ac:dyDescent="0.25">
      <c r="Y1202"/>
      <c r="AB1202"/>
    </row>
    <row r="1203" spans="25:28" x14ac:dyDescent="0.25">
      <c r="Y1203"/>
      <c r="AB1203"/>
    </row>
    <row r="1204" spans="25:28" x14ac:dyDescent="0.25">
      <c r="Y1204"/>
      <c r="AB1204"/>
    </row>
    <row r="1205" spans="25:28" x14ac:dyDescent="0.25">
      <c r="Y1205"/>
      <c r="AB1205"/>
    </row>
    <row r="1206" spans="25:28" x14ac:dyDescent="0.25">
      <c r="Y1206"/>
      <c r="AB1206"/>
    </row>
    <row r="1207" spans="25:28" x14ac:dyDescent="0.25">
      <c r="Y1207"/>
      <c r="AB1207"/>
    </row>
    <row r="1208" spans="25:28" x14ac:dyDescent="0.25">
      <c r="Y1208"/>
      <c r="AB1208"/>
    </row>
    <row r="1209" spans="25:28" x14ac:dyDescent="0.25">
      <c r="Y1209"/>
      <c r="AB1209"/>
    </row>
    <row r="1210" spans="25:28" x14ac:dyDescent="0.25">
      <c r="Y1210"/>
      <c r="AB1210"/>
    </row>
    <row r="1211" spans="25:28" x14ac:dyDescent="0.25">
      <c r="Y1211"/>
      <c r="AB1211"/>
    </row>
    <row r="1212" spans="25:28" x14ac:dyDescent="0.25">
      <c r="Y1212"/>
      <c r="AB1212"/>
    </row>
    <row r="1213" spans="25:28" x14ac:dyDescent="0.25">
      <c r="Y1213"/>
      <c r="AB1213"/>
    </row>
    <row r="1214" spans="25:28" x14ac:dyDescent="0.25">
      <c r="Y1214"/>
      <c r="AB1214"/>
    </row>
    <row r="1215" spans="25:28" x14ac:dyDescent="0.25">
      <c r="Y1215"/>
      <c r="AB1215"/>
    </row>
    <row r="1216" spans="25:28" x14ac:dyDescent="0.25">
      <c r="Y1216"/>
      <c r="AB1216"/>
    </row>
    <row r="1217" spans="25:28" x14ac:dyDescent="0.25">
      <c r="Y1217"/>
      <c r="AB1217"/>
    </row>
    <row r="1218" spans="25:28" x14ac:dyDescent="0.25">
      <c r="Y1218"/>
      <c r="AB1218"/>
    </row>
    <row r="1219" spans="25:28" x14ac:dyDescent="0.25">
      <c r="Y1219"/>
      <c r="AB1219"/>
    </row>
    <row r="1220" spans="25:28" x14ac:dyDescent="0.25">
      <c r="Y1220"/>
      <c r="AB1220"/>
    </row>
    <row r="1221" spans="25:28" x14ac:dyDescent="0.25">
      <c r="Y1221"/>
      <c r="AB1221"/>
    </row>
    <row r="1222" spans="25:28" x14ac:dyDescent="0.25">
      <c r="Y1222"/>
      <c r="AB1222"/>
    </row>
    <row r="1223" spans="25:28" x14ac:dyDescent="0.25">
      <c r="Y1223"/>
      <c r="AB1223"/>
    </row>
    <row r="1224" spans="25:28" x14ac:dyDescent="0.25">
      <c r="Y1224"/>
      <c r="AB1224"/>
    </row>
    <row r="1225" spans="25:28" x14ac:dyDescent="0.25">
      <c r="Y1225"/>
      <c r="AB1225"/>
    </row>
    <row r="1226" spans="25:28" x14ac:dyDescent="0.25">
      <c r="Y1226"/>
      <c r="AB1226"/>
    </row>
    <row r="1227" spans="25:28" x14ac:dyDescent="0.25">
      <c r="Y1227"/>
      <c r="AB1227"/>
    </row>
    <row r="1228" spans="25:28" x14ac:dyDescent="0.25">
      <c r="Y1228"/>
      <c r="AB1228"/>
    </row>
    <row r="1229" spans="25:28" x14ac:dyDescent="0.25">
      <c r="Y1229"/>
      <c r="AB1229"/>
    </row>
    <row r="1230" spans="25:28" x14ac:dyDescent="0.25">
      <c r="Y1230"/>
      <c r="AB1230"/>
    </row>
    <row r="1231" spans="25:28" x14ac:dyDescent="0.25">
      <c r="Y1231"/>
      <c r="AB1231"/>
    </row>
    <row r="1232" spans="25:28" x14ac:dyDescent="0.25">
      <c r="Y1232"/>
      <c r="AB1232"/>
    </row>
    <row r="1233" spans="25:28" x14ac:dyDescent="0.25">
      <c r="Y1233"/>
      <c r="AB1233"/>
    </row>
    <row r="1234" spans="25:28" x14ac:dyDescent="0.25">
      <c r="Y1234"/>
      <c r="AB1234"/>
    </row>
    <row r="1235" spans="25:28" x14ac:dyDescent="0.25">
      <c r="Y1235"/>
      <c r="AB1235"/>
    </row>
    <row r="1236" spans="25:28" x14ac:dyDescent="0.25">
      <c r="Y1236"/>
      <c r="AB1236"/>
    </row>
    <row r="1237" spans="25:28" x14ac:dyDescent="0.25">
      <c r="Y1237"/>
      <c r="AB1237"/>
    </row>
    <row r="1238" spans="25:28" x14ac:dyDescent="0.25">
      <c r="Y1238"/>
      <c r="AB1238"/>
    </row>
    <row r="1239" spans="25:28" x14ac:dyDescent="0.25">
      <c r="Y1239"/>
      <c r="AB1239"/>
    </row>
    <row r="1240" spans="25:28" x14ac:dyDescent="0.25">
      <c r="Y1240"/>
      <c r="AB1240"/>
    </row>
    <row r="1241" spans="25:28" x14ac:dyDescent="0.25">
      <c r="Y1241"/>
      <c r="AB1241"/>
    </row>
    <row r="1242" spans="25:28" x14ac:dyDescent="0.25">
      <c r="Y1242"/>
      <c r="AB1242"/>
    </row>
    <row r="1243" spans="25:28" x14ac:dyDescent="0.25">
      <c r="Y1243"/>
      <c r="AB1243"/>
    </row>
    <row r="1244" spans="25:28" x14ac:dyDescent="0.25">
      <c r="Y1244"/>
      <c r="AB1244"/>
    </row>
    <row r="1245" spans="25:28" x14ac:dyDescent="0.25">
      <c r="Y1245"/>
      <c r="AB1245"/>
    </row>
    <row r="1246" spans="25:28" x14ac:dyDescent="0.25">
      <c r="Y1246"/>
      <c r="AB1246"/>
    </row>
    <row r="1247" spans="25:28" x14ac:dyDescent="0.25">
      <c r="Y1247"/>
      <c r="AB1247"/>
    </row>
    <row r="1248" spans="25:28" x14ac:dyDescent="0.25">
      <c r="Y1248"/>
      <c r="AB1248"/>
    </row>
    <row r="1249" spans="25:28" x14ac:dyDescent="0.25">
      <c r="Y1249"/>
      <c r="AB1249"/>
    </row>
    <row r="1250" spans="25:28" x14ac:dyDescent="0.25">
      <c r="Y1250"/>
      <c r="AB1250"/>
    </row>
    <row r="1251" spans="25:28" x14ac:dyDescent="0.25">
      <c r="Y1251"/>
      <c r="AB1251"/>
    </row>
    <row r="1252" spans="25:28" x14ac:dyDescent="0.25">
      <c r="Y1252"/>
      <c r="AB1252"/>
    </row>
    <row r="1253" spans="25:28" x14ac:dyDescent="0.25">
      <c r="Y1253"/>
      <c r="AB1253"/>
    </row>
    <row r="1254" spans="25:28" x14ac:dyDescent="0.25">
      <c r="Y1254"/>
      <c r="AB1254"/>
    </row>
    <row r="1255" spans="25:28" x14ac:dyDescent="0.25">
      <c r="Y1255"/>
      <c r="AB1255"/>
    </row>
    <row r="1256" spans="25:28" x14ac:dyDescent="0.25">
      <c r="Y1256"/>
      <c r="AB1256"/>
    </row>
    <row r="1257" spans="25:28" x14ac:dyDescent="0.25">
      <c r="Y1257"/>
      <c r="AB1257"/>
    </row>
    <row r="1258" spans="25:28" x14ac:dyDescent="0.25">
      <c r="Y1258"/>
      <c r="AB1258"/>
    </row>
    <row r="1259" spans="25:28" x14ac:dyDescent="0.25">
      <c r="Y1259"/>
      <c r="AB1259"/>
    </row>
    <row r="1260" spans="25:28" x14ac:dyDescent="0.25">
      <c r="Y1260"/>
      <c r="AB1260"/>
    </row>
    <row r="1261" spans="25:28" x14ac:dyDescent="0.25">
      <c r="Y1261"/>
      <c r="AB1261"/>
    </row>
    <row r="1262" spans="25:28" x14ac:dyDescent="0.25">
      <c r="Y1262"/>
      <c r="AB1262"/>
    </row>
    <row r="1263" spans="25:28" x14ac:dyDescent="0.25">
      <c r="Y1263"/>
      <c r="AB1263"/>
    </row>
    <row r="1264" spans="25:28" x14ac:dyDescent="0.25">
      <c r="Y1264"/>
      <c r="AB1264"/>
    </row>
    <row r="1265" spans="25:28" x14ac:dyDescent="0.25">
      <c r="Y1265"/>
      <c r="AB1265"/>
    </row>
    <row r="1266" spans="25:28" x14ac:dyDescent="0.25">
      <c r="Y1266"/>
      <c r="AB1266"/>
    </row>
    <row r="1267" spans="25:28" x14ac:dyDescent="0.25">
      <c r="Y1267"/>
      <c r="AB1267"/>
    </row>
    <row r="1268" spans="25:28" x14ac:dyDescent="0.25">
      <c r="Y1268"/>
      <c r="AB1268"/>
    </row>
    <row r="1269" spans="25:28" x14ac:dyDescent="0.25">
      <c r="Y1269"/>
      <c r="AB1269"/>
    </row>
    <row r="1270" spans="25:28" x14ac:dyDescent="0.25">
      <c r="Y1270"/>
      <c r="AB1270"/>
    </row>
    <row r="1271" spans="25:28" x14ac:dyDescent="0.25">
      <c r="Y1271"/>
      <c r="AB1271"/>
    </row>
    <row r="1272" spans="25:28" x14ac:dyDescent="0.25">
      <c r="Y1272"/>
      <c r="AB1272"/>
    </row>
    <row r="1273" spans="25:28" x14ac:dyDescent="0.25">
      <c r="Y1273"/>
      <c r="AB1273"/>
    </row>
    <row r="1274" spans="25:28" x14ac:dyDescent="0.25">
      <c r="Y1274"/>
      <c r="AB1274"/>
    </row>
    <row r="1275" spans="25:28" x14ac:dyDescent="0.25">
      <c r="Y1275"/>
      <c r="AB1275"/>
    </row>
    <row r="1276" spans="25:28" x14ac:dyDescent="0.25">
      <c r="Y1276"/>
      <c r="AB1276"/>
    </row>
    <row r="1277" spans="25:28" x14ac:dyDescent="0.25">
      <c r="Y1277"/>
      <c r="AB1277"/>
    </row>
    <row r="1278" spans="25:28" x14ac:dyDescent="0.25">
      <c r="Y1278"/>
      <c r="AB1278"/>
    </row>
    <row r="1279" spans="25:28" x14ac:dyDescent="0.25">
      <c r="Y1279"/>
      <c r="AB1279"/>
    </row>
    <row r="1280" spans="25:28" x14ac:dyDescent="0.25">
      <c r="Y1280"/>
      <c r="AB1280"/>
    </row>
    <row r="1281" spans="25:28" x14ac:dyDescent="0.25">
      <c r="Y1281"/>
      <c r="AB1281"/>
    </row>
    <row r="1282" spans="25:28" x14ac:dyDescent="0.25">
      <c r="Y1282"/>
      <c r="AB1282"/>
    </row>
    <row r="1283" spans="25:28" x14ac:dyDescent="0.25">
      <c r="Y1283"/>
      <c r="AB1283"/>
    </row>
    <row r="1284" spans="25:28" x14ac:dyDescent="0.25">
      <c r="Y1284"/>
      <c r="AB1284"/>
    </row>
    <row r="1285" spans="25:28" x14ac:dyDescent="0.25">
      <c r="Y1285"/>
      <c r="AB1285"/>
    </row>
    <row r="1286" spans="25:28" x14ac:dyDescent="0.25">
      <c r="Y1286"/>
      <c r="AB1286"/>
    </row>
    <row r="1287" spans="25:28" x14ac:dyDescent="0.25">
      <c r="Y1287"/>
      <c r="AB1287"/>
    </row>
    <row r="1288" spans="25:28" x14ac:dyDescent="0.25">
      <c r="Y1288"/>
      <c r="AB1288"/>
    </row>
    <row r="1289" spans="25:28" x14ac:dyDescent="0.25">
      <c r="Y1289"/>
      <c r="AB1289"/>
    </row>
    <row r="1290" spans="25:28" x14ac:dyDescent="0.25">
      <c r="Y1290"/>
      <c r="AB1290"/>
    </row>
    <row r="1291" spans="25:28" x14ac:dyDescent="0.25">
      <c r="Y1291"/>
      <c r="AB1291"/>
    </row>
    <row r="1292" spans="25:28" x14ac:dyDescent="0.25">
      <c r="Y1292"/>
      <c r="AB1292"/>
    </row>
    <row r="1293" spans="25:28" x14ac:dyDescent="0.25">
      <c r="Y1293"/>
      <c r="AB1293"/>
    </row>
    <row r="1294" spans="25:28" x14ac:dyDescent="0.25">
      <c r="Y1294"/>
      <c r="AB1294"/>
    </row>
    <row r="1295" spans="25:28" x14ac:dyDescent="0.25">
      <c r="Y1295"/>
      <c r="AB1295"/>
    </row>
    <row r="1296" spans="25:28" x14ac:dyDescent="0.25">
      <c r="Y1296"/>
      <c r="AB1296"/>
    </row>
    <row r="1297" spans="25:28" x14ac:dyDescent="0.25">
      <c r="Y1297"/>
      <c r="AB1297"/>
    </row>
    <row r="1298" spans="25:28" x14ac:dyDescent="0.25">
      <c r="Y1298"/>
      <c r="AB1298"/>
    </row>
    <row r="1299" spans="25:28" x14ac:dyDescent="0.25">
      <c r="Y1299"/>
      <c r="AB1299"/>
    </row>
    <row r="1300" spans="25:28" x14ac:dyDescent="0.25">
      <c r="Y1300"/>
      <c r="AB1300"/>
    </row>
    <row r="1301" spans="25:28" x14ac:dyDescent="0.25">
      <c r="Y1301"/>
      <c r="AB1301"/>
    </row>
    <row r="1302" spans="25:28" x14ac:dyDescent="0.25">
      <c r="Y1302"/>
      <c r="AB1302"/>
    </row>
    <row r="1303" spans="25:28" x14ac:dyDescent="0.25">
      <c r="Y1303"/>
      <c r="AB1303"/>
    </row>
    <row r="1304" spans="25:28" x14ac:dyDescent="0.25">
      <c r="Y1304"/>
      <c r="AB1304"/>
    </row>
    <row r="1305" spans="25:28" x14ac:dyDescent="0.25">
      <c r="Y1305"/>
      <c r="AB1305"/>
    </row>
    <row r="1306" spans="25:28" x14ac:dyDescent="0.25">
      <c r="Y1306"/>
      <c r="AB1306"/>
    </row>
    <row r="1307" spans="25:28" x14ac:dyDescent="0.25">
      <c r="Y1307"/>
      <c r="AB1307"/>
    </row>
    <row r="1308" spans="25:28" x14ac:dyDescent="0.25">
      <c r="Y1308"/>
      <c r="AB1308"/>
    </row>
    <row r="1309" spans="25:28" x14ac:dyDescent="0.25">
      <c r="Y1309"/>
      <c r="AB1309"/>
    </row>
    <row r="1310" spans="25:28" x14ac:dyDescent="0.25">
      <c r="Y1310"/>
      <c r="AB1310"/>
    </row>
    <row r="1311" spans="25:28" x14ac:dyDescent="0.25">
      <c r="Y1311"/>
      <c r="AB1311"/>
    </row>
    <row r="1312" spans="25:28" x14ac:dyDescent="0.25">
      <c r="Y1312"/>
      <c r="AB1312"/>
    </row>
    <row r="1313" spans="25:28" x14ac:dyDescent="0.25">
      <c r="Y1313"/>
      <c r="AB1313"/>
    </row>
    <row r="1314" spans="25:28" x14ac:dyDescent="0.25">
      <c r="Y1314"/>
      <c r="AB1314"/>
    </row>
    <row r="1315" spans="25:28" x14ac:dyDescent="0.25">
      <c r="Y1315"/>
      <c r="AB1315"/>
    </row>
    <row r="1316" spans="25:28" x14ac:dyDescent="0.25">
      <c r="Y1316"/>
      <c r="AB1316"/>
    </row>
    <row r="1317" spans="25:28" x14ac:dyDescent="0.25">
      <c r="Y1317"/>
      <c r="AB1317"/>
    </row>
    <row r="1318" spans="25:28" x14ac:dyDescent="0.25">
      <c r="Y1318"/>
      <c r="AB1318"/>
    </row>
    <row r="1319" spans="25:28" x14ac:dyDescent="0.25">
      <c r="Y1319"/>
      <c r="AB1319"/>
    </row>
    <row r="1320" spans="25:28" x14ac:dyDescent="0.25">
      <c r="Y1320"/>
      <c r="AB1320"/>
    </row>
    <row r="1321" spans="25:28" x14ac:dyDescent="0.25">
      <c r="Y1321"/>
      <c r="AB1321"/>
    </row>
    <row r="1322" spans="25:28" x14ac:dyDescent="0.25">
      <c r="Y1322"/>
      <c r="AB1322"/>
    </row>
    <row r="1323" spans="25:28" x14ac:dyDescent="0.25">
      <c r="Y1323"/>
      <c r="AB1323"/>
    </row>
    <row r="1324" spans="25:28" x14ac:dyDescent="0.25">
      <c r="Y1324"/>
      <c r="AB1324"/>
    </row>
    <row r="1325" spans="25:28" x14ac:dyDescent="0.25">
      <c r="Y1325"/>
      <c r="AB1325"/>
    </row>
    <row r="1326" spans="25:28" x14ac:dyDescent="0.25">
      <c r="Y1326"/>
      <c r="AB1326"/>
    </row>
    <row r="1327" spans="25:28" x14ac:dyDescent="0.25">
      <c r="Y1327"/>
      <c r="AB1327"/>
    </row>
    <row r="1328" spans="25:28" x14ac:dyDescent="0.25">
      <c r="Y1328"/>
      <c r="AB1328"/>
    </row>
    <row r="1329" spans="25:28" x14ac:dyDescent="0.25">
      <c r="Y1329"/>
      <c r="AB1329"/>
    </row>
    <row r="1330" spans="25:28" x14ac:dyDescent="0.25">
      <c r="Y1330"/>
      <c r="AB1330"/>
    </row>
    <row r="1331" spans="25:28" x14ac:dyDescent="0.25">
      <c r="Y1331"/>
      <c r="AB1331"/>
    </row>
    <row r="1332" spans="25:28" x14ac:dyDescent="0.25">
      <c r="Y1332"/>
      <c r="AB1332"/>
    </row>
    <row r="1333" spans="25:28" x14ac:dyDescent="0.25">
      <c r="Y1333"/>
      <c r="AB1333"/>
    </row>
    <row r="1334" spans="25:28" x14ac:dyDescent="0.25">
      <c r="Y1334"/>
      <c r="AB1334"/>
    </row>
    <row r="1335" spans="25:28" x14ac:dyDescent="0.25">
      <c r="Y1335"/>
      <c r="AB1335"/>
    </row>
    <row r="1336" spans="25:28" x14ac:dyDescent="0.25">
      <c r="Y1336"/>
      <c r="AB1336"/>
    </row>
    <row r="1337" spans="25:28" x14ac:dyDescent="0.25">
      <c r="Y1337"/>
      <c r="AB1337"/>
    </row>
    <row r="1338" spans="25:28" x14ac:dyDescent="0.25">
      <c r="Y1338"/>
      <c r="AB1338"/>
    </row>
    <row r="1339" spans="25:28" x14ac:dyDescent="0.25">
      <c r="Y1339"/>
      <c r="AB1339"/>
    </row>
    <row r="1340" spans="25:28" x14ac:dyDescent="0.25">
      <c r="Y1340"/>
      <c r="AB1340"/>
    </row>
    <row r="1341" spans="25:28" x14ac:dyDescent="0.25">
      <c r="Y1341"/>
      <c r="AB1341"/>
    </row>
    <row r="1342" spans="25:28" x14ac:dyDescent="0.25">
      <c r="Y1342"/>
      <c r="AB1342"/>
    </row>
    <row r="1343" spans="25:28" x14ac:dyDescent="0.25">
      <c r="Y1343"/>
      <c r="AB1343"/>
    </row>
    <row r="1344" spans="25:28" x14ac:dyDescent="0.25">
      <c r="Y1344"/>
      <c r="AB1344"/>
    </row>
    <row r="1345" spans="25:28" x14ac:dyDescent="0.25">
      <c r="Y1345"/>
      <c r="AB1345"/>
    </row>
    <row r="1346" spans="25:28" x14ac:dyDescent="0.25">
      <c r="Y1346"/>
      <c r="AB1346"/>
    </row>
    <row r="1347" spans="25:28" x14ac:dyDescent="0.25">
      <c r="Y1347"/>
      <c r="AB1347"/>
    </row>
    <row r="1348" spans="25:28" x14ac:dyDescent="0.25">
      <c r="Y1348"/>
      <c r="AB1348"/>
    </row>
    <row r="1349" spans="25:28" x14ac:dyDescent="0.25">
      <c r="Y1349"/>
      <c r="AB1349"/>
    </row>
    <row r="1350" spans="25:28" x14ac:dyDescent="0.25">
      <c r="Y1350"/>
      <c r="AB1350"/>
    </row>
    <row r="1351" spans="25:28" x14ac:dyDescent="0.25">
      <c r="Y1351"/>
      <c r="AB1351"/>
    </row>
    <row r="1352" spans="25:28" x14ac:dyDescent="0.25">
      <c r="Y1352"/>
      <c r="AB1352"/>
    </row>
    <row r="1353" spans="25:28" x14ac:dyDescent="0.25">
      <c r="Y1353"/>
      <c r="AB1353"/>
    </row>
    <row r="1354" spans="25:28" x14ac:dyDescent="0.25">
      <c r="Y1354"/>
      <c r="AB1354"/>
    </row>
    <row r="1355" spans="25:28" x14ac:dyDescent="0.25">
      <c r="Y1355"/>
      <c r="AB1355"/>
    </row>
    <row r="1356" spans="25:28" x14ac:dyDescent="0.25">
      <c r="Y1356"/>
      <c r="AB1356"/>
    </row>
    <row r="1357" spans="25:28" x14ac:dyDescent="0.25">
      <c r="Y1357"/>
      <c r="AB1357"/>
    </row>
    <row r="1358" spans="25:28" x14ac:dyDescent="0.25">
      <c r="Y1358"/>
      <c r="AB1358"/>
    </row>
    <row r="1359" spans="25:28" x14ac:dyDescent="0.25">
      <c r="Y1359"/>
      <c r="AB1359"/>
    </row>
    <row r="1360" spans="25:28" x14ac:dyDescent="0.25">
      <c r="Y1360"/>
      <c r="AB1360"/>
    </row>
    <row r="1361" spans="25:28" x14ac:dyDescent="0.25">
      <c r="Y1361"/>
      <c r="AB1361"/>
    </row>
    <row r="1362" spans="25:28" x14ac:dyDescent="0.25">
      <c r="Y1362"/>
      <c r="AB1362"/>
    </row>
    <row r="1363" spans="25:28" x14ac:dyDescent="0.25">
      <c r="Y1363"/>
      <c r="AB1363"/>
    </row>
    <row r="1364" spans="25:28" x14ac:dyDescent="0.25">
      <c r="Y1364"/>
      <c r="AB1364"/>
    </row>
    <row r="1365" spans="25:28" x14ac:dyDescent="0.25">
      <c r="Y1365"/>
      <c r="AB1365"/>
    </row>
    <row r="1366" spans="25:28" x14ac:dyDescent="0.25">
      <c r="Y1366"/>
      <c r="AB1366"/>
    </row>
    <row r="1367" spans="25:28" x14ac:dyDescent="0.25">
      <c r="Y1367"/>
      <c r="AB1367"/>
    </row>
    <row r="1368" spans="25:28" x14ac:dyDescent="0.25">
      <c r="Y1368"/>
      <c r="AB1368"/>
    </row>
    <row r="1369" spans="25:28" x14ac:dyDescent="0.25">
      <c r="Y1369"/>
      <c r="AB1369"/>
    </row>
    <row r="1370" spans="25:28" x14ac:dyDescent="0.25">
      <c r="Y1370"/>
      <c r="AB1370"/>
    </row>
    <row r="1371" spans="25:28" x14ac:dyDescent="0.25">
      <c r="Y1371"/>
      <c r="AB1371"/>
    </row>
    <row r="1372" spans="25:28" x14ac:dyDescent="0.25">
      <c r="Y1372"/>
      <c r="AB1372"/>
    </row>
    <row r="1373" spans="25:28" x14ac:dyDescent="0.25">
      <c r="Y1373"/>
      <c r="AB1373"/>
    </row>
    <row r="1374" spans="25:28" x14ac:dyDescent="0.25">
      <c r="Y1374"/>
      <c r="AB1374"/>
    </row>
    <row r="1375" spans="25:28" x14ac:dyDescent="0.25">
      <c r="Y1375"/>
      <c r="AB1375"/>
    </row>
    <row r="1376" spans="25:28" x14ac:dyDescent="0.25">
      <c r="Y1376"/>
      <c r="AB1376"/>
    </row>
    <row r="1377" spans="25:28" x14ac:dyDescent="0.25">
      <c r="Y1377"/>
      <c r="AB1377"/>
    </row>
    <row r="1378" spans="25:28" x14ac:dyDescent="0.25">
      <c r="Y1378"/>
      <c r="AB1378"/>
    </row>
    <row r="1379" spans="25:28" x14ac:dyDescent="0.25">
      <c r="Y1379"/>
      <c r="AB1379"/>
    </row>
    <row r="1380" spans="25:28" x14ac:dyDescent="0.25">
      <c r="Y1380"/>
      <c r="AB1380"/>
    </row>
    <row r="1381" spans="25:28" x14ac:dyDescent="0.25">
      <c r="Y1381"/>
      <c r="AB1381"/>
    </row>
    <row r="1382" spans="25:28" x14ac:dyDescent="0.25">
      <c r="Y1382"/>
      <c r="AB1382"/>
    </row>
    <row r="1383" spans="25:28" x14ac:dyDescent="0.25">
      <c r="Y1383"/>
      <c r="AB1383"/>
    </row>
    <row r="1384" spans="25:28" x14ac:dyDescent="0.25">
      <c r="Y1384"/>
      <c r="AB1384"/>
    </row>
    <row r="1385" spans="25:28" x14ac:dyDescent="0.25">
      <c r="Y1385"/>
      <c r="AB1385"/>
    </row>
    <row r="1386" spans="25:28" x14ac:dyDescent="0.25">
      <c r="Y1386"/>
      <c r="AB1386"/>
    </row>
    <row r="1387" spans="25:28" x14ac:dyDescent="0.25">
      <c r="Y1387"/>
      <c r="AB1387"/>
    </row>
    <row r="1388" spans="25:28" x14ac:dyDescent="0.25">
      <c r="Y1388"/>
      <c r="AB1388"/>
    </row>
    <row r="1389" spans="25:28" x14ac:dyDescent="0.25">
      <c r="Y1389"/>
      <c r="AB1389"/>
    </row>
    <row r="1390" spans="25:28" x14ac:dyDescent="0.25">
      <c r="Y1390"/>
      <c r="AB1390"/>
    </row>
    <row r="1391" spans="25:28" x14ac:dyDescent="0.25">
      <c r="Y1391"/>
      <c r="AB1391"/>
    </row>
    <row r="1392" spans="25:28" x14ac:dyDescent="0.25">
      <c r="Y1392"/>
      <c r="AB1392"/>
    </row>
    <row r="1393" spans="25:28" x14ac:dyDescent="0.25">
      <c r="Y1393"/>
      <c r="AB1393"/>
    </row>
    <row r="1394" spans="25:28" x14ac:dyDescent="0.25">
      <c r="Y1394"/>
      <c r="AB1394"/>
    </row>
    <row r="1395" spans="25:28" x14ac:dyDescent="0.25">
      <c r="Y1395"/>
      <c r="AB1395"/>
    </row>
    <row r="1396" spans="25:28" x14ac:dyDescent="0.25">
      <c r="Y1396"/>
      <c r="AB1396"/>
    </row>
    <row r="1397" spans="25:28" x14ac:dyDescent="0.25">
      <c r="Y1397"/>
      <c r="AB1397"/>
    </row>
    <row r="1398" spans="25:28" x14ac:dyDescent="0.25">
      <c r="Y1398"/>
      <c r="AB1398"/>
    </row>
    <row r="1399" spans="25:28" x14ac:dyDescent="0.25">
      <c r="Y1399"/>
      <c r="AB1399"/>
    </row>
    <row r="1400" spans="25:28" x14ac:dyDescent="0.25">
      <c r="Y1400"/>
      <c r="AB1400"/>
    </row>
    <row r="1401" spans="25:28" x14ac:dyDescent="0.25">
      <c r="Y1401"/>
      <c r="AB1401"/>
    </row>
    <row r="1402" spans="25:28" x14ac:dyDescent="0.25">
      <c r="Y1402"/>
      <c r="AB1402"/>
    </row>
    <row r="1403" spans="25:28" x14ac:dyDescent="0.25">
      <c r="Y1403"/>
      <c r="AB1403"/>
    </row>
    <row r="1404" spans="25:28" x14ac:dyDescent="0.25">
      <c r="Y1404"/>
      <c r="AB1404"/>
    </row>
    <row r="1405" spans="25:28" x14ac:dyDescent="0.25">
      <c r="Y1405"/>
      <c r="AB1405"/>
    </row>
    <row r="1406" spans="25:28" x14ac:dyDescent="0.25">
      <c r="Y1406"/>
      <c r="AB1406"/>
    </row>
    <row r="1407" spans="25:28" x14ac:dyDescent="0.25">
      <c r="Y1407"/>
      <c r="AB1407"/>
    </row>
    <row r="1408" spans="25:28" x14ac:dyDescent="0.25">
      <c r="Y1408"/>
      <c r="AB1408"/>
    </row>
    <row r="1409" spans="25:28" x14ac:dyDescent="0.25">
      <c r="Y1409"/>
      <c r="AB1409"/>
    </row>
    <row r="1410" spans="25:28" x14ac:dyDescent="0.25">
      <c r="Y1410"/>
      <c r="AB1410"/>
    </row>
    <row r="1411" spans="25:28" x14ac:dyDescent="0.25">
      <c r="Y1411"/>
      <c r="AB1411"/>
    </row>
    <row r="1412" spans="25:28" x14ac:dyDescent="0.25">
      <c r="Y1412"/>
      <c r="AB1412"/>
    </row>
    <row r="1413" spans="25:28" x14ac:dyDescent="0.25">
      <c r="Y1413"/>
      <c r="AB1413"/>
    </row>
    <row r="1414" spans="25:28" x14ac:dyDescent="0.25">
      <c r="Y1414"/>
      <c r="AB1414"/>
    </row>
    <row r="1415" spans="25:28" x14ac:dyDescent="0.25">
      <c r="Y1415"/>
      <c r="AB1415"/>
    </row>
    <row r="1416" spans="25:28" x14ac:dyDescent="0.25">
      <c r="Y1416"/>
      <c r="AB1416"/>
    </row>
    <row r="1417" spans="25:28" x14ac:dyDescent="0.25">
      <c r="Y1417"/>
      <c r="AB1417"/>
    </row>
    <row r="1418" spans="25:28" x14ac:dyDescent="0.25">
      <c r="Y1418"/>
      <c r="AB1418"/>
    </row>
    <row r="1419" spans="25:28" x14ac:dyDescent="0.25">
      <c r="Y1419"/>
      <c r="AB1419"/>
    </row>
    <row r="1420" spans="25:28" x14ac:dyDescent="0.25">
      <c r="Y1420"/>
      <c r="AB1420"/>
    </row>
    <row r="1421" spans="25:28" x14ac:dyDescent="0.25">
      <c r="Y1421"/>
      <c r="AB1421"/>
    </row>
    <row r="1422" spans="25:28" x14ac:dyDescent="0.25">
      <c r="Y1422"/>
      <c r="AB1422"/>
    </row>
    <row r="1423" spans="25:28" x14ac:dyDescent="0.25">
      <c r="Y1423"/>
      <c r="AB1423"/>
    </row>
    <row r="1424" spans="25:28" x14ac:dyDescent="0.25">
      <c r="Y1424"/>
      <c r="AB1424"/>
    </row>
    <row r="1425" spans="25:28" x14ac:dyDescent="0.25">
      <c r="Y1425"/>
      <c r="AB1425"/>
    </row>
    <row r="1426" spans="25:28" x14ac:dyDescent="0.25">
      <c r="Y1426"/>
      <c r="AB1426"/>
    </row>
    <row r="1427" spans="25:28" x14ac:dyDescent="0.25">
      <c r="Y1427"/>
      <c r="AB1427"/>
    </row>
    <row r="1428" spans="25:28" x14ac:dyDescent="0.25">
      <c r="Y1428"/>
      <c r="AB1428"/>
    </row>
    <row r="1429" spans="25:28" x14ac:dyDescent="0.25">
      <c r="Y1429"/>
      <c r="AB1429"/>
    </row>
    <row r="1430" spans="25:28" x14ac:dyDescent="0.25">
      <c r="Y1430"/>
      <c r="AB1430"/>
    </row>
    <row r="1431" spans="25:28" x14ac:dyDescent="0.25">
      <c r="Y1431"/>
      <c r="AB1431"/>
    </row>
    <row r="1432" spans="25:28" x14ac:dyDescent="0.25">
      <c r="Y1432"/>
      <c r="AB1432"/>
    </row>
    <row r="1433" spans="25:28" x14ac:dyDescent="0.25">
      <c r="Y1433"/>
      <c r="AB1433"/>
    </row>
    <row r="1434" spans="25:28" x14ac:dyDescent="0.25">
      <c r="Y1434"/>
      <c r="AB1434"/>
    </row>
    <row r="1435" spans="25:28" x14ac:dyDescent="0.25">
      <c r="Y1435"/>
      <c r="AB1435"/>
    </row>
    <row r="1436" spans="25:28" x14ac:dyDescent="0.25">
      <c r="Y1436"/>
      <c r="AB1436"/>
    </row>
    <row r="1437" spans="25:28" x14ac:dyDescent="0.25">
      <c r="Y1437"/>
      <c r="AB1437"/>
    </row>
    <row r="1438" spans="25:28" x14ac:dyDescent="0.25">
      <c r="Y1438"/>
      <c r="AB1438"/>
    </row>
    <row r="1439" spans="25:28" x14ac:dyDescent="0.25">
      <c r="Y1439"/>
      <c r="AB1439"/>
    </row>
    <row r="1440" spans="25:28" x14ac:dyDescent="0.25">
      <c r="Y1440"/>
      <c r="AB1440"/>
    </row>
    <row r="1441" spans="25:28" x14ac:dyDescent="0.25">
      <c r="Y1441"/>
      <c r="AB1441"/>
    </row>
    <row r="1442" spans="25:28" x14ac:dyDescent="0.25">
      <c r="Y1442"/>
      <c r="AB1442"/>
    </row>
    <row r="1443" spans="25:28" x14ac:dyDescent="0.25">
      <c r="Y1443"/>
      <c r="AB1443"/>
    </row>
    <row r="1444" spans="25:28" x14ac:dyDescent="0.25">
      <c r="Y1444"/>
      <c r="AB1444"/>
    </row>
    <row r="1445" spans="25:28" x14ac:dyDescent="0.25">
      <c r="Y1445"/>
      <c r="AB1445"/>
    </row>
    <row r="1446" spans="25:28" x14ac:dyDescent="0.25">
      <c r="Y1446"/>
      <c r="AB1446"/>
    </row>
    <row r="1447" spans="25:28" x14ac:dyDescent="0.25">
      <c r="Y1447"/>
      <c r="AB1447"/>
    </row>
    <row r="1448" spans="25:28" x14ac:dyDescent="0.25">
      <c r="Y1448"/>
      <c r="AB1448"/>
    </row>
    <row r="1449" spans="25:28" x14ac:dyDescent="0.25">
      <c r="Y1449"/>
      <c r="AB1449"/>
    </row>
    <row r="1450" spans="25:28" x14ac:dyDescent="0.25">
      <c r="Y1450"/>
      <c r="AB1450"/>
    </row>
    <row r="1451" spans="25:28" x14ac:dyDescent="0.25">
      <c r="Y1451"/>
      <c r="AB1451"/>
    </row>
    <row r="1452" spans="25:28" x14ac:dyDescent="0.25">
      <c r="Y1452"/>
      <c r="AB1452"/>
    </row>
    <row r="1453" spans="25:28" x14ac:dyDescent="0.25">
      <c r="Y1453"/>
      <c r="AB1453"/>
    </row>
    <row r="1454" spans="25:28" x14ac:dyDescent="0.25">
      <c r="Y1454"/>
      <c r="AB1454"/>
    </row>
    <row r="1455" spans="25:28" x14ac:dyDescent="0.25">
      <c r="Y1455"/>
      <c r="AB1455"/>
    </row>
    <row r="1456" spans="25:28" x14ac:dyDescent="0.25">
      <c r="Y1456"/>
      <c r="AB1456"/>
    </row>
    <row r="1457" spans="25:28" x14ac:dyDescent="0.25">
      <c r="Y1457"/>
      <c r="AB1457"/>
    </row>
    <row r="1458" spans="25:28" x14ac:dyDescent="0.25">
      <c r="Y1458"/>
      <c r="AB1458"/>
    </row>
    <row r="1459" spans="25:28" x14ac:dyDescent="0.25">
      <c r="Y1459"/>
      <c r="AB1459"/>
    </row>
    <row r="1460" spans="25:28" x14ac:dyDescent="0.25">
      <c r="Y1460"/>
      <c r="AB1460"/>
    </row>
    <row r="1461" spans="25:28" x14ac:dyDescent="0.25">
      <c r="Y1461"/>
      <c r="AB1461"/>
    </row>
    <row r="1462" spans="25:28" x14ac:dyDescent="0.25">
      <c r="Y1462"/>
      <c r="AB1462"/>
    </row>
    <row r="1463" spans="25:28" x14ac:dyDescent="0.25">
      <c r="Y1463"/>
      <c r="AB1463"/>
    </row>
    <row r="1464" spans="25:28" x14ac:dyDescent="0.25">
      <c r="Y1464"/>
      <c r="AB1464"/>
    </row>
    <row r="1465" spans="25:28" x14ac:dyDescent="0.25">
      <c r="Y1465"/>
      <c r="AB1465"/>
    </row>
    <row r="1466" spans="25:28" x14ac:dyDescent="0.25">
      <c r="Y1466"/>
      <c r="AB1466"/>
    </row>
    <row r="1467" spans="25:28" x14ac:dyDescent="0.25">
      <c r="Y1467"/>
      <c r="AB1467"/>
    </row>
    <row r="1468" spans="25:28" x14ac:dyDescent="0.25">
      <c r="Y1468"/>
      <c r="AB1468"/>
    </row>
    <row r="1469" spans="25:28" x14ac:dyDescent="0.25">
      <c r="Y1469"/>
      <c r="AB1469"/>
    </row>
    <row r="1470" spans="25:28" x14ac:dyDescent="0.25">
      <c r="Y1470"/>
      <c r="AB1470"/>
    </row>
    <row r="1471" spans="25:28" x14ac:dyDescent="0.25">
      <c r="Y1471"/>
      <c r="AB1471"/>
    </row>
    <row r="1472" spans="25:28" x14ac:dyDescent="0.25">
      <c r="Y1472"/>
      <c r="AB1472"/>
    </row>
    <row r="1473" spans="25:28" x14ac:dyDescent="0.25">
      <c r="Y1473"/>
      <c r="AB1473"/>
    </row>
    <row r="1474" spans="25:28" x14ac:dyDescent="0.25">
      <c r="Y1474"/>
      <c r="AB1474"/>
    </row>
    <row r="1475" spans="25:28" x14ac:dyDescent="0.25">
      <c r="Y1475"/>
      <c r="AB1475"/>
    </row>
    <row r="1476" spans="25:28" x14ac:dyDescent="0.25">
      <c r="Y1476"/>
      <c r="AB1476"/>
    </row>
    <row r="1477" spans="25:28" x14ac:dyDescent="0.25">
      <c r="Y1477"/>
      <c r="AB1477"/>
    </row>
    <row r="1478" spans="25:28" x14ac:dyDescent="0.25">
      <c r="Y1478"/>
      <c r="AB1478"/>
    </row>
    <row r="1479" spans="25:28" x14ac:dyDescent="0.25">
      <c r="Y1479"/>
      <c r="AB1479"/>
    </row>
    <row r="1480" spans="25:28" x14ac:dyDescent="0.25">
      <c r="Y1480"/>
      <c r="AB1480"/>
    </row>
    <row r="1481" spans="25:28" x14ac:dyDescent="0.25">
      <c r="Y1481"/>
      <c r="AB1481"/>
    </row>
    <row r="1482" spans="25:28" x14ac:dyDescent="0.25">
      <c r="Y1482"/>
      <c r="AB1482"/>
    </row>
    <row r="1483" spans="25:28" x14ac:dyDescent="0.25">
      <c r="Y1483"/>
      <c r="AB1483"/>
    </row>
    <row r="1484" spans="25:28" x14ac:dyDescent="0.25">
      <c r="Y1484"/>
      <c r="AB1484"/>
    </row>
    <row r="1485" spans="25:28" x14ac:dyDescent="0.25">
      <c r="Y1485"/>
      <c r="AB1485"/>
    </row>
    <row r="1486" spans="25:28" x14ac:dyDescent="0.25">
      <c r="Y1486"/>
      <c r="AB1486"/>
    </row>
    <row r="1487" spans="25:28" x14ac:dyDescent="0.25">
      <c r="Y1487"/>
      <c r="AB1487"/>
    </row>
    <row r="1488" spans="25:28" x14ac:dyDescent="0.25">
      <c r="Y1488"/>
      <c r="AB1488"/>
    </row>
    <row r="1489" spans="25:28" x14ac:dyDescent="0.25">
      <c r="Y1489"/>
      <c r="AB1489"/>
    </row>
    <row r="1490" spans="25:28" x14ac:dyDescent="0.25">
      <c r="Y1490"/>
      <c r="AB1490"/>
    </row>
    <row r="1491" spans="25:28" x14ac:dyDescent="0.25">
      <c r="Y1491"/>
      <c r="AB1491"/>
    </row>
    <row r="1492" spans="25:28" x14ac:dyDescent="0.25">
      <c r="Y1492"/>
      <c r="AB1492"/>
    </row>
    <row r="1493" spans="25:28" x14ac:dyDescent="0.25">
      <c r="Y1493"/>
      <c r="AB1493"/>
    </row>
    <row r="1494" spans="25:28" x14ac:dyDescent="0.25">
      <c r="Y1494"/>
      <c r="AB1494"/>
    </row>
    <row r="1495" spans="25:28" x14ac:dyDescent="0.25">
      <c r="Y1495"/>
      <c r="AB1495"/>
    </row>
    <row r="1496" spans="25:28" x14ac:dyDescent="0.25">
      <c r="Y1496"/>
      <c r="AB1496"/>
    </row>
    <row r="1497" spans="25:28" x14ac:dyDescent="0.25">
      <c r="Y1497"/>
      <c r="AB1497"/>
    </row>
    <row r="1498" spans="25:28" x14ac:dyDescent="0.25">
      <c r="Y1498"/>
      <c r="AB1498"/>
    </row>
    <row r="1499" spans="25:28" x14ac:dyDescent="0.25">
      <c r="Y1499"/>
      <c r="AB1499"/>
    </row>
    <row r="1500" spans="25:28" x14ac:dyDescent="0.25">
      <c r="Y1500"/>
      <c r="AB1500"/>
    </row>
    <row r="1501" spans="25:28" x14ac:dyDescent="0.25">
      <c r="Y1501"/>
      <c r="AB1501"/>
    </row>
    <row r="1502" spans="25:28" x14ac:dyDescent="0.25">
      <c r="Y1502"/>
      <c r="AB1502"/>
    </row>
    <row r="1503" spans="25:28" x14ac:dyDescent="0.25">
      <c r="Y1503"/>
      <c r="AB1503"/>
    </row>
    <row r="1504" spans="25:28" x14ac:dyDescent="0.25">
      <c r="Y1504"/>
      <c r="AB1504"/>
    </row>
    <row r="1505" spans="25:28" x14ac:dyDescent="0.25">
      <c r="Y1505"/>
      <c r="AB1505"/>
    </row>
    <row r="1506" spans="25:28" x14ac:dyDescent="0.25">
      <c r="Y1506"/>
      <c r="AB1506"/>
    </row>
    <row r="1507" spans="25:28" x14ac:dyDescent="0.25">
      <c r="Y1507"/>
      <c r="AB1507"/>
    </row>
    <row r="1508" spans="25:28" x14ac:dyDescent="0.25">
      <c r="Y1508"/>
      <c r="AB1508"/>
    </row>
    <row r="1509" spans="25:28" x14ac:dyDescent="0.25">
      <c r="Y1509"/>
      <c r="AB1509"/>
    </row>
    <row r="1510" spans="25:28" x14ac:dyDescent="0.25">
      <c r="Y1510"/>
      <c r="AB1510"/>
    </row>
    <row r="1511" spans="25:28" x14ac:dyDescent="0.25">
      <c r="Y1511"/>
      <c r="AB1511"/>
    </row>
    <row r="1512" spans="25:28" x14ac:dyDescent="0.25">
      <c r="Y1512"/>
      <c r="AB1512"/>
    </row>
    <row r="1513" spans="25:28" x14ac:dyDescent="0.25">
      <c r="Y1513"/>
      <c r="AB1513"/>
    </row>
    <row r="1514" spans="25:28" x14ac:dyDescent="0.25">
      <c r="Y1514"/>
      <c r="AB1514"/>
    </row>
    <row r="1515" spans="25:28" x14ac:dyDescent="0.25">
      <c r="Y1515"/>
      <c r="AB1515"/>
    </row>
    <row r="1516" spans="25:28" x14ac:dyDescent="0.25">
      <c r="Y1516"/>
      <c r="AB1516"/>
    </row>
    <row r="1517" spans="25:28" x14ac:dyDescent="0.25">
      <c r="Y1517"/>
      <c r="AB1517"/>
    </row>
    <row r="1518" spans="25:28" x14ac:dyDescent="0.25">
      <c r="Y1518"/>
      <c r="AB1518"/>
    </row>
    <row r="1519" spans="25:28" x14ac:dyDescent="0.25">
      <c r="Y1519"/>
      <c r="AB1519"/>
    </row>
    <row r="1520" spans="25:28" x14ac:dyDescent="0.25">
      <c r="Y1520"/>
      <c r="AB1520"/>
    </row>
    <row r="1521" spans="25:28" x14ac:dyDescent="0.25">
      <c r="Y1521"/>
      <c r="AB1521"/>
    </row>
    <row r="1522" spans="25:28" x14ac:dyDescent="0.25">
      <c r="Y1522"/>
      <c r="AB1522"/>
    </row>
    <row r="1523" spans="25:28" x14ac:dyDescent="0.25">
      <c r="Y1523"/>
      <c r="AB1523"/>
    </row>
    <row r="1524" spans="25:28" x14ac:dyDescent="0.25">
      <c r="Y1524"/>
      <c r="AB1524"/>
    </row>
    <row r="1525" spans="25:28" x14ac:dyDescent="0.25">
      <c r="Y1525"/>
      <c r="AB1525"/>
    </row>
    <row r="1526" spans="25:28" x14ac:dyDescent="0.25">
      <c r="Y1526"/>
      <c r="AB1526"/>
    </row>
    <row r="1527" spans="25:28" x14ac:dyDescent="0.25">
      <c r="Y1527"/>
      <c r="AB1527"/>
    </row>
    <row r="1528" spans="25:28" x14ac:dyDescent="0.25">
      <c r="Y1528"/>
      <c r="AB1528"/>
    </row>
    <row r="1529" spans="25:28" x14ac:dyDescent="0.25">
      <c r="Y1529"/>
      <c r="AB1529"/>
    </row>
    <row r="1530" spans="25:28" x14ac:dyDescent="0.25">
      <c r="Y1530"/>
      <c r="AB1530"/>
    </row>
    <row r="1531" spans="25:28" x14ac:dyDescent="0.25">
      <c r="Y1531"/>
      <c r="AB1531"/>
    </row>
    <row r="1532" spans="25:28" x14ac:dyDescent="0.25">
      <c r="Y1532"/>
      <c r="AB1532"/>
    </row>
    <row r="1533" spans="25:28" x14ac:dyDescent="0.25">
      <c r="Y1533"/>
      <c r="AB1533"/>
    </row>
    <row r="1534" spans="25:28" x14ac:dyDescent="0.25">
      <c r="Y1534"/>
      <c r="AB1534"/>
    </row>
    <row r="1535" spans="25:28" x14ac:dyDescent="0.25">
      <c r="Y1535"/>
      <c r="AB1535"/>
    </row>
    <row r="1536" spans="25:28" x14ac:dyDescent="0.25">
      <c r="Y1536"/>
      <c r="AB1536"/>
    </row>
    <row r="1537" spans="25:28" x14ac:dyDescent="0.25">
      <c r="Y1537"/>
      <c r="AB1537"/>
    </row>
    <row r="1538" spans="25:28" x14ac:dyDescent="0.25">
      <c r="Y1538"/>
      <c r="AB1538"/>
    </row>
    <row r="1539" spans="25:28" x14ac:dyDescent="0.25">
      <c r="Y1539"/>
      <c r="AB1539"/>
    </row>
    <row r="1540" spans="25:28" x14ac:dyDescent="0.25">
      <c r="Y1540"/>
      <c r="AB1540"/>
    </row>
    <row r="1541" spans="25:28" x14ac:dyDescent="0.25">
      <c r="Y1541"/>
      <c r="AB1541"/>
    </row>
    <row r="1542" spans="25:28" x14ac:dyDescent="0.25">
      <c r="Y1542"/>
      <c r="AB1542"/>
    </row>
    <row r="1543" spans="25:28" x14ac:dyDescent="0.25">
      <c r="Y1543"/>
      <c r="AB1543"/>
    </row>
    <row r="1544" spans="25:28" x14ac:dyDescent="0.25">
      <c r="Y1544"/>
      <c r="AB1544"/>
    </row>
    <row r="1545" spans="25:28" x14ac:dyDescent="0.25">
      <c r="Y1545"/>
      <c r="AB1545"/>
    </row>
    <row r="1546" spans="25:28" x14ac:dyDescent="0.25">
      <c r="Y1546"/>
      <c r="AB1546"/>
    </row>
    <row r="1547" spans="25:28" x14ac:dyDescent="0.25">
      <c r="Y1547"/>
      <c r="AB1547"/>
    </row>
    <row r="1548" spans="25:28" x14ac:dyDescent="0.25">
      <c r="Y1548"/>
      <c r="AB1548"/>
    </row>
    <row r="1549" spans="25:28" x14ac:dyDescent="0.25">
      <c r="Y1549"/>
      <c r="AB1549"/>
    </row>
    <row r="1550" spans="25:28" x14ac:dyDescent="0.25">
      <c r="Y1550"/>
      <c r="AB1550"/>
    </row>
    <row r="1551" spans="25:28" x14ac:dyDescent="0.25">
      <c r="Y1551"/>
      <c r="AB1551"/>
    </row>
    <row r="1552" spans="25:28" x14ac:dyDescent="0.25">
      <c r="Y1552"/>
      <c r="AB1552"/>
    </row>
    <row r="1553" spans="25:28" x14ac:dyDescent="0.25">
      <c r="Y1553"/>
      <c r="AB1553"/>
    </row>
    <row r="1554" spans="25:28" x14ac:dyDescent="0.25">
      <c r="Y1554"/>
      <c r="AB1554"/>
    </row>
    <row r="1555" spans="25:28" x14ac:dyDescent="0.25">
      <c r="Y1555"/>
      <c r="AB1555"/>
    </row>
    <row r="1556" spans="25:28" x14ac:dyDescent="0.25">
      <c r="Y1556"/>
      <c r="AB1556"/>
    </row>
    <row r="1557" spans="25:28" x14ac:dyDescent="0.25">
      <c r="Y1557"/>
      <c r="AB1557"/>
    </row>
    <row r="1558" spans="25:28" x14ac:dyDescent="0.25">
      <c r="Y1558"/>
      <c r="AB1558"/>
    </row>
    <row r="1559" spans="25:28" x14ac:dyDescent="0.25">
      <c r="Y1559"/>
      <c r="AB1559"/>
    </row>
    <row r="1560" spans="25:28" x14ac:dyDescent="0.25">
      <c r="Y1560"/>
      <c r="AB1560"/>
    </row>
    <row r="1561" spans="25:28" x14ac:dyDescent="0.25">
      <c r="Y1561"/>
      <c r="AB1561"/>
    </row>
    <row r="1562" spans="25:28" x14ac:dyDescent="0.25">
      <c r="Y1562"/>
      <c r="AB1562"/>
    </row>
    <row r="1563" spans="25:28" x14ac:dyDescent="0.25">
      <c r="Y1563"/>
      <c r="AB1563"/>
    </row>
    <row r="1564" spans="25:28" x14ac:dyDescent="0.25">
      <c r="Y1564"/>
      <c r="AB1564"/>
    </row>
    <row r="1565" spans="25:28" x14ac:dyDescent="0.25">
      <c r="Y1565"/>
      <c r="AB1565"/>
    </row>
    <row r="1566" spans="25:28" x14ac:dyDescent="0.25">
      <c r="Y1566"/>
      <c r="AB1566"/>
    </row>
    <row r="1567" spans="25:28" x14ac:dyDescent="0.25">
      <c r="Y1567"/>
      <c r="AB1567"/>
    </row>
    <row r="1568" spans="25:28" x14ac:dyDescent="0.25">
      <c r="Y1568"/>
      <c r="AB1568"/>
    </row>
    <row r="1569" spans="25:28" x14ac:dyDescent="0.25">
      <c r="Y1569"/>
      <c r="AB1569"/>
    </row>
    <row r="1570" spans="25:28" x14ac:dyDescent="0.25">
      <c r="Y1570"/>
      <c r="AB1570"/>
    </row>
    <row r="1571" spans="25:28" x14ac:dyDescent="0.25">
      <c r="Y1571"/>
      <c r="AB1571"/>
    </row>
    <row r="1572" spans="25:28" x14ac:dyDescent="0.25">
      <c r="Y1572"/>
      <c r="AB1572"/>
    </row>
    <row r="1573" spans="25:28" x14ac:dyDescent="0.25">
      <c r="Y1573"/>
      <c r="AB1573"/>
    </row>
    <row r="1574" spans="25:28" x14ac:dyDescent="0.25">
      <c r="Y1574"/>
      <c r="AB1574"/>
    </row>
    <row r="1575" spans="25:28" x14ac:dyDescent="0.25">
      <c r="Y1575"/>
      <c r="AB1575"/>
    </row>
    <row r="1576" spans="25:28" x14ac:dyDescent="0.25">
      <c r="Y1576"/>
      <c r="AB1576"/>
    </row>
    <row r="1577" spans="25:28" x14ac:dyDescent="0.25">
      <c r="Y1577"/>
      <c r="AB1577"/>
    </row>
    <row r="1578" spans="25:28" x14ac:dyDescent="0.25">
      <c r="Y1578"/>
      <c r="AB1578"/>
    </row>
    <row r="1579" spans="25:28" x14ac:dyDescent="0.25">
      <c r="Y1579"/>
      <c r="AB1579"/>
    </row>
    <row r="1580" spans="25:28" x14ac:dyDescent="0.25">
      <c r="Y1580"/>
      <c r="AB1580"/>
    </row>
    <row r="1581" spans="25:28" x14ac:dyDescent="0.25">
      <c r="Y1581"/>
      <c r="AB1581"/>
    </row>
    <row r="1582" spans="25:28" x14ac:dyDescent="0.25">
      <c r="Y1582"/>
      <c r="AB1582"/>
    </row>
    <row r="1583" spans="25:28" x14ac:dyDescent="0.25">
      <c r="Y1583"/>
      <c r="AB1583"/>
    </row>
    <row r="1584" spans="25:28" x14ac:dyDescent="0.25">
      <c r="Y1584"/>
      <c r="AB1584"/>
    </row>
    <row r="1585" spans="25:28" x14ac:dyDescent="0.25">
      <c r="Y1585"/>
      <c r="AB1585"/>
    </row>
    <row r="1586" spans="25:28" x14ac:dyDescent="0.25">
      <c r="Y1586"/>
      <c r="AB1586"/>
    </row>
    <row r="1587" spans="25:28" x14ac:dyDescent="0.25">
      <c r="Y1587"/>
      <c r="AB1587"/>
    </row>
    <row r="1588" spans="25:28" x14ac:dyDescent="0.25">
      <c r="Y1588"/>
      <c r="AB1588"/>
    </row>
    <row r="1589" spans="25:28" x14ac:dyDescent="0.25">
      <c r="Y1589"/>
      <c r="AB1589"/>
    </row>
    <row r="1590" spans="25:28" x14ac:dyDescent="0.25">
      <c r="Y1590"/>
      <c r="AB1590"/>
    </row>
    <row r="1591" spans="25:28" x14ac:dyDescent="0.25">
      <c r="Y1591"/>
      <c r="AB1591"/>
    </row>
    <row r="1592" spans="25:28" x14ac:dyDescent="0.25">
      <c r="Y1592"/>
      <c r="AB1592"/>
    </row>
    <row r="1593" spans="25:28" x14ac:dyDescent="0.25">
      <c r="Y1593"/>
      <c r="AB1593"/>
    </row>
    <row r="1594" spans="25:28" x14ac:dyDescent="0.25">
      <c r="Y1594"/>
      <c r="AB1594"/>
    </row>
    <row r="1595" spans="25:28" x14ac:dyDescent="0.25">
      <c r="Y1595"/>
      <c r="AB1595"/>
    </row>
    <row r="1596" spans="25:28" x14ac:dyDescent="0.25">
      <c r="Y1596"/>
      <c r="AB1596"/>
    </row>
    <row r="1597" spans="25:28" x14ac:dyDescent="0.25">
      <c r="Y1597"/>
      <c r="AB1597"/>
    </row>
    <row r="1598" spans="25:28" x14ac:dyDescent="0.25">
      <c r="Y1598"/>
      <c r="AB1598"/>
    </row>
    <row r="1599" spans="25:28" x14ac:dyDescent="0.25">
      <c r="Y1599"/>
      <c r="AB1599"/>
    </row>
    <row r="1600" spans="25:28" x14ac:dyDescent="0.25">
      <c r="Y1600"/>
      <c r="AB1600"/>
    </row>
    <row r="1601" spans="25:28" x14ac:dyDescent="0.25">
      <c r="Y1601"/>
      <c r="AB1601"/>
    </row>
    <row r="1602" spans="25:28" x14ac:dyDescent="0.25">
      <c r="Y1602"/>
      <c r="AB1602"/>
    </row>
    <row r="1603" spans="25:28" x14ac:dyDescent="0.25">
      <c r="Y1603"/>
      <c r="AB1603"/>
    </row>
    <row r="1604" spans="25:28" x14ac:dyDescent="0.25">
      <c r="Y1604"/>
      <c r="AB1604"/>
    </row>
    <row r="1605" spans="25:28" x14ac:dyDescent="0.25">
      <c r="Y1605"/>
      <c r="AB1605"/>
    </row>
    <row r="1606" spans="25:28" x14ac:dyDescent="0.25">
      <c r="Y1606"/>
      <c r="AB1606"/>
    </row>
    <row r="1607" spans="25:28" x14ac:dyDescent="0.25">
      <c r="Y1607"/>
      <c r="AB1607"/>
    </row>
    <row r="1608" spans="25:28" x14ac:dyDescent="0.25">
      <c r="Y1608"/>
      <c r="AB1608"/>
    </row>
    <row r="1609" spans="25:28" x14ac:dyDescent="0.25">
      <c r="Y1609"/>
      <c r="AB1609"/>
    </row>
    <row r="1610" spans="25:28" x14ac:dyDescent="0.25">
      <c r="Y1610"/>
      <c r="AB1610"/>
    </row>
    <row r="1611" spans="25:28" x14ac:dyDescent="0.25">
      <c r="Y1611"/>
      <c r="AB1611"/>
    </row>
    <row r="1612" spans="25:28" x14ac:dyDescent="0.25">
      <c r="Y1612"/>
      <c r="AB1612"/>
    </row>
    <row r="1613" spans="25:28" x14ac:dyDescent="0.25">
      <c r="Y1613"/>
      <c r="AB1613"/>
    </row>
    <row r="1614" spans="25:28" x14ac:dyDescent="0.25">
      <c r="Y1614"/>
      <c r="AB1614"/>
    </row>
    <row r="1615" spans="25:28" x14ac:dyDescent="0.25">
      <c r="Y1615"/>
      <c r="AB1615"/>
    </row>
    <row r="1616" spans="25:28" x14ac:dyDescent="0.25">
      <c r="Y1616"/>
      <c r="AB1616"/>
    </row>
    <row r="1617" spans="25:28" x14ac:dyDescent="0.25">
      <c r="Y1617"/>
      <c r="AB1617"/>
    </row>
    <row r="1618" spans="25:28" x14ac:dyDescent="0.25">
      <c r="Y1618"/>
      <c r="AB1618"/>
    </row>
    <row r="1619" spans="25:28" x14ac:dyDescent="0.25">
      <c r="Y1619"/>
      <c r="AB1619"/>
    </row>
    <row r="1620" spans="25:28" x14ac:dyDescent="0.25">
      <c r="Y1620"/>
      <c r="AB1620"/>
    </row>
    <row r="1621" spans="25:28" x14ac:dyDescent="0.25">
      <c r="Y1621"/>
      <c r="AB1621"/>
    </row>
    <row r="1622" spans="25:28" x14ac:dyDescent="0.25">
      <c r="Y1622"/>
      <c r="AB1622"/>
    </row>
    <row r="1623" spans="25:28" x14ac:dyDescent="0.25">
      <c r="Y1623"/>
      <c r="AB1623"/>
    </row>
    <row r="1624" spans="25:28" x14ac:dyDescent="0.25">
      <c r="Y1624"/>
      <c r="AB1624"/>
    </row>
    <row r="1625" spans="25:28" x14ac:dyDescent="0.25">
      <c r="Y1625"/>
      <c r="AB1625"/>
    </row>
    <row r="1626" spans="25:28" x14ac:dyDescent="0.25">
      <c r="Y1626"/>
      <c r="AB1626"/>
    </row>
    <row r="1627" spans="25:28" x14ac:dyDescent="0.25">
      <c r="Y1627"/>
      <c r="AB1627"/>
    </row>
    <row r="1628" spans="25:28" x14ac:dyDescent="0.25">
      <c r="Y1628"/>
      <c r="AB1628"/>
    </row>
    <row r="1629" spans="25:28" x14ac:dyDescent="0.25">
      <c r="Y1629"/>
      <c r="AB1629"/>
    </row>
    <row r="1630" spans="25:28" x14ac:dyDescent="0.25">
      <c r="Y1630"/>
      <c r="AB1630"/>
    </row>
    <row r="1631" spans="25:28" x14ac:dyDescent="0.25">
      <c r="Y1631"/>
      <c r="AB1631"/>
    </row>
    <row r="1632" spans="25:28" x14ac:dyDescent="0.25">
      <c r="Y1632"/>
      <c r="AB1632"/>
    </row>
    <row r="1633" spans="25:28" x14ac:dyDescent="0.25">
      <c r="Y1633"/>
      <c r="AB1633"/>
    </row>
    <row r="1634" spans="25:28" x14ac:dyDescent="0.25">
      <c r="Y1634"/>
      <c r="AB1634"/>
    </row>
    <row r="1635" spans="25:28" x14ac:dyDescent="0.25">
      <c r="Y1635"/>
      <c r="AB1635"/>
    </row>
    <row r="1636" spans="25:28" x14ac:dyDescent="0.25">
      <c r="Y1636"/>
      <c r="AB1636"/>
    </row>
    <row r="1637" spans="25:28" x14ac:dyDescent="0.25">
      <c r="Y1637"/>
      <c r="AB1637"/>
    </row>
    <row r="1638" spans="25:28" x14ac:dyDescent="0.25">
      <c r="Y1638"/>
      <c r="AB1638"/>
    </row>
    <row r="1639" spans="25:28" x14ac:dyDescent="0.25">
      <c r="Y1639"/>
      <c r="AB1639"/>
    </row>
    <row r="1640" spans="25:28" x14ac:dyDescent="0.25">
      <c r="Y1640"/>
      <c r="AB1640"/>
    </row>
    <row r="1641" spans="25:28" x14ac:dyDescent="0.25">
      <c r="Y1641"/>
      <c r="AB1641"/>
    </row>
    <row r="1642" spans="25:28" x14ac:dyDescent="0.25">
      <c r="Y1642"/>
      <c r="AB1642"/>
    </row>
    <row r="1643" spans="25:28" x14ac:dyDescent="0.25">
      <c r="Y1643"/>
      <c r="AB1643"/>
    </row>
    <row r="1644" spans="25:28" x14ac:dyDescent="0.25">
      <c r="Y1644"/>
      <c r="AB1644"/>
    </row>
    <row r="1645" spans="25:28" x14ac:dyDescent="0.25">
      <c r="Y1645"/>
      <c r="AB1645"/>
    </row>
    <row r="1646" spans="25:28" x14ac:dyDescent="0.25">
      <c r="Y1646"/>
      <c r="AB1646"/>
    </row>
    <row r="1647" spans="25:28" x14ac:dyDescent="0.25">
      <c r="Y1647"/>
      <c r="AB1647"/>
    </row>
    <row r="1648" spans="25:28" x14ac:dyDescent="0.25">
      <c r="Y1648"/>
      <c r="AB1648"/>
    </row>
    <row r="1649" spans="25:28" x14ac:dyDescent="0.25">
      <c r="Y1649"/>
      <c r="AB1649"/>
    </row>
    <row r="1650" spans="25:28" x14ac:dyDescent="0.25">
      <c r="Y1650"/>
      <c r="AB1650"/>
    </row>
    <row r="1651" spans="25:28" x14ac:dyDescent="0.25">
      <c r="Y1651"/>
      <c r="AB1651"/>
    </row>
    <row r="1652" spans="25:28" x14ac:dyDescent="0.25">
      <c r="Y1652"/>
      <c r="AB1652"/>
    </row>
    <row r="1653" spans="25:28" x14ac:dyDescent="0.25">
      <c r="Y1653"/>
      <c r="AB1653"/>
    </row>
    <row r="1654" spans="25:28" x14ac:dyDescent="0.25">
      <c r="Y1654"/>
      <c r="AB1654"/>
    </row>
    <row r="1655" spans="25:28" x14ac:dyDescent="0.25">
      <c r="Y1655"/>
      <c r="AB1655"/>
    </row>
    <row r="1656" spans="25:28" x14ac:dyDescent="0.25">
      <c r="Y1656"/>
      <c r="AB1656"/>
    </row>
    <row r="1657" spans="25:28" x14ac:dyDescent="0.25">
      <c r="Y1657"/>
      <c r="AB1657"/>
    </row>
    <row r="1658" spans="25:28" x14ac:dyDescent="0.25">
      <c r="Y1658"/>
      <c r="AB1658"/>
    </row>
    <row r="1659" spans="25:28" x14ac:dyDescent="0.25">
      <c r="Y1659"/>
      <c r="AB1659"/>
    </row>
    <row r="1660" spans="25:28" x14ac:dyDescent="0.25">
      <c r="Y1660"/>
      <c r="AB1660"/>
    </row>
    <row r="1661" spans="25:28" x14ac:dyDescent="0.25">
      <c r="Y1661"/>
      <c r="AB1661"/>
    </row>
    <row r="1662" spans="25:28" x14ac:dyDescent="0.25">
      <c r="Y1662"/>
      <c r="AB1662"/>
    </row>
    <row r="1663" spans="25:28" x14ac:dyDescent="0.25">
      <c r="Y1663"/>
      <c r="AB1663"/>
    </row>
    <row r="1664" spans="25:28" x14ac:dyDescent="0.25">
      <c r="Y1664"/>
      <c r="AB1664"/>
    </row>
    <row r="1665" spans="25:28" x14ac:dyDescent="0.25">
      <c r="Y1665"/>
      <c r="AB1665"/>
    </row>
    <row r="1666" spans="25:28" x14ac:dyDescent="0.25">
      <c r="Y1666"/>
      <c r="AB1666"/>
    </row>
    <row r="1667" spans="25:28" x14ac:dyDescent="0.25">
      <c r="Y1667"/>
      <c r="AB1667"/>
    </row>
    <row r="1668" spans="25:28" x14ac:dyDescent="0.25">
      <c r="Y1668"/>
      <c r="AB1668"/>
    </row>
    <row r="1669" spans="25:28" x14ac:dyDescent="0.25">
      <c r="Y1669"/>
      <c r="AB1669"/>
    </row>
    <row r="1670" spans="25:28" x14ac:dyDescent="0.25">
      <c r="Y1670"/>
      <c r="AB1670"/>
    </row>
    <row r="1671" spans="25:28" x14ac:dyDescent="0.25">
      <c r="Y1671"/>
      <c r="AB1671"/>
    </row>
    <row r="1672" spans="25:28" x14ac:dyDescent="0.25">
      <c r="Y1672"/>
      <c r="AB1672"/>
    </row>
    <row r="1673" spans="25:28" x14ac:dyDescent="0.25">
      <c r="Y1673"/>
      <c r="AB1673"/>
    </row>
    <row r="1674" spans="25:28" x14ac:dyDescent="0.25">
      <c r="Y1674"/>
      <c r="AB1674"/>
    </row>
    <row r="1675" spans="25:28" x14ac:dyDescent="0.25">
      <c r="Y1675"/>
      <c r="AB1675"/>
    </row>
    <row r="1676" spans="25:28" x14ac:dyDescent="0.25">
      <c r="Y1676"/>
      <c r="AB1676"/>
    </row>
    <row r="1677" spans="25:28" x14ac:dyDescent="0.25">
      <c r="Y1677"/>
      <c r="AB1677"/>
    </row>
    <row r="1678" spans="25:28" x14ac:dyDescent="0.25">
      <c r="Y1678"/>
      <c r="AB1678"/>
    </row>
    <row r="1679" spans="25:28" x14ac:dyDescent="0.25">
      <c r="Y1679"/>
      <c r="AB1679"/>
    </row>
    <row r="1680" spans="25:28" x14ac:dyDescent="0.25">
      <c r="Y1680"/>
      <c r="AB1680"/>
    </row>
    <row r="1681" spans="25:28" x14ac:dyDescent="0.25">
      <c r="Y1681"/>
      <c r="AB1681"/>
    </row>
    <row r="1682" spans="25:28" x14ac:dyDescent="0.25">
      <c r="Y1682"/>
      <c r="AB1682"/>
    </row>
    <row r="1683" spans="25:28" x14ac:dyDescent="0.25">
      <c r="Y1683"/>
      <c r="AB1683"/>
    </row>
    <row r="1684" spans="25:28" x14ac:dyDescent="0.25">
      <c r="Y1684"/>
      <c r="AB1684"/>
    </row>
    <row r="1685" spans="25:28" x14ac:dyDescent="0.25">
      <c r="Y1685"/>
      <c r="AB1685"/>
    </row>
    <row r="1686" spans="25:28" x14ac:dyDescent="0.25">
      <c r="Y1686"/>
      <c r="AB1686"/>
    </row>
    <row r="1687" spans="25:28" x14ac:dyDescent="0.25">
      <c r="Y1687"/>
      <c r="AB1687"/>
    </row>
    <row r="1688" spans="25:28" x14ac:dyDescent="0.25">
      <c r="Y1688"/>
      <c r="AB1688"/>
    </row>
    <row r="1689" spans="25:28" x14ac:dyDescent="0.25">
      <c r="Y1689"/>
      <c r="AB1689"/>
    </row>
    <row r="1690" spans="25:28" x14ac:dyDescent="0.25">
      <c r="Y1690"/>
      <c r="AB1690"/>
    </row>
    <row r="1691" spans="25:28" x14ac:dyDescent="0.25">
      <c r="Y1691"/>
      <c r="AB1691"/>
    </row>
    <row r="1692" spans="25:28" x14ac:dyDescent="0.25">
      <c r="Y1692"/>
      <c r="AB1692"/>
    </row>
    <row r="1693" spans="25:28" x14ac:dyDescent="0.25">
      <c r="Y1693"/>
      <c r="AB1693"/>
    </row>
    <row r="1694" spans="25:28" x14ac:dyDescent="0.25">
      <c r="Y1694"/>
      <c r="AB1694"/>
    </row>
    <row r="1695" spans="25:28" x14ac:dyDescent="0.25">
      <c r="Y1695"/>
      <c r="AB1695"/>
    </row>
    <row r="1696" spans="25:28" x14ac:dyDescent="0.25">
      <c r="Y1696"/>
      <c r="AB1696"/>
    </row>
    <row r="1697" spans="25:28" x14ac:dyDescent="0.25">
      <c r="Y1697"/>
      <c r="AB1697"/>
    </row>
    <row r="1698" spans="25:28" x14ac:dyDescent="0.25">
      <c r="Y1698"/>
      <c r="AB1698"/>
    </row>
    <row r="1699" spans="25:28" x14ac:dyDescent="0.25">
      <c r="Y1699"/>
      <c r="AB1699"/>
    </row>
    <row r="1700" spans="25:28" x14ac:dyDescent="0.25">
      <c r="Y1700"/>
      <c r="AB1700"/>
    </row>
    <row r="1701" spans="25:28" x14ac:dyDescent="0.25">
      <c r="Y1701"/>
      <c r="AB1701"/>
    </row>
    <row r="1702" spans="25:28" x14ac:dyDescent="0.25">
      <c r="Y1702"/>
      <c r="AB1702"/>
    </row>
    <row r="1703" spans="25:28" x14ac:dyDescent="0.25">
      <c r="Y1703"/>
      <c r="AB1703"/>
    </row>
    <row r="1704" spans="25:28" x14ac:dyDescent="0.25">
      <c r="Y1704"/>
      <c r="AB1704"/>
    </row>
    <row r="1705" spans="25:28" x14ac:dyDescent="0.25">
      <c r="Y1705"/>
      <c r="AB1705"/>
    </row>
    <row r="1706" spans="25:28" x14ac:dyDescent="0.25">
      <c r="Y1706"/>
      <c r="AB1706"/>
    </row>
    <row r="1707" spans="25:28" x14ac:dyDescent="0.25">
      <c r="Y1707"/>
      <c r="AB1707"/>
    </row>
    <row r="1708" spans="25:28" x14ac:dyDescent="0.25">
      <c r="Y1708"/>
      <c r="AB1708"/>
    </row>
    <row r="1709" spans="25:28" x14ac:dyDescent="0.25">
      <c r="Y1709"/>
      <c r="AB1709"/>
    </row>
    <row r="1710" spans="25:28" x14ac:dyDescent="0.25">
      <c r="Y1710"/>
      <c r="AB1710"/>
    </row>
    <row r="1711" spans="25:28" x14ac:dyDescent="0.25">
      <c r="Y1711"/>
      <c r="AB1711"/>
    </row>
    <row r="1712" spans="25:28" x14ac:dyDescent="0.25">
      <c r="Y1712"/>
      <c r="AB1712"/>
    </row>
    <row r="1713" spans="25:28" x14ac:dyDescent="0.25">
      <c r="Y1713"/>
      <c r="AB1713"/>
    </row>
    <row r="1714" spans="25:28" x14ac:dyDescent="0.25">
      <c r="Y1714"/>
      <c r="AB1714"/>
    </row>
    <row r="1715" spans="25:28" x14ac:dyDescent="0.25">
      <c r="Y1715"/>
      <c r="AB1715"/>
    </row>
    <row r="1716" spans="25:28" x14ac:dyDescent="0.25">
      <c r="Y1716"/>
      <c r="AB1716"/>
    </row>
    <row r="1717" spans="25:28" x14ac:dyDescent="0.25">
      <c r="Y1717"/>
      <c r="AB1717"/>
    </row>
    <row r="1718" spans="25:28" x14ac:dyDescent="0.25">
      <c r="Y1718"/>
      <c r="AB1718"/>
    </row>
    <row r="1719" spans="25:28" x14ac:dyDescent="0.25">
      <c r="Y1719"/>
      <c r="AB1719"/>
    </row>
    <row r="1720" spans="25:28" x14ac:dyDescent="0.25">
      <c r="Y1720"/>
      <c r="AB1720"/>
    </row>
    <row r="1721" spans="25:28" x14ac:dyDescent="0.25">
      <c r="Y1721"/>
      <c r="AB1721"/>
    </row>
    <row r="1722" spans="25:28" x14ac:dyDescent="0.25">
      <c r="Y1722"/>
      <c r="AB1722"/>
    </row>
    <row r="1723" spans="25:28" x14ac:dyDescent="0.25">
      <c r="Y1723"/>
      <c r="AB1723"/>
    </row>
    <row r="1724" spans="25:28" x14ac:dyDescent="0.25">
      <c r="Y1724"/>
      <c r="AB1724"/>
    </row>
    <row r="1725" spans="25:28" x14ac:dyDescent="0.25">
      <c r="Y1725"/>
      <c r="AB1725"/>
    </row>
    <row r="1726" spans="25:28" x14ac:dyDescent="0.25">
      <c r="Y1726"/>
      <c r="AB1726"/>
    </row>
    <row r="1727" spans="25:28" x14ac:dyDescent="0.25">
      <c r="Y1727"/>
      <c r="AB1727"/>
    </row>
    <row r="1728" spans="25:28" x14ac:dyDescent="0.25">
      <c r="Y1728"/>
      <c r="AB1728"/>
    </row>
    <row r="1729" spans="25:28" x14ac:dyDescent="0.25">
      <c r="Y1729"/>
      <c r="AB1729"/>
    </row>
    <row r="1730" spans="25:28" x14ac:dyDescent="0.25">
      <c r="Y1730"/>
      <c r="AB1730"/>
    </row>
    <row r="1731" spans="25:28" x14ac:dyDescent="0.25">
      <c r="Y1731"/>
      <c r="AB1731"/>
    </row>
    <row r="1732" spans="25:28" x14ac:dyDescent="0.25">
      <c r="Y1732"/>
      <c r="AB1732"/>
    </row>
    <row r="1733" spans="25:28" x14ac:dyDescent="0.25">
      <c r="Y1733"/>
      <c r="AB1733"/>
    </row>
    <row r="1734" spans="25:28" x14ac:dyDescent="0.25">
      <c r="Y1734"/>
      <c r="AB1734"/>
    </row>
    <row r="1735" spans="25:28" x14ac:dyDescent="0.25">
      <c r="Y1735"/>
      <c r="AB1735"/>
    </row>
    <row r="1736" spans="25:28" x14ac:dyDescent="0.25">
      <c r="Y1736"/>
      <c r="AB1736"/>
    </row>
    <row r="1737" spans="25:28" x14ac:dyDescent="0.25">
      <c r="Y1737"/>
      <c r="AB1737"/>
    </row>
    <row r="1738" spans="25:28" x14ac:dyDescent="0.25">
      <c r="Y1738"/>
      <c r="AB1738"/>
    </row>
    <row r="1739" spans="25:28" x14ac:dyDescent="0.25">
      <c r="Y1739"/>
      <c r="AB1739"/>
    </row>
    <row r="1740" spans="25:28" x14ac:dyDescent="0.25">
      <c r="Y1740"/>
      <c r="AB1740"/>
    </row>
    <row r="1741" spans="25:28" x14ac:dyDescent="0.25">
      <c r="Y1741"/>
      <c r="AB1741"/>
    </row>
    <row r="1742" spans="25:28" x14ac:dyDescent="0.25">
      <c r="Y1742"/>
      <c r="AB1742"/>
    </row>
    <row r="1743" spans="25:28" x14ac:dyDescent="0.25">
      <c r="Y1743"/>
      <c r="AB1743"/>
    </row>
    <row r="1744" spans="25:28" x14ac:dyDescent="0.25">
      <c r="Y1744"/>
      <c r="AB1744"/>
    </row>
    <row r="1745" spans="25:28" x14ac:dyDescent="0.25">
      <c r="Y1745"/>
      <c r="AB1745"/>
    </row>
    <row r="1746" spans="25:28" x14ac:dyDescent="0.25">
      <c r="Y1746"/>
      <c r="AB1746"/>
    </row>
    <row r="1747" spans="25:28" x14ac:dyDescent="0.25">
      <c r="Y1747"/>
      <c r="AB1747"/>
    </row>
    <row r="1748" spans="25:28" x14ac:dyDescent="0.25">
      <c r="Y1748"/>
      <c r="AB1748"/>
    </row>
    <row r="1749" spans="25:28" x14ac:dyDescent="0.25">
      <c r="Y1749"/>
      <c r="AB1749"/>
    </row>
    <row r="1750" spans="25:28" x14ac:dyDescent="0.25">
      <c r="Y1750"/>
      <c r="AB1750"/>
    </row>
    <row r="1751" spans="25:28" x14ac:dyDescent="0.25">
      <c r="Y1751"/>
      <c r="AB1751"/>
    </row>
    <row r="1752" spans="25:28" x14ac:dyDescent="0.25">
      <c r="Y1752"/>
      <c r="AB1752"/>
    </row>
    <row r="1753" spans="25:28" x14ac:dyDescent="0.25">
      <c r="Y1753"/>
      <c r="AB1753"/>
    </row>
    <row r="1754" spans="25:28" x14ac:dyDescent="0.25">
      <c r="Y1754"/>
      <c r="AB1754"/>
    </row>
    <row r="1755" spans="25:28" x14ac:dyDescent="0.25">
      <c r="Y1755"/>
      <c r="AB1755"/>
    </row>
    <row r="1756" spans="25:28" x14ac:dyDescent="0.25">
      <c r="Y1756"/>
      <c r="AB1756"/>
    </row>
    <row r="1757" spans="25:28" x14ac:dyDescent="0.25">
      <c r="Y1757"/>
      <c r="AB1757"/>
    </row>
    <row r="1758" spans="25:28" x14ac:dyDescent="0.25">
      <c r="Y1758"/>
      <c r="AB1758"/>
    </row>
    <row r="1759" spans="25:28" x14ac:dyDescent="0.25">
      <c r="Y1759"/>
      <c r="AB1759"/>
    </row>
    <row r="1760" spans="25:28" x14ac:dyDescent="0.25">
      <c r="Y1760"/>
      <c r="AB1760"/>
    </row>
    <row r="1761" spans="25:28" x14ac:dyDescent="0.25">
      <c r="Y1761"/>
      <c r="AB1761"/>
    </row>
    <row r="1762" spans="25:28" x14ac:dyDescent="0.25">
      <c r="Y1762"/>
      <c r="AB1762"/>
    </row>
    <row r="1763" spans="25:28" x14ac:dyDescent="0.25">
      <c r="Y1763"/>
      <c r="AB1763"/>
    </row>
    <row r="1764" spans="25:28" x14ac:dyDescent="0.25">
      <c r="Y1764"/>
      <c r="AB1764"/>
    </row>
    <row r="1765" spans="25:28" x14ac:dyDescent="0.25">
      <c r="Y1765"/>
      <c r="AB1765"/>
    </row>
    <row r="1766" spans="25:28" x14ac:dyDescent="0.25">
      <c r="Y1766"/>
      <c r="AB1766"/>
    </row>
    <row r="1767" spans="25:28" x14ac:dyDescent="0.25">
      <c r="Y1767"/>
      <c r="AB1767"/>
    </row>
    <row r="1768" spans="25:28" x14ac:dyDescent="0.25">
      <c r="Y1768"/>
      <c r="AB1768"/>
    </row>
    <row r="1769" spans="25:28" x14ac:dyDescent="0.25">
      <c r="Y1769"/>
      <c r="AB1769"/>
    </row>
    <row r="1770" spans="25:28" x14ac:dyDescent="0.25">
      <c r="Y1770"/>
      <c r="AB1770"/>
    </row>
    <row r="1771" spans="25:28" x14ac:dyDescent="0.25">
      <c r="Y1771"/>
      <c r="AB1771"/>
    </row>
    <row r="1772" spans="25:28" x14ac:dyDescent="0.25">
      <c r="Y1772"/>
      <c r="AB1772"/>
    </row>
    <row r="1773" spans="25:28" x14ac:dyDescent="0.25">
      <c r="Y1773"/>
      <c r="AB1773"/>
    </row>
    <row r="1774" spans="25:28" x14ac:dyDescent="0.25">
      <c r="Y1774"/>
      <c r="AB1774"/>
    </row>
    <row r="1775" spans="25:28" x14ac:dyDescent="0.25">
      <c r="Y1775"/>
      <c r="AB1775"/>
    </row>
    <row r="1776" spans="25:28" x14ac:dyDescent="0.25">
      <c r="Y1776"/>
      <c r="AB1776"/>
    </row>
    <row r="1777" spans="25:28" x14ac:dyDescent="0.25">
      <c r="Y1777"/>
      <c r="AB1777"/>
    </row>
    <row r="1778" spans="25:28" x14ac:dyDescent="0.25">
      <c r="Y1778"/>
      <c r="AB1778"/>
    </row>
    <row r="1779" spans="25:28" x14ac:dyDescent="0.25">
      <c r="Y1779"/>
      <c r="AB1779"/>
    </row>
    <row r="1780" spans="25:28" x14ac:dyDescent="0.25">
      <c r="Y1780"/>
      <c r="AB1780"/>
    </row>
    <row r="1781" spans="25:28" x14ac:dyDescent="0.25">
      <c r="Y1781"/>
      <c r="AB1781"/>
    </row>
    <row r="1782" spans="25:28" x14ac:dyDescent="0.25">
      <c r="Y1782"/>
      <c r="AB1782"/>
    </row>
    <row r="1783" spans="25:28" x14ac:dyDescent="0.25">
      <c r="Y1783"/>
      <c r="AB1783"/>
    </row>
    <row r="1784" spans="25:28" x14ac:dyDescent="0.25">
      <c r="Y1784"/>
      <c r="AB1784"/>
    </row>
    <row r="1785" spans="25:28" x14ac:dyDescent="0.25">
      <c r="Y1785"/>
      <c r="AB1785"/>
    </row>
    <row r="1786" spans="25:28" x14ac:dyDescent="0.25">
      <c r="Y1786"/>
      <c r="AB1786"/>
    </row>
    <row r="1787" spans="25:28" x14ac:dyDescent="0.25">
      <c r="Y1787"/>
      <c r="AB1787"/>
    </row>
    <row r="1788" spans="25:28" x14ac:dyDescent="0.25">
      <c r="Y1788"/>
      <c r="AB1788"/>
    </row>
    <row r="1789" spans="25:28" x14ac:dyDescent="0.25">
      <c r="Y1789"/>
      <c r="AB1789"/>
    </row>
    <row r="1790" spans="25:28" x14ac:dyDescent="0.25">
      <c r="Y1790"/>
      <c r="AB1790"/>
    </row>
    <row r="1791" spans="25:28" x14ac:dyDescent="0.25">
      <c r="Y1791"/>
      <c r="AB1791"/>
    </row>
    <row r="1792" spans="25:28" x14ac:dyDescent="0.25">
      <c r="Y1792"/>
      <c r="AB1792"/>
    </row>
    <row r="1793" spans="25:28" x14ac:dyDescent="0.25">
      <c r="Y1793"/>
      <c r="AB1793"/>
    </row>
    <row r="1794" spans="25:28" x14ac:dyDescent="0.25">
      <c r="Y1794"/>
      <c r="AB1794"/>
    </row>
    <row r="1795" spans="25:28" x14ac:dyDescent="0.25">
      <c r="Y1795"/>
      <c r="AB1795"/>
    </row>
    <row r="1796" spans="25:28" x14ac:dyDescent="0.25">
      <c r="Y1796"/>
      <c r="AB1796"/>
    </row>
    <row r="1797" spans="25:28" x14ac:dyDescent="0.25">
      <c r="Y1797"/>
      <c r="AB1797"/>
    </row>
    <row r="1798" spans="25:28" x14ac:dyDescent="0.25">
      <c r="Y1798"/>
      <c r="AB1798"/>
    </row>
    <row r="1799" spans="25:28" x14ac:dyDescent="0.25">
      <c r="Y1799"/>
      <c r="AB1799"/>
    </row>
    <row r="1800" spans="25:28" x14ac:dyDescent="0.25">
      <c r="Y1800"/>
      <c r="AB1800"/>
    </row>
    <row r="1801" spans="25:28" x14ac:dyDescent="0.25">
      <c r="Y1801"/>
      <c r="AB1801"/>
    </row>
    <row r="1802" spans="25:28" x14ac:dyDescent="0.25">
      <c r="Y1802"/>
      <c r="AB1802"/>
    </row>
    <row r="1803" spans="25:28" x14ac:dyDescent="0.25">
      <c r="Y1803"/>
      <c r="AB1803"/>
    </row>
    <row r="1804" spans="25:28" x14ac:dyDescent="0.25">
      <c r="Y1804"/>
      <c r="AB1804"/>
    </row>
    <row r="1805" spans="25:28" x14ac:dyDescent="0.25">
      <c r="Y1805"/>
      <c r="AB1805"/>
    </row>
    <row r="1806" spans="25:28" x14ac:dyDescent="0.25">
      <c r="Y1806"/>
      <c r="AB1806"/>
    </row>
    <row r="1807" spans="25:28" x14ac:dyDescent="0.25">
      <c r="Y1807"/>
      <c r="AB1807"/>
    </row>
    <row r="1808" spans="25:28" x14ac:dyDescent="0.25">
      <c r="Y1808"/>
      <c r="AB1808"/>
    </row>
    <row r="1809" spans="25:28" x14ac:dyDescent="0.25">
      <c r="Y1809"/>
      <c r="AB1809"/>
    </row>
    <row r="1810" spans="25:28" x14ac:dyDescent="0.25">
      <c r="Y1810"/>
      <c r="AB1810"/>
    </row>
    <row r="1811" spans="25:28" x14ac:dyDescent="0.25">
      <c r="Y1811"/>
      <c r="AB1811"/>
    </row>
    <row r="1812" spans="25:28" x14ac:dyDescent="0.25">
      <c r="Y1812"/>
      <c r="AB1812"/>
    </row>
    <row r="1813" spans="25:28" x14ac:dyDescent="0.25">
      <c r="Y1813"/>
      <c r="AB1813"/>
    </row>
    <row r="1814" spans="25:28" x14ac:dyDescent="0.25">
      <c r="Y1814"/>
      <c r="AB1814"/>
    </row>
    <row r="1815" spans="25:28" x14ac:dyDescent="0.25">
      <c r="Y1815"/>
      <c r="AB1815"/>
    </row>
    <row r="1816" spans="25:28" x14ac:dyDescent="0.25">
      <c r="Y1816"/>
      <c r="AB1816"/>
    </row>
    <row r="1817" spans="25:28" x14ac:dyDescent="0.25">
      <c r="Y1817"/>
      <c r="AB1817"/>
    </row>
    <row r="1818" spans="25:28" x14ac:dyDescent="0.25">
      <c r="Y1818"/>
      <c r="AB1818"/>
    </row>
    <row r="1819" spans="25:28" x14ac:dyDescent="0.25">
      <c r="Y1819"/>
      <c r="AB1819"/>
    </row>
    <row r="1820" spans="25:28" x14ac:dyDescent="0.25">
      <c r="Y1820"/>
      <c r="AB1820"/>
    </row>
    <row r="1821" spans="25:28" x14ac:dyDescent="0.25">
      <c r="Y1821"/>
      <c r="AB1821"/>
    </row>
    <row r="1822" spans="25:28" x14ac:dyDescent="0.25">
      <c r="Y1822"/>
      <c r="AB1822"/>
    </row>
    <row r="1823" spans="25:28" x14ac:dyDescent="0.25">
      <c r="Y1823"/>
      <c r="AB1823"/>
    </row>
    <row r="1824" spans="25:28" x14ac:dyDescent="0.25">
      <c r="Y1824"/>
      <c r="AB1824"/>
    </row>
    <row r="1825" spans="25:28" x14ac:dyDescent="0.25">
      <c r="Y1825"/>
      <c r="AB1825"/>
    </row>
    <row r="1826" spans="25:28" x14ac:dyDescent="0.25">
      <c r="Y1826"/>
      <c r="AB1826"/>
    </row>
    <row r="1827" spans="25:28" x14ac:dyDescent="0.25">
      <c r="Y1827"/>
      <c r="AB1827"/>
    </row>
    <row r="1828" spans="25:28" x14ac:dyDescent="0.25">
      <c r="Y1828"/>
      <c r="AB1828"/>
    </row>
    <row r="1829" spans="25:28" x14ac:dyDescent="0.25">
      <c r="Y1829"/>
      <c r="AB1829"/>
    </row>
    <row r="1830" spans="25:28" x14ac:dyDescent="0.25">
      <c r="Y1830"/>
      <c r="AB1830"/>
    </row>
    <row r="1831" spans="25:28" x14ac:dyDescent="0.25">
      <c r="Y1831"/>
      <c r="AB1831"/>
    </row>
    <row r="1832" spans="25:28" x14ac:dyDescent="0.25">
      <c r="Y1832"/>
      <c r="AB1832"/>
    </row>
    <row r="1833" spans="25:28" x14ac:dyDescent="0.25">
      <c r="Y1833"/>
      <c r="AB1833"/>
    </row>
    <row r="1834" spans="25:28" x14ac:dyDescent="0.25">
      <c r="Y1834"/>
      <c r="AB1834"/>
    </row>
    <row r="1835" spans="25:28" x14ac:dyDescent="0.25">
      <c r="Y1835"/>
      <c r="AB1835"/>
    </row>
    <row r="1836" spans="25:28" x14ac:dyDescent="0.25">
      <c r="Y1836"/>
      <c r="AB1836"/>
    </row>
    <row r="1837" spans="25:28" x14ac:dyDescent="0.25">
      <c r="Y1837"/>
      <c r="AB1837"/>
    </row>
    <row r="1838" spans="25:28" x14ac:dyDescent="0.25">
      <c r="Y1838"/>
      <c r="AB1838"/>
    </row>
    <row r="1839" spans="25:28" x14ac:dyDescent="0.25">
      <c r="Y1839"/>
      <c r="AB1839"/>
    </row>
    <row r="1840" spans="25:28" x14ac:dyDescent="0.25">
      <c r="Y1840"/>
      <c r="AB1840"/>
    </row>
    <row r="1841" spans="25:28" x14ac:dyDescent="0.25">
      <c r="Y1841"/>
      <c r="AB1841"/>
    </row>
    <row r="1842" spans="25:28" x14ac:dyDescent="0.25">
      <c r="Y1842"/>
      <c r="AB1842"/>
    </row>
    <row r="1843" spans="25:28" x14ac:dyDescent="0.25">
      <c r="Y1843"/>
      <c r="AB1843"/>
    </row>
    <row r="1844" spans="25:28" x14ac:dyDescent="0.25">
      <c r="Y1844"/>
      <c r="AB1844"/>
    </row>
    <row r="1845" spans="25:28" x14ac:dyDescent="0.25">
      <c r="Y1845"/>
      <c r="AB1845"/>
    </row>
    <row r="1846" spans="25:28" x14ac:dyDescent="0.25">
      <c r="Y1846"/>
      <c r="AB1846"/>
    </row>
    <row r="1847" spans="25:28" x14ac:dyDescent="0.25">
      <c r="Y1847"/>
      <c r="AB1847"/>
    </row>
    <row r="1848" spans="25:28" x14ac:dyDescent="0.25">
      <c r="Y1848"/>
      <c r="AB1848"/>
    </row>
    <row r="1849" spans="25:28" x14ac:dyDescent="0.25">
      <c r="Y1849"/>
      <c r="AB1849"/>
    </row>
    <row r="1850" spans="25:28" x14ac:dyDescent="0.25">
      <c r="Y1850"/>
      <c r="AB1850"/>
    </row>
    <row r="1851" spans="25:28" x14ac:dyDescent="0.25">
      <c r="Y1851"/>
      <c r="AB1851"/>
    </row>
    <row r="1852" spans="25:28" x14ac:dyDescent="0.25">
      <c r="Y1852"/>
      <c r="AB1852"/>
    </row>
    <row r="1853" spans="25:28" x14ac:dyDescent="0.25">
      <c r="Y1853"/>
      <c r="AB1853"/>
    </row>
    <row r="1854" spans="25:28" x14ac:dyDescent="0.25">
      <c r="Y1854"/>
      <c r="AB1854"/>
    </row>
    <row r="1855" spans="25:28" x14ac:dyDescent="0.25">
      <c r="Y1855"/>
      <c r="AB1855"/>
    </row>
    <row r="1856" spans="25:28" x14ac:dyDescent="0.25">
      <c r="Y1856"/>
      <c r="AB1856"/>
    </row>
    <row r="1857" spans="25:28" x14ac:dyDescent="0.25">
      <c r="Y1857"/>
      <c r="AB1857"/>
    </row>
    <row r="1858" spans="25:28" x14ac:dyDescent="0.25">
      <c r="Y1858"/>
      <c r="AB1858"/>
    </row>
    <row r="1859" spans="25:28" x14ac:dyDescent="0.25">
      <c r="Y1859"/>
      <c r="AB1859"/>
    </row>
    <row r="1860" spans="25:28" x14ac:dyDescent="0.25">
      <c r="Y1860"/>
      <c r="AB1860"/>
    </row>
    <row r="1861" spans="25:28" x14ac:dyDescent="0.25">
      <c r="Y1861"/>
      <c r="AB1861"/>
    </row>
    <row r="1862" spans="25:28" x14ac:dyDescent="0.25">
      <c r="Y1862"/>
      <c r="AB1862"/>
    </row>
    <row r="1863" spans="25:28" x14ac:dyDescent="0.25">
      <c r="Y1863"/>
      <c r="AB1863"/>
    </row>
    <row r="1864" spans="25:28" x14ac:dyDescent="0.25">
      <c r="Y1864"/>
      <c r="AB1864"/>
    </row>
    <row r="1865" spans="25:28" x14ac:dyDescent="0.25">
      <c r="Y1865"/>
      <c r="AB1865"/>
    </row>
    <row r="1866" spans="25:28" x14ac:dyDescent="0.25">
      <c r="Y1866"/>
      <c r="AB1866"/>
    </row>
    <row r="1867" spans="25:28" x14ac:dyDescent="0.25">
      <c r="Y1867"/>
      <c r="AB1867"/>
    </row>
    <row r="1868" spans="25:28" x14ac:dyDescent="0.25">
      <c r="Y1868"/>
      <c r="AB1868"/>
    </row>
    <row r="1869" spans="25:28" x14ac:dyDescent="0.25">
      <c r="Y1869"/>
      <c r="AB1869"/>
    </row>
    <row r="1870" spans="25:28" x14ac:dyDescent="0.25">
      <c r="Y1870"/>
      <c r="AB1870"/>
    </row>
    <row r="1871" spans="25:28" x14ac:dyDescent="0.25">
      <c r="Y1871"/>
      <c r="AB1871"/>
    </row>
    <row r="1872" spans="25:28" x14ac:dyDescent="0.25">
      <c r="Y1872"/>
      <c r="AB1872"/>
    </row>
    <row r="1873" spans="25:28" x14ac:dyDescent="0.25">
      <c r="Y1873"/>
      <c r="AB1873"/>
    </row>
    <row r="1874" spans="25:28" x14ac:dyDescent="0.25">
      <c r="Y1874"/>
      <c r="AB1874"/>
    </row>
    <row r="1875" spans="25:28" x14ac:dyDescent="0.25">
      <c r="Y1875"/>
      <c r="AB1875"/>
    </row>
    <row r="1876" spans="25:28" x14ac:dyDescent="0.25">
      <c r="Y1876"/>
      <c r="AB1876"/>
    </row>
    <row r="1877" spans="25:28" x14ac:dyDescent="0.25">
      <c r="Y1877"/>
      <c r="AB1877"/>
    </row>
    <row r="1878" spans="25:28" x14ac:dyDescent="0.25">
      <c r="Y1878"/>
      <c r="AB1878"/>
    </row>
    <row r="1879" spans="25:28" x14ac:dyDescent="0.25">
      <c r="Y1879"/>
      <c r="AB1879"/>
    </row>
    <row r="1880" spans="25:28" x14ac:dyDescent="0.25">
      <c r="Y1880"/>
      <c r="AB1880"/>
    </row>
    <row r="1881" spans="25:28" x14ac:dyDescent="0.25">
      <c r="Y1881"/>
      <c r="AB1881"/>
    </row>
    <row r="1882" spans="25:28" x14ac:dyDescent="0.25">
      <c r="Y1882"/>
      <c r="AB1882"/>
    </row>
    <row r="1883" spans="25:28" x14ac:dyDescent="0.25">
      <c r="Y1883"/>
      <c r="AB1883"/>
    </row>
    <row r="1884" spans="25:28" x14ac:dyDescent="0.25">
      <c r="Y1884"/>
      <c r="AB1884"/>
    </row>
    <row r="1885" spans="25:28" x14ac:dyDescent="0.25">
      <c r="Y1885"/>
      <c r="AB1885"/>
    </row>
    <row r="1886" spans="25:28" x14ac:dyDescent="0.25">
      <c r="Y1886"/>
      <c r="AB1886"/>
    </row>
    <row r="1887" spans="25:28" x14ac:dyDescent="0.25">
      <c r="Y1887"/>
      <c r="AB1887"/>
    </row>
    <row r="1888" spans="25:28" x14ac:dyDescent="0.25">
      <c r="Y1888"/>
      <c r="AB1888"/>
    </row>
    <row r="1889" spans="25:28" x14ac:dyDescent="0.25">
      <c r="Y1889"/>
      <c r="AB1889"/>
    </row>
    <row r="1890" spans="25:28" x14ac:dyDescent="0.25">
      <c r="Y1890"/>
      <c r="AB1890"/>
    </row>
    <row r="1891" spans="25:28" x14ac:dyDescent="0.25">
      <c r="Y1891"/>
      <c r="AB1891"/>
    </row>
    <row r="1892" spans="25:28" x14ac:dyDescent="0.25">
      <c r="Y1892"/>
      <c r="AB1892"/>
    </row>
    <row r="1893" spans="25:28" x14ac:dyDescent="0.25">
      <c r="Y1893"/>
      <c r="AB1893"/>
    </row>
    <row r="1894" spans="25:28" x14ac:dyDescent="0.25">
      <c r="Y1894"/>
      <c r="AB1894"/>
    </row>
    <row r="1895" spans="25:28" x14ac:dyDescent="0.25">
      <c r="Y1895"/>
      <c r="AB1895"/>
    </row>
    <row r="1896" spans="25:28" x14ac:dyDescent="0.25">
      <c r="Y1896"/>
      <c r="AB1896"/>
    </row>
    <row r="1897" spans="25:28" x14ac:dyDescent="0.25">
      <c r="Y1897"/>
      <c r="AB1897"/>
    </row>
    <row r="1898" spans="25:28" x14ac:dyDescent="0.25">
      <c r="Y1898"/>
      <c r="AB1898"/>
    </row>
    <row r="1899" spans="25:28" x14ac:dyDescent="0.25">
      <c r="Y1899"/>
      <c r="AB1899"/>
    </row>
    <row r="1900" spans="25:28" x14ac:dyDescent="0.25">
      <c r="Y1900"/>
      <c r="AB1900"/>
    </row>
    <row r="1901" spans="25:28" x14ac:dyDescent="0.25">
      <c r="Y1901"/>
      <c r="AB1901"/>
    </row>
    <row r="1902" spans="25:28" x14ac:dyDescent="0.25">
      <c r="Y1902"/>
      <c r="AB1902"/>
    </row>
    <row r="1903" spans="25:28" x14ac:dyDescent="0.25">
      <c r="Y1903"/>
      <c r="AB1903"/>
    </row>
    <row r="1904" spans="25:28" x14ac:dyDescent="0.25">
      <c r="Y1904"/>
      <c r="AB1904"/>
    </row>
    <row r="1905" spans="25:28" x14ac:dyDescent="0.25">
      <c r="Y1905"/>
      <c r="AB1905"/>
    </row>
    <row r="1906" spans="25:28" x14ac:dyDescent="0.25">
      <c r="Y1906"/>
      <c r="AB1906"/>
    </row>
    <row r="1907" spans="25:28" x14ac:dyDescent="0.25">
      <c r="Y1907"/>
      <c r="AB1907"/>
    </row>
    <row r="1908" spans="25:28" x14ac:dyDescent="0.25">
      <c r="Y1908"/>
      <c r="AB1908"/>
    </row>
    <row r="1909" spans="25:28" x14ac:dyDescent="0.25">
      <c r="Y1909"/>
      <c r="AB1909"/>
    </row>
    <row r="1910" spans="25:28" x14ac:dyDescent="0.25">
      <c r="Y1910"/>
      <c r="AB1910"/>
    </row>
    <row r="1911" spans="25:28" x14ac:dyDescent="0.25">
      <c r="Y1911"/>
      <c r="AB1911"/>
    </row>
    <row r="1912" spans="25:28" x14ac:dyDescent="0.25">
      <c r="Y1912"/>
      <c r="AB1912"/>
    </row>
    <row r="1913" spans="25:28" x14ac:dyDescent="0.25">
      <c r="Y1913"/>
      <c r="AB1913"/>
    </row>
    <row r="1914" spans="25:28" x14ac:dyDescent="0.25">
      <c r="Y1914"/>
      <c r="AB1914"/>
    </row>
    <row r="1915" spans="25:28" x14ac:dyDescent="0.25">
      <c r="Y1915"/>
      <c r="AB1915"/>
    </row>
    <row r="1916" spans="25:28" x14ac:dyDescent="0.25">
      <c r="Y1916"/>
      <c r="AB1916"/>
    </row>
    <row r="1917" spans="25:28" x14ac:dyDescent="0.25">
      <c r="Y1917"/>
      <c r="AB1917"/>
    </row>
    <row r="1918" spans="25:28" x14ac:dyDescent="0.25">
      <c r="Y1918"/>
      <c r="AB1918"/>
    </row>
    <row r="1919" spans="25:28" x14ac:dyDescent="0.25">
      <c r="Y1919"/>
      <c r="AB1919"/>
    </row>
    <row r="1920" spans="25:28" x14ac:dyDescent="0.25">
      <c r="Y1920"/>
      <c r="AB1920"/>
    </row>
    <row r="1921" spans="25:28" x14ac:dyDescent="0.25">
      <c r="Y1921"/>
      <c r="AB1921"/>
    </row>
    <row r="1922" spans="25:28" x14ac:dyDescent="0.25">
      <c r="Y1922"/>
      <c r="AB1922"/>
    </row>
    <row r="1923" spans="25:28" x14ac:dyDescent="0.25">
      <c r="Y1923"/>
      <c r="AB1923"/>
    </row>
    <row r="1924" spans="25:28" x14ac:dyDescent="0.25">
      <c r="Y1924"/>
      <c r="AB1924"/>
    </row>
    <row r="1925" spans="25:28" x14ac:dyDescent="0.25">
      <c r="Y1925"/>
      <c r="AB1925"/>
    </row>
    <row r="1926" spans="25:28" x14ac:dyDescent="0.25">
      <c r="Y1926"/>
      <c r="AB1926"/>
    </row>
    <row r="1927" spans="25:28" x14ac:dyDescent="0.25">
      <c r="Y1927"/>
      <c r="AB1927"/>
    </row>
    <row r="1928" spans="25:28" x14ac:dyDescent="0.25">
      <c r="Y1928"/>
      <c r="AB1928"/>
    </row>
    <row r="1929" spans="25:28" x14ac:dyDescent="0.25">
      <c r="Y1929"/>
      <c r="AB1929"/>
    </row>
    <row r="1930" spans="25:28" x14ac:dyDescent="0.25">
      <c r="Y1930"/>
      <c r="AB1930"/>
    </row>
    <row r="1931" spans="25:28" x14ac:dyDescent="0.25">
      <c r="Y1931"/>
      <c r="AB1931"/>
    </row>
    <row r="1932" spans="25:28" x14ac:dyDescent="0.25">
      <c r="Y1932"/>
      <c r="AB1932"/>
    </row>
    <row r="1933" spans="25:28" x14ac:dyDescent="0.25">
      <c r="Y1933"/>
      <c r="AB1933"/>
    </row>
    <row r="1934" spans="25:28" x14ac:dyDescent="0.25">
      <c r="Y1934"/>
      <c r="AB1934"/>
    </row>
    <row r="1935" spans="25:28" x14ac:dyDescent="0.25">
      <c r="Y1935"/>
      <c r="AB1935"/>
    </row>
    <row r="1936" spans="25:28" x14ac:dyDescent="0.25">
      <c r="Y1936"/>
      <c r="AB1936"/>
    </row>
    <row r="1937" spans="25:28" x14ac:dyDescent="0.25">
      <c r="Y1937"/>
      <c r="AB1937"/>
    </row>
    <row r="1938" spans="25:28" x14ac:dyDescent="0.25">
      <c r="Y1938"/>
      <c r="AB1938"/>
    </row>
    <row r="1939" spans="25:28" x14ac:dyDescent="0.25">
      <c r="Y1939"/>
      <c r="AB1939"/>
    </row>
    <row r="1940" spans="25:28" x14ac:dyDescent="0.25">
      <c r="Y1940"/>
      <c r="AB1940"/>
    </row>
    <row r="1941" spans="25:28" x14ac:dyDescent="0.25">
      <c r="Y1941"/>
      <c r="AB1941"/>
    </row>
    <row r="1942" spans="25:28" x14ac:dyDescent="0.25">
      <c r="Y1942"/>
      <c r="AB1942"/>
    </row>
    <row r="1943" spans="25:28" x14ac:dyDescent="0.25">
      <c r="Y1943"/>
      <c r="AB1943"/>
    </row>
    <row r="1944" spans="25:28" x14ac:dyDescent="0.25">
      <c r="Y1944"/>
      <c r="AB1944"/>
    </row>
    <row r="1945" spans="25:28" x14ac:dyDescent="0.25">
      <c r="Y1945"/>
      <c r="AB1945"/>
    </row>
    <row r="1946" spans="25:28" x14ac:dyDescent="0.25">
      <c r="Y1946"/>
      <c r="AB1946"/>
    </row>
    <row r="1947" spans="25:28" x14ac:dyDescent="0.25">
      <c r="Y1947"/>
      <c r="AB1947"/>
    </row>
    <row r="1948" spans="25:28" x14ac:dyDescent="0.25">
      <c r="Y1948"/>
      <c r="AB1948"/>
    </row>
    <row r="1949" spans="25:28" x14ac:dyDescent="0.25">
      <c r="Y1949"/>
      <c r="AB1949"/>
    </row>
    <row r="1950" spans="25:28" x14ac:dyDescent="0.25">
      <c r="Y1950"/>
      <c r="AB1950"/>
    </row>
    <row r="1951" spans="25:28" x14ac:dyDescent="0.25">
      <c r="Y1951"/>
      <c r="AB1951"/>
    </row>
    <row r="1952" spans="25:28" x14ac:dyDescent="0.25">
      <c r="Y1952"/>
      <c r="AB1952"/>
    </row>
    <row r="1953" spans="25:28" x14ac:dyDescent="0.25">
      <c r="Y1953"/>
      <c r="AB1953"/>
    </row>
    <row r="1954" spans="25:28" x14ac:dyDescent="0.25">
      <c r="Y1954"/>
      <c r="AB1954"/>
    </row>
    <row r="1955" spans="25:28" x14ac:dyDescent="0.25">
      <c r="Y1955"/>
      <c r="AB1955"/>
    </row>
    <row r="1956" spans="25:28" x14ac:dyDescent="0.25">
      <c r="Y1956"/>
      <c r="AB1956"/>
    </row>
    <row r="1957" spans="25:28" x14ac:dyDescent="0.25">
      <c r="Y1957"/>
      <c r="AB1957"/>
    </row>
    <row r="1958" spans="25:28" x14ac:dyDescent="0.25">
      <c r="Y1958"/>
      <c r="AB1958"/>
    </row>
    <row r="1959" spans="25:28" x14ac:dyDescent="0.25">
      <c r="Y1959"/>
      <c r="AB1959"/>
    </row>
    <row r="1960" spans="25:28" x14ac:dyDescent="0.25">
      <c r="Y1960"/>
      <c r="AB1960"/>
    </row>
    <row r="1961" spans="25:28" x14ac:dyDescent="0.25">
      <c r="Y1961"/>
      <c r="AB1961"/>
    </row>
    <row r="1962" spans="25:28" x14ac:dyDescent="0.25">
      <c r="Y1962"/>
      <c r="AB1962"/>
    </row>
    <row r="1963" spans="25:28" x14ac:dyDescent="0.25">
      <c r="Y1963"/>
      <c r="AB1963"/>
    </row>
    <row r="1964" spans="25:28" x14ac:dyDescent="0.25">
      <c r="Y1964"/>
      <c r="AB1964"/>
    </row>
    <row r="1965" spans="25:28" x14ac:dyDescent="0.25">
      <c r="Y1965"/>
      <c r="AB1965"/>
    </row>
    <row r="1966" spans="25:28" x14ac:dyDescent="0.25">
      <c r="Y1966"/>
      <c r="AB1966"/>
    </row>
    <row r="1967" spans="25:28" x14ac:dyDescent="0.25">
      <c r="Y1967"/>
      <c r="AB1967"/>
    </row>
    <row r="1968" spans="25:28" x14ac:dyDescent="0.25">
      <c r="Y1968"/>
      <c r="AB1968"/>
    </row>
    <row r="1969" spans="25:28" x14ac:dyDescent="0.25">
      <c r="Y1969"/>
      <c r="AB1969"/>
    </row>
    <row r="1970" spans="25:28" x14ac:dyDescent="0.25">
      <c r="Y1970"/>
      <c r="AB1970"/>
    </row>
    <row r="1971" spans="25:28" x14ac:dyDescent="0.25">
      <c r="Y1971"/>
      <c r="AB1971"/>
    </row>
    <row r="1972" spans="25:28" x14ac:dyDescent="0.25">
      <c r="Y1972"/>
      <c r="AB1972"/>
    </row>
    <row r="1973" spans="25:28" x14ac:dyDescent="0.25">
      <c r="Y1973"/>
      <c r="AB1973"/>
    </row>
    <row r="1974" spans="25:28" x14ac:dyDescent="0.25">
      <c r="Y1974"/>
      <c r="AB1974"/>
    </row>
    <row r="1975" spans="25:28" x14ac:dyDescent="0.25">
      <c r="Y1975"/>
      <c r="AB1975"/>
    </row>
    <row r="1976" spans="25:28" x14ac:dyDescent="0.25">
      <c r="Y1976"/>
      <c r="AB1976"/>
    </row>
    <row r="1977" spans="25:28" x14ac:dyDescent="0.25">
      <c r="Y1977"/>
      <c r="AB1977"/>
    </row>
    <row r="1978" spans="25:28" x14ac:dyDescent="0.25">
      <c r="Y1978"/>
      <c r="AB1978"/>
    </row>
    <row r="1979" spans="25:28" x14ac:dyDescent="0.25">
      <c r="Y1979"/>
      <c r="AB1979"/>
    </row>
    <row r="1980" spans="25:28" x14ac:dyDescent="0.25">
      <c r="Y1980"/>
      <c r="AB1980"/>
    </row>
    <row r="1981" spans="25:28" x14ac:dyDescent="0.25">
      <c r="Y1981"/>
      <c r="AB1981"/>
    </row>
    <row r="1982" spans="25:28" x14ac:dyDescent="0.25">
      <c r="Y1982"/>
      <c r="AB1982"/>
    </row>
    <row r="1983" spans="25:28" x14ac:dyDescent="0.25">
      <c r="Y1983"/>
      <c r="AB1983"/>
    </row>
    <row r="1984" spans="25:28" x14ac:dyDescent="0.25">
      <c r="Y1984"/>
      <c r="AB1984"/>
    </row>
    <row r="1985" spans="25:28" x14ac:dyDescent="0.25">
      <c r="Y1985"/>
      <c r="AB1985"/>
    </row>
    <row r="1986" spans="25:28" x14ac:dyDescent="0.25">
      <c r="Y1986"/>
      <c r="AB1986"/>
    </row>
    <row r="1987" spans="25:28" x14ac:dyDescent="0.25">
      <c r="Y1987"/>
      <c r="AB1987"/>
    </row>
    <row r="1988" spans="25:28" x14ac:dyDescent="0.25">
      <c r="Y1988"/>
      <c r="AB1988"/>
    </row>
    <row r="1989" spans="25:28" x14ac:dyDescent="0.25">
      <c r="Y1989"/>
      <c r="AB1989"/>
    </row>
    <row r="1990" spans="25:28" x14ac:dyDescent="0.25">
      <c r="Y1990"/>
      <c r="AB1990"/>
    </row>
    <row r="1991" spans="25:28" x14ac:dyDescent="0.25">
      <c r="Y1991"/>
      <c r="AB1991"/>
    </row>
    <row r="1992" spans="25:28" x14ac:dyDescent="0.25">
      <c r="Y1992"/>
      <c r="AB1992"/>
    </row>
    <row r="1993" spans="25:28" x14ac:dyDescent="0.25">
      <c r="Y1993"/>
      <c r="AB1993"/>
    </row>
    <row r="1994" spans="25:28" x14ac:dyDescent="0.25">
      <c r="Y1994"/>
      <c r="AB1994"/>
    </row>
    <row r="1995" spans="25:28" x14ac:dyDescent="0.25">
      <c r="Y1995"/>
      <c r="AB1995"/>
    </row>
    <row r="1996" spans="25:28" x14ac:dyDescent="0.25">
      <c r="Y1996"/>
      <c r="AB1996"/>
    </row>
    <row r="1997" spans="25:28" x14ac:dyDescent="0.25">
      <c r="Y1997"/>
      <c r="AB1997"/>
    </row>
    <row r="1998" spans="25:28" x14ac:dyDescent="0.25">
      <c r="Y1998"/>
      <c r="AB1998"/>
    </row>
    <row r="1999" spans="25:28" x14ac:dyDescent="0.25">
      <c r="Y1999"/>
      <c r="AB1999"/>
    </row>
    <row r="2000" spans="25:28" x14ac:dyDescent="0.25">
      <c r="Y2000"/>
      <c r="AB2000"/>
    </row>
    <row r="2001" spans="25:28" x14ac:dyDescent="0.25">
      <c r="Y2001"/>
      <c r="AB2001"/>
    </row>
    <row r="2002" spans="25:28" x14ac:dyDescent="0.25">
      <c r="Y2002"/>
      <c r="AB2002"/>
    </row>
    <row r="2003" spans="25:28" x14ac:dyDescent="0.25">
      <c r="Y2003"/>
      <c r="AB2003"/>
    </row>
    <row r="2004" spans="25:28" x14ac:dyDescent="0.25">
      <c r="Y2004"/>
      <c r="AB200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2201-88FF-4341-9617-0DA4114CE949}">
  <sheetPr codeName="Sheet2"/>
  <dimension ref="A3:BL60"/>
  <sheetViews>
    <sheetView topLeftCell="A3" zoomScale="84" zoomScaleNormal="144" workbookViewId="0">
      <selection activeCell="X5" sqref="X5"/>
    </sheetView>
  </sheetViews>
  <sheetFormatPr defaultRowHeight="15" x14ac:dyDescent="0.25"/>
  <cols>
    <col min="1" max="1" width="15.140625" bestFit="1" customWidth="1"/>
    <col min="2" max="2" width="15.5703125" bestFit="1" customWidth="1"/>
    <col min="12" max="12" width="13.42578125" bestFit="1" customWidth="1"/>
    <col min="13" max="13" width="18.7109375" bestFit="1" customWidth="1"/>
    <col min="14" max="14" width="18.140625" bestFit="1" customWidth="1"/>
    <col min="18" max="18" width="13.42578125" bestFit="1" customWidth="1"/>
    <col min="19" max="19" width="18.140625" bestFit="1" customWidth="1"/>
    <col min="21" max="21" width="18.7109375" bestFit="1" customWidth="1"/>
    <col min="22" max="22" width="16.42578125" bestFit="1" customWidth="1"/>
    <col min="24" max="24" width="18.7109375" bestFit="1" customWidth="1"/>
    <col min="25" max="25" width="13.42578125" bestFit="1" customWidth="1"/>
    <col min="26" max="26" width="25.85546875" bestFit="1" customWidth="1"/>
    <col min="34" max="34" width="13.42578125" bestFit="1" customWidth="1"/>
    <col min="35" max="35" width="18.140625" bestFit="1" customWidth="1"/>
    <col min="36" max="36" width="17.5703125" bestFit="1" customWidth="1"/>
    <col min="43" max="43" width="21.42578125" bestFit="1" customWidth="1"/>
    <col min="44" max="44" width="18.140625" bestFit="1" customWidth="1"/>
    <col min="45" max="45" width="8.85546875" bestFit="1" customWidth="1"/>
    <col min="46" max="46" width="5.85546875" bestFit="1" customWidth="1"/>
    <col min="47" max="47" width="7.7109375" bestFit="1" customWidth="1"/>
    <col min="48" max="48" width="6.28515625" bestFit="1" customWidth="1"/>
    <col min="49" max="49" width="9.7109375" bestFit="1" customWidth="1"/>
    <col min="50" max="50" width="7" bestFit="1" customWidth="1"/>
    <col min="52" max="52" width="5.42578125" bestFit="1" customWidth="1"/>
    <col min="53" max="53" width="4.85546875" bestFit="1" customWidth="1"/>
    <col min="54" max="54" width="6" bestFit="1" customWidth="1"/>
    <col min="55" max="56" width="7.42578125" bestFit="1" customWidth="1"/>
    <col min="57" max="57" width="12" bestFit="1" customWidth="1"/>
    <col min="58" max="59" width="11.85546875" bestFit="1" customWidth="1"/>
    <col min="60" max="60" width="6" bestFit="1" customWidth="1"/>
    <col min="61" max="61" width="4.5703125" bestFit="1" customWidth="1"/>
    <col min="62" max="62" width="29.7109375" bestFit="1" customWidth="1"/>
    <col min="63" max="63" width="15.5703125" bestFit="1" customWidth="1"/>
    <col min="64" max="64" width="11.28515625" bestFit="1" customWidth="1"/>
  </cols>
  <sheetData>
    <row r="3" spans="1:36" x14ac:dyDescent="0.25">
      <c r="A3" s="9" t="s">
        <v>3650</v>
      </c>
      <c r="B3" s="2" t="s">
        <v>3648</v>
      </c>
    </row>
    <row r="4" spans="1:36" x14ac:dyDescent="0.25">
      <c r="A4" s="6" t="s">
        <v>3631</v>
      </c>
      <c r="B4" s="2">
        <v>31611.59</v>
      </c>
      <c r="M4" s="9" t="s">
        <v>3650</v>
      </c>
      <c r="N4" s="2" t="s">
        <v>3648</v>
      </c>
      <c r="X4" s="9" t="s">
        <v>3650</v>
      </c>
      <c r="Y4" s="2" t="s">
        <v>3648</v>
      </c>
      <c r="AI4" s="9" t="s">
        <v>3650</v>
      </c>
      <c r="AJ4" t="s">
        <v>3652</v>
      </c>
    </row>
    <row r="5" spans="1:36" x14ac:dyDescent="0.25">
      <c r="A5" s="6" t="s">
        <v>3637</v>
      </c>
      <c r="B5" s="2">
        <v>36260.55000000001</v>
      </c>
      <c r="M5" s="6" t="s">
        <v>34</v>
      </c>
      <c r="N5" s="2">
        <v>175548.56000000003</v>
      </c>
      <c r="X5" s="6" t="s">
        <v>26</v>
      </c>
      <c r="Y5" s="2">
        <v>126559.63999999998</v>
      </c>
      <c r="AI5" s="6" t="s">
        <v>34</v>
      </c>
      <c r="AJ5">
        <v>722</v>
      </c>
    </row>
    <row r="6" spans="1:36" x14ac:dyDescent="0.25">
      <c r="A6" s="6" t="s">
        <v>3638</v>
      </c>
      <c r="B6" s="2">
        <v>34378.890000000007</v>
      </c>
      <c r="M6" s="6" t="s">
        <v>39</v>
      </c>
      <c r="N6" s="2">
        <v>130957.66</v>
      </c>
      <c r="X6" s="6" t="s">
        <v>19</v>
      </c>
      <c r="Y6" s="2">
        <v>115745.20999999986</v>
      </c>
      <c r="AI6" s="6" t="s">
        <v>39</v>
      </c>
      <c r="AJ6">
        <v>567</v>
      </c>
    </row>
    <row r="7" spans="1:36" x14ac:dyDescent="0.25">
      <c r="A7" s="6" t="s">
        <v>3639</v>
      </c>
      <c r="B7" s="2">
        <v>44203.66</v>
      </c>
      <c r="M7" s="6" t="s">
        <v>22</v>
      </c>
      <c r="N7" s="2">
        <v>67300.799999999988</v>
      </c>
      <c r="X7" s="6" t="s">
        <v>60</v>
      </c>
      <c r="Y7" s="2">
        <v>113057.5100000001</v>
      </c>
      <c r="AI7" s="6" t="s">
        <v>56</v>
      </c>
      <c r="AJ7">
        <v>277</v>
      </c>
    </row>
    <row r="8" spans="1:36" x14ac:dyDescent="0.25">
      <c r="A8" s="6" t="s">
        <v>3640</v>
      </c>
      <c r="B8" s="2">
        <v>42434.470000000008</v>
      </c>
      <c r="M8" s="6" t="s">
        <v>56</v>
      </c>
      <c r="N8" s="2">
        <v>67057.47</v>
      </c>
      <c r="X8" s="6" t="s">
        <v>54</v>
      </c>
      <c r="Y8" s="2">
        <v>43194.51999999999</v>
      </c>
      <c r="AI8" s="6" t="s">
        <v>22</v>
      </c>
      <c r="AJ8">
        <v>267</v>
      </c>
    </row>
    <row r="9" spans="1:36" x14ac:dyDescent="0.25">
      <c r="A9" s="6" t="s">
        <v>3642</v>
      </c>
      <c r="B9" s="2">
        <v>45671.219999999987</v>
      </c>
      <c r="M9" s="6" t="s">
        <v>3651</v>
      </c>
      <c r="N9" s="2">
        <v>440864.49</v>
      </c>
      <c r="X9" s="6" t="s">
        <v>68</v>
      </c>
      <c r="Y9" s="2">
        <v>42307.609999999986</v>
      </c>
      <c r="AI9" s="6" t="s">
        <v>3651</v>
      </c>
      <c r="AJ9">
        <v>1833</v>
      </c>
    </row>
    <row r="10" spans="1:36" x14ac:dyDescent="0.25">
      <c r="A10" s="6" t="s">
        <v>3643</v>
      </c>
      <c r="B10" s="2">
        <v>34157.009999999995</v>
      </c>
      <c r="X10" s="6" t="s">
        <v>3651</v>
      </c>
      <c r="Y10" s="2">
        <v>440864.48999999987</v>
      </c>
    </row>
    <row r="11" spans="1:36" x14ac:dyDescent="0.25">
      <c r="A11" s="6" t="s">
        <v>3644</v>
      </c>
      <c r="B11" s="2">
        <v>36002.050000000003</v>
      </c>
    </row>
    <row r="12" spans="1:36" x14ac:dyDescent="0.25">
      <c r="A12" s="6" t="s">
        <v>3645</v>
      </c>
      <c r="B12" s="2">
        <v>51095.400000000016</v>
      </c>
    </row>
    <row r="13" spans="1:36" x14ac:dyDescent="0.25">
      <c r="A13" s="6" t="s">
        <v>3646</v>
      </c>
      <c r="B13" s="2">
        <v>39669.780000000013</v>
      </c>
    </row>
    <row r="14" spans="1:36" x14ac:dyDescent="0.25">
      <c r="A14" s="6" t="s">
        <v>3647</v>
      </c>
      <c r="B14" s="2">
        <v>45379.869999999988</v>
      </c>
    </row>
    <row r="15" spans="1:36" x14ac:dyDescent="0.25">
      <c r="A15" s="6" t="s">
        <v>3651</v>
      </c>
      <c r="B15" s="2">
        <v>440864.49000000005</v>
      </c>
    </row>
    <row r="19" spans="1:64" x14ac:dyDescent="0.25">
      <c r="AQ19" s="9" t="s">
        <v>3650</v>
      </c>
      <c r="AR19" s="2" t="s">
        <v>3648</v>
      </c>
    </row>
    <row r="20" spans="1:64" x14ac:dyDescent="0.25">
      <c r="AH20" s="9" t="s">
        <v>3650</v>
      </c>
      <c r="AI20" s="2" t="s">
        <v>3648</v>
      </c>
      <c r="AQ20" s="6" t="s">
        <v>42</v>
      </c>
      <c r="AR20" s="2">
        <v>229048.17000000004</v>
      </c>
    </row>
    <row r="21" spans="1:64" x14ac:dyDescent="0.25">
      <c r="A21" s="9" t="s">
        <v>3650</v>
      </c>
      <c r="B21" s="2" t="s">
        <v>3648</v>
      </c>
      <c r="R21" s="9" t="s">
        <v>3650</v>
      </c>
      <c r="S21" s="2" t="s">
        <v>3648</v>
      </c>
      <c r="Y21" s="9" t="s">
        <v>3650</v>
      </c>
      <c r="Z21" s="2" t="s">
        <v>3674</v>
      </c>
      <c r="AH21" s="6" t="s">
        <v>3654</v>
      </c>
      <c r="AI21" s="2">
        <v>148251.83999999991</v>
      </c>
      <c r="AQ21" s="6" t="s">
        <v>20</v>
      </c>
      <c r="AR21" s="2">
        <v>128007.06999999998</v>
      </c>
    </row>
    <row r="22" spans="1:64" x14ac:dyDescent="0.25">
      <c r="A22" s="6" t="s">
        <v>43</v>
      </c>
      <c r="B22" s="2">
        <v>42242.299999999988</v>
      </c>
      <c r="R22" s="6" t="s">
        <v>30</v>
      </c>
      <c r="S22" s="2">
        <v>234573.86000000002</v>
      </c>
      <c r="Y22" s="6" t="s">
        <v>3634</v>
      </c>
      <c r="Z22" s="2">
        <v>840</v>
      </c>
      <c r="AH22" s="6" t="s">
        <v>3655</v>
      </c>
      <c r="AI22" s="2">
        <v>145715.5799999999</v>
      </c>
      <c r="AQ22" s="6" t="s">
        <v>69</v>
      </c>
      <c r="AR22" s="2">
        <v>65715.930000000051</v>
      </c>
    </row>
    <row r="23" spans="1:64" x14ac:dyDescent="0.25">
      <c r="A23" s="6" t="s">
        <v>93</v>
      </c>
      <c r="B23" s="2">
        <v>41015.689999999988</v>
      </c>
      <c r="R23" s="6" t="s">
        <v>17</v>
      </c>
      <c r="S23" s="2">
        <v>130088.52999999991</v>
      </c>
      <c r="Y23" s="6" t="s">
        <v>3632</v>
      </c>
      <c r="Z23" s="2">
        <v>756</v>
      </c>
      <c r="AH23" s="6" t="s">
        <v>3656</v>
      </c>
      <c r="AI23" s="2">
        <v>146897.0699999998</v>
      </c>
      <c r="AQ23" s="6" t="s">
        <v>32</v>
      </c>
      <c r="AR23" s="2">
        <v>18093.32</v>
      </c>
    </row>
    <row r="24" spans="1:64" x14ac:dyDescent="0.25">
      <c r="A24" s="6" t="s">
        <v>89</v>
      </c>
      <c r="B24" s="2">
        <v>34920.749999999993</v>
      </c>
      <c r="R24" s="6" t="s">
        <v>49</v>
      </c>
      <c r="S24" s="2">
        <v>76202.099999999919</v>
      </c>
      <c r="Y24" s="6" t="s">
        <v>3635</v>
      </c>
      <c r="Z24" s="2">
        <v>237</v>
      </c>
      <c r="AH24" s="6" t="s">
        <v>3651</v>
      </c>
      <c r="AI24" s="2">
        <v>440864.48999999964</v>
      </c>
      <c r="AQ24" s="6" t="s">
        <v>3651</v>
      </c>
      <c r="AR24" s="2">
        <v>440864.49000000011</v>
      </c>
    </row>
    <row r="25" spans="1:64" x14ac:dyDescent="0.25">
      <c r="A25" s="6" t="s">
        <v>294</v>
      </c>
      <c r="B25" s="2">
        <v>32246.979999999996</v>
      </c>
      <c r="R25" s="6" t="s">
        <v>3651</v>
      </c>
      <c r="S25" s="2">
        <v>440864.48999999982</v>
      </c>
      <c r="Y25" s="6" t="s">
        <v>3651</v>
      </c>
      <c r="Z25" s="2">
        <v>1833</v>
      </c>
      <c r="BJ25" s="10"/>
      <c r="BK25" s="11"/>
      <c r="BL25" s="12"/>
    </row>
    <row r="26" spans="1:64" x14ac:dyDescent="0.25">
      <c r="A26" s="6" t="s">
        <v>21</v>
      </c>
      <c r="B26" s="2">
        <v>25336.090000000004</v>
      </c>
      <c r="BJ26" s="13"/>
      <c r="BK26" s="14"/>
      <c r="BL26" s="15"/>
    </row>
    <row r="27" spans="1:64" x14ac:dyDescent="0.25">
      <c r="A27" s="6" t="s">
        <v>27</v>
      </c>
      <c r="B27" s="2">
        <v>22625.78</v>
      </c>
      <c r="BJ27" s="13"/>
      <c r="BK27" s="14"/>
      <c r="BL27" s="15"/>
    </row>
    <row r="28" spans="1:64" x14ac:dyDescent="0.25">
      <c r="A28" s="6" t="s">
        <v>371</v>
      </c>
      <c r="B28" s="2">
        <v>21876.03</v>
      </c>
      <c r="BJ28" s="13"/>
      <c r="BK28" s="14"/>
      <c r="BL28" s="15"/>
    </row>
    <row r="29" spans="1:64" x14ac:dyDescent="0.25">
      <c r="A29" s="6" t="s">
        <v>64</v>
      </c>
      <c r="B29" s="2">
        <v>18254.219999999994</v>
      </c>
      <c r="BJ29" s="13"/>
      <c r="BK29" s="14"/>
      <c r="BL29" s="15"/>
    </row>
    <row r="30" spans="1:64" x14ac:dyDescent="0.25">
      <c r="A30" s="6" t="s">
        <v>122</v>
      </c>
      <c r="B30" s="2">
        <v>16858.789999999997</v>
      </c>
      <c r="BJ30" s="13"/>
      <c r="BK30" s="14"/>
      <c r="BL30" s="15"/>
    </row>
    <row r="31" spans="1:64" x14ac:dyDescent="0.25">
      <c r="A31" s="6" t="s">
        <v>46</v>
      </c>
      <c r="B31" s="2">
        <v>16488.900000000001</v>
      </c>
      <c r="BJ31" s="13"/>
      <c r="BK31" s="14"/>
      <c r="BL31" s="15"/>
    </row>
    <row r="32" spans="1:64" x14ac:dyDescent="0.25">
      <c r="A32" s="6" t="s">
        <v>3651</v>
      </c>
      <c r="B32" s="2">
        <v>271865.52999999997</v>
      </c>
      <c r="BJ32" s="13"/>
      <c r="BK32" s="14"/>
      <c r="BL32" s="15"/>
    </row>
    <row r="33" spans="1:64" x14ac:dyDescent="0.25">
      <c r="BJ33" s="13"/>
      <c r="BK33" s="14"/>
      <c r="BL33" s="15"/>
    </row>
    <row r="34" spans="1:64" x14ac:dyDescent="0.25">
      <c r="BJ34" s="13"/>
      <c r="BK34" s="14"/>
      <c r="BL34" s="15"/>
    </row>
    <row r="35" spans="1:64" x14ac:dyDescent="0.25">
      <c r="BJ35" s="13"/>
      <c r="BK35" s="14"/>
      <c r="BL35" s="15"/>
    </row>
    <row r="36" spans="1:64" x14ac:dyDescent="0.25">
      <c r="BJ36" s="13"/>
      <c r="BK36" s="14"/>
      <c r="BL36" s="15"/>
    </row>
    <row r="37" spans="1:64" x14ac:dyDescent="0.25">
      <c r="BJ37" s="13"/>
      <c r="BK37" s="14"/>
      <c r="BL37" s="15"/>
    </row>
    <row r="38" spans="1:64" x14ac:dyDescent="0.25">
      <c r="BJ38" s="13"/>
      <c r="BK38" s="14"/>
      <c r="BL38" s="15"/>
    </row>
    <row r="39" spans="1:64" x14ac:dyDescent="0.25">
      <c r="A39" s="9" t="s">
        <v>3650</v>
      </c>
      <c r="B39" t="s">
        <v>3663</v>
      </c>
      <c r="L39" s="9" t="s">
        <v>3650</v>
      </c>
      <c r="M39" t="s">
        <v>3671</v>
      </c>
      <c r="U39" s="9" t="s">
        <v>3650</v>
      </c>
      <c r="V39" s="2" t="s">
        <v>3672</v>
      </c>
      <c r="BJ39" s="13"/>
      <c r="BK39" s="14"/>
      <c r="BL39" s="15"/>
    </row>
    <row r="40" spans="1:64" x14ac:dyDescent="0.25">
      <c r="A40" s="6" t="s">
        <v>121</v>
      </c>
      <c r="B40">
        <v>216</v>
      </c>
      <c r="L40" s="6" t="s">
        <v>3631</v>
      </c>
      <c r="M40">
        <v>138</v>
      </c>
      <c r="U40" s="6" t="s">
        <v>26</v>
      </c>
      <c r="V40" s="2">
        <v>116254.43149999995</v>
      </c>
      <c r="BJ40" s="13"/>
      <c r="BK40" s="14"/>
      <c r="BL40" s="15"/>
    </row>
    <row r="41" spans="1:64" x14ac:dyDescent="0.25">
      <c r="A41" s="6" t="s">
        <v>92</v>
      </c>
      <c r="B41">
        <v>359</v>
      </c>
      <c r="L41" s="6" t="s">
        <v>3637</v>
      </c>
      <c r="M41">
        <v>128</v>
      </c>
      <c r="U41" s="6" t="s">
        <v>19</v>
      </c>
      <c r="V41" s="2">
        <v>107419.95750000006</v>
      </c>
      <c r="BJ41" s="13"/>
      <c r="BK41" s="14"/>
      <c r="BL41" s="15"/>
    </row>
    <row r="42" spans="1:64" x14ac:dyDescent="0.25">
      <c r="A42" s="6" t="s">
        <v>169</v>
      </c>
      <c r="B42">
        <v>221</v>
      </c>
      <c r="L42" s="6" t="s">
        <v>3638</v>
      </c>
      <c r="M42">
        <v>143</v>
      </c>
      <c r="U42" s="6" t="s">
        <v>60</v>
      </c>
      <c r="V42" s="2">
        <v>104043.66800000009</v>
      </c>
      <c r="BJ42" s="16"/>
      <c r="BK42" s="17"/>
      <c r="BL42" s="18"/>
    </row>
    <row r="43" spans="1:64" x14ac:dyDescent="0.25">
      <c r="A43" s="6" t="s">
        <v>129</v>
      </c>
      <c r="B43">
        <v>542</v>
      </c>
      <c r="L43" s="6" t="s">
        <v>3639</v>
      </c>
      <c r="M43">
        <v>182</v>
      </c>
      <c r="U43" s="6" t="s">
        <v>54</v>
      </c>
      <c r="V43" s="2">
        <v>39394.519999999997</v>
      </c>
    </row>
    <row r="44" spans="1:64" x14ac:dyDescent="0.25">
      <c r="A44" s="6" t="s">
        <v>59</v>
      </c>
      <c r="B44">
        <v>381</v>
      </c>
      <c r="L44" s="6" t="s">
        <v>3640</v>
      </c>
      <c r="M44">
        <v>174</v>
      </c>
      <c r="U44" s="6" t="s">
        <v>68</v>
      </c>
      <c r="V44" s="2">
        <v>38686.054500000006</v>
      </c>
    </row>
    <row r="45" spans="1:64" x14ac:dyDescent="0.25">
      <c r="A45" s="6" t="s">
        <v>67</v>
      </c>
      <c r="B45">
        <v>187</v>
      </c>
      <c r="L45" s="6" t="s">
        <v>3642</v>
      </c>
      <c r="M45">
        <v>170</v>
      </c>
      <c r="U45" s="6" t="s">
        <v>3651</v>
      </c>
      <c r="V45" s="2">
        <v>405798.63150000013</v>
      </c>
    </row>
    <row r="46" spans="1:64" x14ac:dyDescent="0.25">
      <c r="A46" s="6" t="s">
        <v>248</v>
      </c>
      <c r="B46">
        <v>382</v>
      </c>
      <c r="L46" s="6" t="s">
        <v>3643</v>
      </c>
      <c r="M46">
        <v>162</v>
      </c>
    </row>
    <row r="47" spans="1:64" x14ac:dyDescent="0.25">
      <c r="A47" s="6" t="s">
        <v>135</v>
      </c>
      <c r="B47">
        <v>367</v>
      </c>
      <c r="L47" s="6" t="s">
        <v>3644</v>
      </c>
      <c r="M47">
        <v>178</v>
      </c>
    </row>
    <row r="48" spans="1:64" x14ac:dyDescent="0.25">
      <c r="A48" s="6" t="s">
        <v>166</v>
      </c>
      <c r="B48">
        <v>287</v>
      </c>
      <c r="L48" s="6" t="s">
        <v>3645</v>
      </c>
      <c r="M48">
        <v>205</v>
      </c>
    </row>
    <row r="49" spans="1:13" x14ac:dyDescent="0.25">
      <c r="A49" s="6" t="s">
        <v>37</v>
      </c>
      <c r="B49">
        <v>344</v>
      </c>
      <c r="L49" s="6" t="s">
        <v>3646</v>
      </c>
      <c r="M49">
        <v>162</v>
      </c>
    </row>
    <row r="50" spans="1:13" x14ac:dyDescent="0.25">
      <c r="A50" s="6" t="s">
        <v>85</v>
      </c>
      <c r="B50">
        <v>445</v>
      </c>
      <c r="L50" s="6" t="s">
        <v>3647</v>
      </c>
      <c r="M50">
        <v>191</v>
      </c>
    </row>
    <row r="51" spans="1:13" x14ac:dyDescent="0.25">
      <c r="A51" s="6" t="s">
        <v>31</v>
      </c>
      <c r="B51">
        <v>629</v>
      </c>
      <c r="L51" s="6" t="s">
        <v>3651</v>
      </c>
      <c r="M51">
        <v>1833</v>
      </c>
    </row>
    <row r="52" spans="1:13" x14ac:dyDescent="0.25">
      <c r="A52" s="6" t="s">
        <v>53</v>
      </c>
      <c r="B52">
        <v>142</v>
      </c>
    </row>
    <row r="53" spans="1:13" x14ac:dyDescent="0.25">
      <c r="A53" s="6" t="s">
        <v>63</v>
      </c>
      <c r="B53">
        <v>169</v>
      </c>
    </row>
    <row r="54" spans="1:13" x14ac:dyDescent="0.25">
      <c r="A54" s="6" t="s">
        <v>138</v>
      </c>
      <c r="B54">
        <v>197</v>
      </c>
    </row>
    <row r="55" spans="1:13" x14ac:dyDescent="0.25">
      <c r="A55" s="6" t="s">
        <v>148</v>
      </c>
      <c r="B55">
        <v>286</v>
      </c>
    </row>
    <row r="56" spans="1:13" x14ac:dyDescent="0.25">
      <c r="A56" s="6" t="s">
        <v>25</v>
      </c>
      <c r="B56">
        <v>263</v>
      </c>
    </row>
    <row r="57" spans="1:13" x14ac:dyDescent="0.25">
      <c r="A57" s="6" t="s">
        <v>109</v>
      </c>
      <c r="B57">
        <v>155</v>
      </c>
    </row>
    <row r="58" spans="1:13" x14ac:dyDescent="0.25">
      <c r="A58" s="6" t="s">
        <v>76</v>
      </c>
      <c r="B58">
        <v>343</v>
      </c>
    </row>
    <row r="59" spans="1:13" x14ac:dyDescent="0.25">
      <c r="A59" s="6" t="s">
        <v>18</v>
      </c>
      <c r="B59">
        <v>628</v>
      </c>
    </row>
    <row r="60" spans="1:13" x14ac:dyDescent="0.25">
      <c r="A60" s="6" t="s">
        <v>3651</v>
      </c>
      <c r="B60">
        <v>6543</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FC407-34D9-4037-8E0A-6F646ECA782F}">
  <sheetPr codeName="Sheet4"/>
  <dimension ref="A1:U2001"/>
  <sheetViews>
    <sheetView zoomScale="67" workbookViewId="0"/>
  </sheetViews>
  <sheetFormatPr defaultRowHeight="15" x14ac:dyDescent="0.25"/>
  <cols>
    <col min="1" max="1" width="11.28515625" bestFit="1" customWidth="1"/>
    <col min="2" max="2" width="13.5703125" bestFit="1" customWidth="1"/>
    <col min="3" max="3" width="21.7109375" bestFit="1" customWidth="1"/>
    <col min="4" max="4" width="21.42578125" bestFit="1" customWidth="1"/>
    <col min="5" max="5" width="15.140625" bestFit="1" customWidth="1"/>
    <col min="6" max="6" width="18.7109375" bestFit="1" customWidth="1"/>
    <col min="7" max="7" width="21.42578125" bestFit="1" customWidth="1"/>
    <col min="8" max="8" width="29.7109375" bestFit="1" customWidth="1"/>
    <col min="9" max="9" width="11" bestFit="1" customWidth="1"/>
    <col min="10" max="10" width="12.42578125" bestFit="1" customWidth="1"/>
    <col min="11" max="11" width="19.5703125" bestFit="1" customWidth="1"/>
    <col min="12" max="12" width="13.42578125" bestFit="1" customWidth="1"/>
    <col min="13" max="13" width="16.42578125" bestFit="1" customWidth="1"/>
    <col min="14" max="14" width="8.28515625" bestFit="1" customWidth="1"/>
    <col min="15" max="15" width="19" bestFit="1" customWidth="1"/>
    <col min="16" max="16" width="7.28515625" bestFit="1" customWidth="1"/>
    <col min="17" max="17" width="14.7109375" bestFit="1" customWidth="1"/>
    <col min="18" max="18" width="11.85546875" bestFit="1" customWidth="1"/>
    <col min="19" max="19" width="15.42578125" bestFit="1" customWidth="1"/>
    <col min="20" max="20" width="11.85546875" bestFit="1" customWidth="1"/>
    <col min="21" max="21" width="14.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3625</v>
      </c>
      <c r="Q1" t="s">
        <v>3626</v>
      </c>
      <c r="R1" t="s">
        <v>3627</v>
      </c>
      <c r="S1" t="s">
        <v>3628</v>
      </c>
      <c r="T1" t="s">
        <v>3629</v>
      </c>
      <c r="U1" t="s">
        <v>3630</v>
      </c>
    </row>
    <row r="2" spans="1:21" x14ac:dyDescent="0.25">
      <c r="A2" t="s">
        <v>15</v>
      </c>
      <c r="B2" s="1">
        <v>44928</v>
      </c>
      <c r="C2" t="s">
        <v>16</v>
      </c>
      <c r="D2" t="s">
        <v>17</v>
      </c>
      <c r="E2" t="s">
        <v>18</v>
      </c>
      <c r="F2" t="s">
        <v>19</v>
      </c>
      <c r="G2" t="s">
        <v>20</v>
      </c>
      <c r="H2" t="s">
        <v>21</v>
      </c>
      <c r="I2">
        <v>3</v>
      </c>
      <c r="J2">
        <v>99.43</v>
      </c>
      <c r="K2">
        <v>0</v>
      </c>
      <c r="L2">
        <v>298.29000000000002</v>
      </c>
      <c r="M2">
        <v>9.31</v>
      </c>
      <c r="N2">
        <v>124.92</v>
      </c>
      <c r="O2" t="s">
        <v>22</v>
      </c>
      <c r="P2">
        <v>2023</v>
      </c>
      <c r="Q2" t="s">
        <v>3631</v>
      </c>
      <c r="R2">
        <v>298.29000000000002</v>
      </c>
      <c r="S2">
        <v>0.418787086392437</v>
      </c>
      <c r="T2" t="s">
        <v>3632</v>
      </c>
      <c r="U2" t="s">
        <v>3633</v>
      </c>
    </row>
    <row r="3" spans="1:21" x14ac:dyDescent="0.25">
      <c r="A3" t="s">
        <v>23</v>
      </c>
      <c r="B3" s="1">
        <v>44928</v>
      </c>
      <c r="C3" t="s">
        <v>24</v>
      </c>
      <c r="D3" t="s">
        <v>17</v>
      </c>
      <c r="E3" t="s">
        <v>25</v>
      </c>
      <c r="F3" t="s">
        <v>26</v>
      </c>
      <c r="G3" t="s">
        <v>20</v>
      </c>
      <c r="H3" t="s">
        <v>27</v>
      </c>
      <c r="I3">
        <v>4</v>
      </c>
      <c r="J3">
        <v>97.93</v>
      </c>
      <c r="K3">
        <v>20</v>
      </c>
      <c r="L3">
        <v>313.38</v>
      </c>
      <c r="M3">
        <v>14.31</v>
      </c>
      <c r="N3">
        <v>83.62</v>
      </c>
      <c r="O3" t="s">
        <v>22</v>
      </c>
      <c r="P3">
        <v>2023</v>
      </c>
      <c r="Q3" t="s">
        <v>3631</v>
      </c>
      <c r="R3">
        <v>250.70400000000001</v>
      </c>
      <c r="S3">
        <v>0.33354074925011201</v>
      </c>
      <c r="T3" t="s">
        <v>3632</v>
      </c>
      <c r="U3" t="s">
        <v>3633</v>
      </c>
    </row>
    <row r="4" spans="1:21" x14ac:dyDescent="0.25">
      <c r="A4" t="s">
        <v>28</v>
      </c>
      <c r="B4" s="1">
        <v>44929</v>
      </c>
      <c r="C4" t="s">
        <v>29</v>
      </c>
      <c r="D4" t="s">
        <v>30</v>
      </c>
      <c r="E4" t="s">
        <v>31</v>
      </c>
      <c r="F4" t="s">
        <v>19</v>
      </c>
      <c r="G4" t="s">
        <v>32</v>
      </c>
      <c r="H4" t="s">
        <v>33</v>
      </c>
      <c r="I4">
        <v>2</v>
      </c>
      <c r="J4">
        <v>10.74</v>
      </c>
      <c r="K4">
        <v>0</v>
      </c>
      <c r="L4">
        <v>21.48</v>
      </c>
      <c r="M4">
        <v>8.1199999999999992</v>
      </c>
      <c r="N4">
        <v>3.69</v>
      </c>
      <c r="O4" t="s">
        <v>34</v>
      </c>
      <c r="P4">
        <v>2023</v>
      </c>
      <c r="Q4" t="s">
        <v>3631</v>
      </c>
      <c r="R4">
        <v>21.48</v>
      </c>
      <c r="S4">
        <v>0.17178770949720701</v>
      </c>
      <c r="T4" t="s">
        <v>3634</v>
      </c>
      <c r="U4" t="s">
        <v>3633</v>
      </c>
    </row>
    <row r="5" spans="1:21" x14ac:dyDescent="0.25">
      <c r="A5" t="s">
        <v>35</v>
      </c>
      <c r="B5" s="1">
        <v>44929</v>
      </c>
      <c r="C5" t="s">
        <v>36</v>
      </c>
      <c r="D5" t="s">
        <v>17</v>
      </c>
      <c r="E5" t="s">
        <v>37</v>
      </c>
      <c r="F5" t="s">
        <v>26</v>
      </c>
      <c r="G5" t="s">
        <v>20</v>
      </c>
      <c r="H5" t="s">
        <v>38</v>
      </c>
      <c r="I5">
        <v>2</v>
      </c>
      <c r="J5">
        <v>61.86</v>
      </c>
      <c r="K5">
        <v>15</v>
      </c>
      <c r="L5">
        <v>105.16</v>
      </c>
      <c r="M5">
        <v>10.79</v>
      </c>
      <c r="N5">
        <v>26.32</v>
      </c>
      <c r="O5" t="s">
        <v>39</v>
      </c>
      <c r="P5">
        <v>2023</v>
      </c>
      <c r="Q5" t="s">
        <v>3631</v>
      </c>
      <c r="R5">
        <v>89.385999999999996</v>
      </c>
      <c r="S5">
        <v>0.29445327008703798</v>
      </c>
      <c r="T5" t="s">
        <v>3632</v>
      </c>
      <c r="U5" t="s">
        <v>3633</v>
      </c>
    </row>
    <row r="6" spans="1:21" x14ac:dyDescent="0.25">
      <c r="A6" t="s">
        <v>40</v>
      </c>
      <c r="B6" s="1">
        <v>44931</v>
      </c>
      <c r="C6" t="s">
        <v>41</v>
      </c>
      <c r="D6" t="s">
        <v>30</v>
      </c>
      <c r="E6" t="s">
        <v>37</v>
      </c>
      <c r="F6" t="s">
        <v>26</v>
      </c>
      <c r="G6" t="s">
        <v>42</v>
      </c>
      <c r="H6" t="s">
        <v>43</v>
      </c>
      <c r="I6">
        <v>4</v>
      </c>
      <c r="J6">
        <v>330.67</v>
      </c>
      <c r="K6">
        <v>20</v>
      </c>
      <c r="L6">
        <v>1058.1400000000001</v>
      </c>
      <c r="M6">
        <v>11.09</v>
      </c>
      <c r="N6">
        <v>253.44</v>
      </c>
      <c r="O6" t="s">
        <v>34</v>
      </c>
      <c r="P6">
        <v>2023</v>
      </c>
      <c r="Q6" t="s">
        <v>3631</v>
      </c>
      <c r="R6">
        <v>846.51199999999994</v>
      </c>
      <c r="S6">
        <v>0.299393274991967</v>
      </c>
      <c r="T6" t="s">
        <v>3635</v>
      </c>
      <c r="U6" t="s">
        <v>3633</v>
      </c>
    </row>
    <row r="7" spans="1:21" x14ac:dyDescent="0.25">
      <c r="A7" t="s">
        <v>44</v>
      </c>
      <c r="B7" s="1">
        <v>44931</v>
      </c>
      <c r="C7" t="s">
        <v>45</v>
      </c>
      <c r="D7" t="s">
        <v>30</v>
      </c>
      <c r="E7" t="s">
        <v>31</v>
      </c>
      <c r="F7" t="s">
        <v>19</v>
      </c>
      <c r="G7" t="s">
        <v>42</v>
      </c>
      <c r="H7" t="s">
        <v>46</v>
      </c>
      <c r="I7">
        <v>1</v>
      </c>
      <c r="J7">
        <v>61.93</v>
      </c>
      <c r="K7">
        <v>10</v>
      </c>
      <c r="L7">
        <v>55.74</v>
      </c>
      <c r="M7">
        <v>5.88</v>
      </c>
      <c r="N7">
        <v>12.7</v>
      </c>
      <c r="O7" t="s">
        <v>39</v>
      </c>
      <c r="P7">
        <v>2023</v>
      </c>
      <c r="Q7" t="s">
        <v>3631</v>
      </c>
      <c r="R7">
        <v>50.165999999999997</v>
      </c>
      <c r="S7">
        <v>0.25315951042538798</v>
      </c>
      <c r="T7" t="s">
        <v>3634</v>
      </c>
      <c r="U7" t="s">
        <v>3633</v>
      </c>
    </row>
    <row r="8" spans="1:21" x14ac:dyDescent="0.25">
      <c r="A8" t="s">
        <v>47</v>
      </c>
      <c r="B8" s="1">
        <v>44932</v>
      </c>
      <c r="C8" t="s">
        <v>48</v>
      </c>
      <c r="D8" t="s">
        <v>49</v>
      </c>
      <c r="E8" t="s">
        <v>18</v>
      </c>
      <c r="F8" t="s">
        <v>19</v>
      </c>
      <c r="G8" t="s">
        <v>32</v>
      </c>
      <c r="H8" t="s">
        <v>50</v>
      </c>
      <c r="I8">
        <v>2</v>
      </c>
      <c r="J8">
        <v>15.03</v>
      </c>
      <c r="K8">
        <v>5</v>
      </c>
      <c r="L8">
        <v>28.56</v>
      </c>
      <c r="M8">
        <v>6.59</v>
      </c>
      <c r="N8">
        <v>8.44</v>
      </c>
      <c r="O8" t="s">
        <v>39</v>
      </c>
      <c r="P8">
        <v>2023</v>
      </c>
      <c r="Q8" t="s">
        <v>3631</v>
      </c>
      <c r="R8">
        <v>27.132000000000001</v>
      </c>
      <c r="S8">
        <v>0.31107179713990901</v>
      </c>
      <c r="T8" t="s">
        <v>3634</v>
      </c>
      <c r="U8" t="s">
        <v>3633</v>
      </c>
    </row>
    <row r="9" spans="1:21" x14ac:dyDescent="0.25">
      <c r="A9" t="s">
        <v>51</v>
      </c>
      <c r="B9" s="1">
        <v>44932</v>
      </c>
      <c r="C9" t="s">
        <v>52</v>
      </c>
      <c r="D9" t="s">
        <v>49</v>
      </c>
      <c r="E9" t="s">
        <v>53</v>
      </c>
      <c r="F9" t="s">
        <v>54</v>
      </c>
      <c r="G9" t="s">
        <v>20</v>
      </c>
      <c r="H9" t="s">
        <v>55</v>
      </c>
      <c r="I9">
        <v>2</v>
      </c>
      <c r="J9">
        <v>33.909999999999997</v>
      </c>
      <c r="K9">
        <v>10</v>
      </c>
      <c r="L9">
        <v>61.04</v>
      </c>
      <c r="M9">
        <v>14.38</v>
      </c>
      <c r="N9">
        <v>9.36</v>
      </c>
      <c r="O9" t="s">
        <v>56</v>
      </c>
      <c r="P9">
        <v>2023</v>
      </c>
      <c r="Q9" t="s">
        <v>3631</v>
      </c>
      <c r="R9">
        <v>54.936</v>
      </c>
      <c r="S9">
        <v>0.170380078636959</v>
      </c>
      <c r="T9" t="s">
        <v>3634</v>
      </c>
      <c r="U9" t="s">
        <v>3633</v>
      </c>
    </row>
    <row r="10" spans="1:21" x14ac:dyDescent="0.25">
      <c r="A10" t="s">
        <v>57</v>
      </c>
      <c r="B10" s="1">
        <v>44932</v>
      </c>
      <c r="C10" t="s">
        <v>58</v>
      </c>
      <c r="D10" t="s">
        <v>30</v>
      </c>
      <c r="E10" t="s">
        <v>59</v>
      </c>
      <c r="F10" t="s">
        <v>60</v>
      </c>
      <c r="G10" t="s">
        <v>42</v>
      </c>
      <c r="H10" t="s">
        <v>43</v>
      </c>
      <c r="I10">
        <v>2</v>
      </c>
      <c r="J10">
        <v>334.11</v>
      </c>
      <c r="K10">
        <v>5</v>
      </c>
      <c r="L10">
        <v>634.80999999999995</v>
      </c>
      <c r="M10">
        <v>11.92</v>
      </c>
      <c r="N10">
        <v>221.96</v>
      </c>
      <c r="O10" t="s">
        <v>56</v>
      </c>
      <c r="P10">
        <v>2023</v>
      </c>
      <c r="Q10" t="s">
        <v>3631</v>
      </c>
      <c r="R10">
        <v>603.06949999999995</v>
      </c>
      <c r="S10">
        <v>0.36805044858013902</v>
      </c>
      <c r="T10" t="s">
        <v>3635</v>
      </c>
      <c r="U10" t="s">
        <v>3633</v>
      </c>
    </row>
    <row r="11" spans="1:21" x14ac:dyDescent="0.25">
      <c r="A11" t="s">
        <v>61</v>
      </c>
      <c r="B11" s="1">
        <v>44933</v>
      </c>
      <c r="C11" t="s">
        <v>62</v>
      </c>
      <c r="D11" t="s">
        <v>30</v>
      </c>
      <c r="E11" t="s">
        <v>63</v>
      </c>
      <c r="F11" t="s">
        <v>54</v>
      </c>
      <c r="G11" t="s">
        <v>42</v>
      </c>
      <c r="H11" t="s">
        <v>64</v>
      </c>
      <c r="I11">
        <v>1</v>
      </c>
      <c r="J11">
        <v>58.77</v>
      </c>
      <c r="K11">
        <v>5</v>
      </c>
      <c r="L11">
        <v>55.83</v>
      </c>
      <c r="M11">
        <v>12.03</v>
      </c>
      <c r="N11">
        <v>8.5399999999999991</v>
      </c>
      <c r="O11" t="s">
        <v>34</v>
      </c>
      <c r="P11">
        <v>2023</v>
      </c>
      <c r="Q11" t="s">
        <v>3631</v>
      </c>
      <c r="R11">
        <v>53.038499999999999</v>
      </c>
      <c r="S11">
        <v>0.16101511166416799</v>
      </c>
      <c r="T11" t="s">
        <v>3634</v>
      </c>
      <c r="U11" t="s">
        <v>3633</v>
      </c>
    </row>
    <row r="12" spans="1:21" x14ac:dyDescent="0.25">
      <c r="A12" t="s">
        <v>65</v>
      </c>
      <c r="B12" s="1">
        <v>44934</v>
      </c>
      <c r="C12" t="s">
        <v>66</v>
      </c>
      <c r="D12" t="s">
        <v>17</v>
      </c>
      <c r="E12" t="s">
        <v>67</v>
      </c>
      <c r="F12" t="s">
        <v>68</v>
      </c>
      <c r="G12" t="s">
        <v>69</v>
      </c>
      <c r="H12" t="s">
        <v>70</v>
      </c>
      <c r="I12">
        <v>2</v>
      </c>
      <c r="J12">
        <v>38.909999999999997</v>
      </c>
      <c r="K12">
        <v>15</v>
      </c>
      <c r="L12">
        <v>66.150000000000006</v>
      </c>
      <c r="M12">
        <v>14.25</v>
      </c>
      <c r="N12">
        <v>12.99</v>
      </c>
      <c r="O12" t="s">
        <v>34</v>
      </c>
      <c r="P12">
        <v>2023</v>
      </c>
      <c r="Q12" t="s">
        <v>3631</v>
      </c>
      <c r="R12">
        <v>56.227499999999999</v>
      </c>
      <c r="S12">
        <v>0.23102574363078601</v>
      </c>
      <c r="T12" t="s">
        <v>3634</v>
      </c>
      <c r="U12" t="s">
        <v>3633</v>
      </c>
    </row>
    <row r="13" spans="1:21" x14ac:dyDescent="0.25">
      <c r="A13" t="s">
        <v>71</v>
      </c>
      <c r="B13" s="1">
        <v>44934</v>
      </c>
      <c r="C13" t="s">
        <v>72</v>
      </c>
      <c r="D13" t="s">
        <v>17</v>
      </c>
      <c r="E13" t="s">
        <v>25</v>
      </c>
      <c r="F13" t="s">
        <v>26</v>
      </c>
      <c r="G13" t="s">
        <v>32</v>
      </c>
      <c r="H13" t="s">
        <v>73</v>
      </c>
      <c r="I13">
        <v>3</v>
      </c>
      <c r="J13">
        <v>7.8</v>
      </c>
      <c r="K13">
        <v>10</v>
      </c>
      <c r="L13">
        <v>21.06</v>
      </c>
      <c r="M13">
        <v>12.61</v>
      </c>
      <c r="N13">
        <v>-2.08</v>
      </c>
      <c r="O13" t="s">
        <v>22</v>
      </c>
      <c r="P13">
        <v>2023</v>
      </c>
      <c r="Q13" t="s">
        <v>3631</v>
      </c>
      <c r="R13">
        <v>18.954000000000001</v>
      </c>
      <c r="S13">
        <v>-0.109739368998628</v>
      </c>
      <c r="T13" t="s">
        <v>3634</v>
      </c>
      <c r="U13" t="s">
        <v>3636</v>
      </c>
    </row>
    <row r="14" spans="1:21" x14ac:dyDescent="0.25">
      <c r="A14" t="s">
        <v>74</v>
      </c>
      <c r="B14" s="1">
        <v>44935</v>
      </c>
      <c r="C14" t="s">
        <v>75</v>
      </c>
      <c r="D14" t="s">
        <v>17</v>
      </c>
      <c r="E14" t="s">
        <v>76</v>
      </c>
      <c r="F14" t="s">
        <v>26</v>
      </c>
      <c r="G14" t="s">
        <v>20</v>
      </c>
      <c r="H14" t="s">
        <v>38</v>
      </c>
      <c r="I14">
        <v>1</v>
      </c>
      <c r="J14">
        <v>48.73</v>
      </c>
      <c r="K14">
        <v>10</v>
      </c>
      <c r="L14">
        <v>43.86</v>
      </c>
      <c r="M14">
        <v>8.11</v>
      </c>
      <c r="N14">
        <v>8.9499999999999993</v>
      </c>
      <c r="O14" t="s">
        <v>34</v>
      </c>
      <c r="P14">
        <v>2023</v>
      </c>
      <c r="Q14" t="s">
        <v>3631</v>
      </c>
      <c r="R14">
        <v>39.473999999999997</v>
      </c>
      <c r="S14">
        <v>0.22673151948117701</v>
      </c>
      <c r="T14" t="s">
        <v>3634</v>
      </c>
      <c r="U14" t="s">
        <v>3633</v>
      </c>
    </row>
    <row r="15" spans="1:21" x14ac:dyDescent="0.25">
      <c r="A15" t="s">
        <v>77</v>
      </c>
      <c r="B15" s="1">
        <v>44938</v>
      </c>
      <c r="C15" t="s">
        <v>78</v>
      </c>
      <c r="D15" t="s">
        <v>30</v>
      </c>
      <c r="E15" t="s">
        <v>67</v>
      </c>
      <c r="F15" t="s">
        <v>68</v>
      </c>
      <c r="G15" t="s">
        <v>69</v>
      </c>
      <c r="H15" t="s">
        <v>79</v>
      </c>
      <c r="I15">
        <v>1</v>
      </c>
      <c r="J15">
        <v>59.48</v>
      </c>
      <c r="K15">
        <v>0</v>
      </c>
      <c r="L15">
        <v>59.48</v>
      </c>
      <c r="M15">
        <v>11.42</v>
      </c>
      <c r="N15">
        <v>18.32</v>
      </c>
      <c r="O15" t="s">
        <v>34</v>
      </c>
      <c r="P15">
        <v>2023</v>
      </c>
      <c r="Q15" t="s">
        <v>3631</v>
      </c>
      <c r="R15">
        <v>59.48</v>
      </c>
      <c r="S15">
        <v>0.308002689979825</v>
      </c>
      <c r="T15" t="s">
        <v>3634</v>
      </c>
      <c r="U15" t="s">
        <v>3633</v>
      </c>
    </row>
    <row r="16" spans="1:21" x14ac:dyDescent="0.25">
      <c r="A16" t="s">
        <v>80</v>
      </c>
      <c r="B16" s="1">
        <v>44939</v>
      </c>
      <c r="C16" t="s">
        <v>81</v>
      </c>
      <c r="D16" t="s">
        <v>17</v>
      </c>
      <c r="E16" t="s">
        <v>37</v>
      </c>
      <c r="F16" t="s">
        <v>26</v>
      </c>
      <c r="G16" t="s">
        <v>32</v>
      </c>
      <c r="H16" t="s">
        <v>82</v>
      </c>
      <c r="I16">
        <v>1</v>
      </c>
      <c r="J16">
        <v>15.82</v>
      </c>
      <c r="K16">
        <v>0</v>
      </c>
      <c r="L16">
        <v>15.82</v>
      </c>
      <c r="M16">
        <v>9.16</v>
      </c>
      <c r="N16">
        <v>-0.46</v>
      </c>
      <c r="O16" t="s">
        <v>39</v>
      </c>
      <c r="P16">
        <v>2023</v>
      </c>
      <c r="Q16" t="s">
        <v>3631</v>
      </c>
      <c r="R16">
        <v>15.82</v>
      </c>
      <c r="S16">
        <v>-2.9077117572692799E-2</v>
      </c>
      <c r="T16" t="s">
        <v>3634</v>
      </c>
      <c r="U16" t="s">
        <v>3636</v>
      </c>
    </row>
    <row r="17" spans="1:21" x14ac:dyDescent="0.25">
      <c r="A17" t="s">
        <v>83</v>
      </c>
      <c r="B17" s="1">
        <v>44939</v>
      </c>
      <c r="C17" t="s">
        <v>84</v>
      </c>
      <c r="D17" t="s">
        <v>17</v>
      </c>
      <c r="E17" t="s">
        <v>85</v>
      </c>
      <c r="F17" t="s">
        <v>60</v>
      </c>
      <c r="G17" t="s">
        <v>69</v>
      </c>
      <c r="H17" t="s">
        <v>86</v>
      </c>
      <c r="I17">
        <v>3</v>
      </c>
      <c r="J17">
        <v>51.92</v>
      </c>
      <c r="K17">
        <v>30</v>
      </c>
      <c r="L17">
        <v>109.03</v>
      </c>
      <c r="M17">
        <v>13.39</v>
      </c>
      <c r="N17">
        <v>17.760000000000002</v>
      </c>
      <c r="O17" t="s">
        <v>39</v>
      </c>
      <c r="P17">
        <v>2023</v>
      </c>
      <c r="Q17" t="s">
        <v>3631</v>
      </c>
      <c r="R17">
        <v>76.320999999999998</v>
      </c>
      <c r="S17">
        <v>0.232701353493796</v>
      </c>
      <c r="T17" t="s">
        <v>3632</v>
      </c>
      <c r="U17" t="s">
        <v>3633</v>
      </c>
    </row>
    <row r="18" spans="1:21" x14ac:dyDescent="0.25">
      <c r="A18" t="s">
        <v>87</v>
      </c>
      <c r="B18" s="1">
        <v>44939</v>
      </c>
      <c r="C18" t="s">
        <v>88</v>
      </c>
      <c r="D18" t="s">
        <v>30</v>
      </c>
      <c r="E18" t="s">
        <v>53</v>
      </c>
      <c r="F18" t="s">
        <v>54</v>
      </c>
      <c r="G18" t="s">
        <v>42</v>
      </c>
      <c r="H18" t="s">
        <v>89</v>
      </c>
      <c r="I18">
        <v>3</v>
      </c>
      <c r="J18">
        <v>358.6</v>
      </c>
      <c r="K18">
        <v>15</v>
      </c>
      <c r="L18">
        <v>914.43</v>
      </c>
      <c r="M18">
        <v>14.74</v>
      </c>
      <c r="N18">
        <v>254.21</v>
      </c>
      <c r="O18" t="s">
        <v>22</v>
      </c>
      <c r="P18">
        <v>2023</v>
      </c>
      <c r="Q18" t="s">
        <v>3631</v>
      </c>
      <c r="R18">
        <v>777.26549999999997</v>
      </c>
      <c r="S18">
        <v>0.32705684222443898</v>
      </c>
      <c r="T18" t="s">
        <v>3635</v>
      </c>
      <c r="U18" t="s">
        <v>3633</v>
      </c>
    </row>
    <row r="19" spans="1:21" x14ac:dyDescent="0.25">
      <c r="A19" t="s">
        <v>90</v>
      </c>
      <c r="B19" s="1">
        <v>44940</v>
      </c>
      <c r="C19" t="s">
        <v>91</v>
      </c>
      <c r="D19" t="s">
        <v>49</v>
      </c>
      <c r="E19" t="s">
        <v>92</v>
      </c>
      <c r="F19" t="s">
        <v>60</v>
      </c>
      <c r="G19" t="s">
        <v>42</v>
      </c>
      <c r="H19" t="s">
        <v>93</v>
      </c>
      <c r="I19">
        <v>2</v>
      </c>
      <c r="J19">
        <v>446.8</v>
      </c>
      <c r="K19">
        <v>5</v>
      </c>
      <c r="L19">
        <v>848.92</v>
      </c>
      <c r="M19">
        <v>13.59</v>
      </c>
      <c r="N19">
        <v>299.17</v>
      </c>
      <c r="O19" t="s">
        <v>22</v>
      </c>
      <c r="P19">
        <v>2023</v>
      </c>
      <c r="Q19" t="s">
        <v>3631</v>
      </c>
      <c r="R19">
        <v>806.47400000000005</v>
      </c>
      <c r="S19">
        <v>0.37096050213646098</v>
      </c>
      <c r="T19" t="s">
        <v>3635</v>
      </c>
      <c r="U19" t="s">
        <v>3633</v>
      </c>
    </row>
    <row r="20" spans="1:21" x14ac:dyDescent="0.25">
      <c r="A20" t="s">
        <v>94</v>
      </c>
      <c r="B20" s="1">
        <v>44940</v>
      </c>
      <c r="C20" t="s">
        <v>95</v>
      </c>
      <c r="D20" t="s">
        <v>30</v>
      </c>
      <c r="E20" t="s">
        <v>31</v>
      </c>
      <c r="F20" t="s">
        <v>19</v>
      </c>
      <c r="G20" t="s">
        <v>42</v>
      </c>
      <c r="H20" t="s">
        <v>64</v>
      </c>
      <c r="I20">
        <v>6</v>
      </c>
      <c r="J20">
        <v>96.58</v>
      </c>
      <c r="K20">
        <v>0</v>
      </c>
      <c r="L20">
        <v>579.48</v>
      </c>
      <c r="M20">
        <v>10.220000000000001</v>
      </c>
      <c r="N20">
        <v>221.57</v>
      </c>
      <c r="O20" t="s">
        <v>34</v>
      </c>
      <c r="P20">
        <v>2023</v>
      </c>
      <c r="Q20" t="s">
        <v>3631</v>
      </c>
      <c r="R20">
        <v>579.48</v>
      </c>
      <c r="S20">
        <v>0.38236004693863501</v>
      </c>
      <c r="T20" t="s">
        <v>3635</v>
      </c>
      <c r="U20" t="s">
        <v>3633</v>
      </c>
    </row>
    <row r="21" spans="1:21" x14ac:dyDescent="0.25">
      <c r="A21" t="s">
        <v>96</v>
      </c>
      <c r="B21" s="1">
        <v>44940</v>
      </c>
      <c r="C21" t="s">
        <v>97</v>
      </c>
      <c r="D21" t="s">
        <v>49</v>
      </c>
      <c r="E21" t="s">
        <v>37</v>
      </c>
      <c r="F21" t="s">
        <v>26</v>
      </c>
      <c r="G21" t="s">
        <v>69</v>
      </c>
      <c r="H21" t="s">
        <v>98</v>
      </c>
      <c r="I21">
        <v>1</v>
      </c>
      <c r="J21">
        <v>27.9</v>
      </c>
      <c r="K21">
        <v>5</v>
      </c>
      <c r="L21">
        <v>26.5</v>
      </c>
      <c r="M21">
        <v>8.93</v>
      </c>
      <c r="N21">
        <v>3.62</v>
      </c>
      <c r="O21" t="s">
        <v>39</v>
      </c>
      <c r="P21">
        <v>2023</v>
      </c>
      <c r="Q21" t="s">
        <v>3631</v>
      </c>
      <c r="R21">
        <v>25.175000000000001</v>
      </c>
      <c r="S21">
        <v>0.14379344587884799</v>
      </c>
      <c r="T21" t="s">
        <v>3634</v>
      </c>
      <c r="U21" t="s">
        <v>3633</v>
      </c>
    </row>
    <row r="22" spans="1:21" x14ac:dyDescent="0.25">
      <c r="A22" t="s">
        <v>99</v>
      </c>
      <c r="B22" s="1">
        <v>44941</v>
      </c>
      <c r="C22" t="s">
        <v>100</v>
      </c>
      <c r="D22" t="s">
        <v>17</v>
      </c>
      <c r="E22" t="s">
        <v>67</v>
      </c>
      <c r="F22" t="s">
        <v>68</v>
      </c>
      <c r="G22" t="s">
        <v>32</v>
      </c>
      <c r="H22" t="s">
        <v>101</v>
      </c>
      <c r="I22">
        <v>5</v>
      </c>
      <c r="J22">
        <v>9.91</v>
      </c>
      <c r="K22">
        <v>25</v>
      </c>
      <c r="L22">
        <v>37.159999999999997</v>
      </c>
      <c r="M22">
        <v>20.73</v>
      </c>
      <c r="N22">
        <v>-5.87</v>
      </c>
      <c r="O22" t="s">
        <v>22</v>
      </c>
      <c r="P22">
        <v>2023</v>
      </c>
      <c r="Q22" t="s">
        <v>3631</v>
      </c>
      <c r="R22">
        <v>27.87</v>
      </c>
      <c r="S22">
        <v>-0.21062073914603499</v>
      </c>
      <c r="T22" t="s">
        <v>3634</v>
      </c>
      <c r="U22" t="s">
        <v>3636</v>
      </c>
    </row>
    <row r="23" spans="1:21" x14ac:dyDescent="0.25">
      <c r="A23" t="s">
        <v>102</v>
      </c>
      <c r="B23" s="1">
        <v>44941</v>
      </c>
      <c r="C23" t="s">
        <v>103</v>
      </c>
      <c r="D23" t="s">
        <v>30</v>
      </c>
      <c r="E23" t="s">
        <v>67</v>
      </c>
      <c r="F23" t="s">
        <v>68</v>
      </c>
      <c r="G23" t="s">
        <v>69</v>
      </c>
      <c r="H23" t="s">
        <v>98</v>
      </c>
      <c r="I23">
        <v>2</v>
      </c>
      <c r="J23">
        <v>47</v>
      </c>
      <c r="K23">
        <v>10</v>
      </c>
      <c r="L23">
        <v>84.6</v>
      </c>
      <c r="M23">
        <v>14.83</v>
      </c>
      <c r="N23">
        <v>22.77</v>
      </c>
      <c r="O23" t="s">
        <v>34</v>
      </c>
      <c r="P23">
        <v>2023</v>
      </c>
      <c r="Q23" t="s">
        <v>3631</v>
      </c>
      <c r="R23">
        <v>76.14</v>
      </c>
      <c r="S23">
        <v>0.299054373522459</v>
      </c>
      <c r="T23" t="s">
        <v>3634</v>
      </c>
      <c r="U23" t="s">
        <v>3633</v>
      </c>
    </row>
    <row r="24" spans="1:21" x14ac:dyDescent="0.25">
      <c r="A24" t="s">
        <v>104</v>
      </c>
      <c r="B24" s="1">
        <v>44943</v>
      </c>
      <c r="C24" t="s">
        <v>105</v>
      </c>
      <c r="D24" t="s">
        <v>49</v>
      </c>
      <c r="E24" t="s">
        <v>18</v>
      </c>
      <c r="F24" t="s">
        <v>19</v>
      </c>
      <c r="G24" t="s">
        <v>20</v>
      </c>
      <c r="H24" t="s">
        <v>106</v>
      </c>
      <c r="I24">
        <v>2</v>
      </c>
      <c r="J24">
        <v>32.909999999999997</v>
      </c>
      <c r="K24">
        <v>0</v>
      </c>
      <c r="L24">
        <v>65.819999999999993</v>
      </c>
      <c r="M24">
        <v>7.55</v>
      </c>
      <c r="N24">
        <v>22.07</v>
      </c>
      <c r="O24" t="s">
        <v>39</v>
      </c>
      <c r="P24">
        <v>2023</v>
      </c>
      <c r="Q24" t="s">
        <v>3631</v>
      </c>
      <c r="R24">
        <v>65.819999999999993</v>
      </c>
      <c r="S24">
        <v>0.33530841689456098</v>
      </c>
      <c r="T24" t="s">
        <v>3634</v>
      </c>
      <c r="U24" t="s">
        <v>3633</v>
      </c>
    </row>
    <row r="25" spans="1:21" x14ac:dyDescent="0.25">
      <c r="A25" t="s">
        <v>107</v>
      </c>
      <c r="B25" s="1">
        <v>44943</v>
      </c>
      <c r="C25" t="s">
        <v>108</v>
      </c>
      <c r="D25" t="s">
        <v>17</v>
      </c>
      <c r="E25" t="s">
        <v>109</v>
      </c>
      <c r="F25" t="s">
        <v>54</v>
      </c>
      <c r="G25" t="s">
        <v>32</v>
      </c>
      <c r="H25" t="s">
        <v>110</v>
      </c>
      <c r="I25">
        <v>2</v>
      </c>
      <c r="J25">
        <v>11.41</v>
      </c>
      <c r="K25">
        <v>5</v>
      </c>
      <c r="L25">
        <v>21.68</v>
      </c>
      <c r="M25">
        <v>15.26</v>
      </c>
      <c r="N25">
        <v>-3.85</v>
      </c>
      <c r="O25" t="s">
        <v>56</v>
      </c>
      <c r="P25">
        <v>2023</v>
      </c>
      <c r="Q25" t="s">
        <v>3631</v>
      </c>
      <c r="R25">
        <v>20.596</v>
      </c>
      <c r="S25">
        <v>-0.18692950087395599</v>
      </c>
      <c r="T25" t="s">
        <v>3634</v>
      </c>
      <c r="U25" t="s">
        <v>3636</v>
      </c>
    </row>
    <row r="26" spans="1:21" x14ac:dyDescent="0.25">
      <c r="A26" t="s">
        <v>111</v>
      </c>
      <c r="B26" s="1">
        <v>44944</v>
      </c>
      <c r="C26" t="s">
        <v>112</v>
      </c>
      <c r="D26" t="s">
        <v>30</v>
      </c>
      <c r="E26" t="s">
        <v>31</v>
      </c>
      <c r="F26" t="s">
        <v>19</v>
      </c>
      <c r="G26" t="s">
        <v>42</v>
      </c>
      <c r="H26" t="s">
        <v>43</v>
      </c>
      <c r="I26">
        <v>5</v>
      </c>
      <c r="J26">
        <v>333.59</v>
      </c>
      <c r="K26">
        <v>10</v>
      </c>
      <c r="L26">
        <v>1501.15</v>
      </c>
      <c r="M26">
        <v>9.02</v>
      </c>
      <c r="N26">
        <v>491.36</v>
      </c>
      <c r="O26" t="s">
        <v>34</v>
      </c>
      <c r="P26">
        <v>2023</v>
      </c>
      <c r="Q26" t="s">
        <v>3631</v>
      </c>
      <c r="R26">
        <v>1351.0350000000001</v>
      </c>
      <c r="S26">
        <v>0.36369154018955802</v>
      </c>
      <c r="T26" t="s">
        <v>3635</v>
      </c>
      <c r="U26" t="s">
        <v>3633</v>
      </c>
    </row>
    <row r="27" spans="1:21" x14ac:dyDescent="0.25">
      <c r="A27" t="s">
        <v>113</v>
      </c>
      <c r="B27" s="1">
        <v>44946</v>
      </c>
      <c r="C27" t="s">
        <v>114</v>
      </c>
      <c r="D27" t="s">
        <v>30</v>
      </c>
      <c r="E27" t="s">
        <v>109</v>
      </c>
      <c r="F27" t="s">
        <v>54</v>
      </c>
      <c r="G27" t="s">
        <v>32</v>
      </c>
      <c r="H27" t="s">
        <v>115</v>
      </c>
      <c r="I27">
        <v>7</v>
      </c>
      <c r="J27">
        <v>10.6</v>
      </c>
      <c r="K27">
        <v>20</v>
      </c>
      <c r="L27">
        <v>59.36</v>
      </c>
      <c r="M27">
        <v>18.260000000000002</v>
      </c>
      <c r="N27">
        <v>7.71</v>
      </c>
      <c r="O27" t="s">
        <v>56</v>
      </c>
      <c r="P27">
        <v>2023</v>
      </c>
      <c r="Q27" t="s">
        <v>3631</v>
      </c>
      <c r="R27">
        <v>47.488</v>
      </c>
      <c r="S27">
        <v>0.162356805929919</v>
      </c>
      <c r="T27" t="s">
        <v>3634</v>
      </c>
      <c r="U27" t="s">
        <v>3633</v>
      </c>
    </row>
    <row r="28" spans="1:21" x14ac:dyDescent="0.25">
      <c r="A28" t="s">
        <v>116</v>
      </c>
      <c r="B28" s="1">
        <v>44946</v>
      </c>
      <c r="C28" t="s">
        <v>117</v>
      </c>
      <c r="D28" t="s">
        <v>49</v>
      </c>
      <c r="E28" t="s">
        <v>92</v>
      </c>
      <c r="F28" t="s">
        <v>60</v>
      </c>
      <c r="G28" t="s">
        <v>42</v>
      </c>
      <c r="H28" t="s">
        <v>118</v>
      </c>
      <c r="I28">
        <v>2</v>
      </c>
      <c r="J28">
        <v>67.38</v>
      </c>
      <c r="K28">
        <v>5</v>
      </c>
      <c r="L28">
        <v>128.02000000000001</v>
      </c>
      <c r="M28">
        <v>11</v>
      </c>
      <c r="N28">
        <v>36.159999999999997</v>
      </c>
      <c r="O28" t="s">
        <v>22</v>
      </c>
      <c r="P28">
        <v>2023</v>
      </c>
      <c r="Q28" t="s">
        <v>3631</v>
      </c>
      <c r="R28">
        <v>121.619</v>
      </c>
      <c r="S28">
        <v>0.29732196449567899</v>
      </c>
      <c r="T28" t="s">
        <v>3632</v>
      </c>
      <c r="U28" t="s">
        <v>3633</v>
      </c>
    </row>
    <row r="29" spans="1:21" x14ac:dyDescent="0.25">
      <c r="A29" t="s">
        <v>119</v>
      </c>
      <c r="B29" s="1">
        <v>44946</v>
      </c>
      <c r="C29" t="s">
        <v>120</v>
      </c>
      <c r="D29" t="s">
        <v>30</v>
      </c>
      <c r="E29" t="s">
        <v>121</v>
      </c>
      <c r="F29" t="s">
        <v>68</v>
      </c>
      <c r="G29" t="s">
        <v>20</v>
      </c>
      <c r="H29" t="s">
        <v>122</v>
      </c>
      <c r="I29">
        <v>4</v>
      </c>
      <c r="J29">
        <v>121.25</v>
      </c>
      <c r="K29">
        <v>0</v>
      </c>
      <c r="L29">
        <v>485</v>
      </c>
      <c r="M29">
        <v>18.53</v>
      </c>
      <c r="N29">
        <v>199.72</v>
      </c>
      <c r="O29" t="s">
        <v>39</v>
      </c>
      <c r="P29">
        <v>2023</v>
      </c>
      <c r="Q29" t="s">
        <v>3631</v>
      </c>
      <c r="R29">
        <v>485</v>
      </c>
      <c r="S29">
        <v>0.41179381443299001</v>
      </c>
      <c r="T29" t="s">
        <v>3632</v>
      </c>
      <c r="U29" t="s">
        <v>3633</v>
      </c>
    </row>
    <row r="30" spans="1:21" x14ac:dyDescent="0.25">
      <c r="A30" t="s">
        <v>123</v>
      </c>
      <c r="B30" s="1">
        <v>44946</v>
      </c>
      <c r="C30" t="s">
        <v>124</v>
      </c>
      <c r="D30" t="s">
        <v>49</v>
      </c>
      <c r="E30" t="s">
        <v>85</v>
      </c>
      <c r="F30" t="s">
        <v>60</v>
      </c>
      <c r="G30" t="s">
        <v>32</v>
      </c>
      <c r="H30" t="s">
        <v>101</v>
      </c>
      <c r="I30">
        <v>4</v>
      </c>
      <c r="J30">
        <v>19.920000000000002</v>
      </c>
      <c r="K30">
        <v>0</v>
      </c>
      <c r="L30">
        <v>79.680000000000007</v>
      </c>
      <c r="M30">
        <v>16.010000000000002</v>
      </c>
      <c r="N30">
        <v>27.81</v>
      </c>
      <c r="O30" t="s">
        <v>22</v>
      </c>
      <c r="P30">
        <v>2023</v>
      </c>
      <c r="Q30" t="s">
        <v>3631</v>
      </c>
      <c r="R30">
        <v>79.680000000000007</v>
      </c>
      <c r="S30">
        <v>0.34902108433734902</v>
      </c>
      <c r="T30" t="s">
        <v>3634</v>
      </c>
      <c r="U30" t="s">
        <v>3633</v>
      </c>
    </row>
    <row r="31" spans="1:21" x14ac:dyDescent="0.25">
      <c r="A31" t="s">
        <v>125</v>
      </c>
      <c r="B31" s="1">
        <v>44948</v>
      </c>
      <c r="C31" t="s">
        <v>126</v>
      </c>
      <c r="D31" t="s">
        <v>30</v>
      </c>
      <c r="E31" t="s">
        <v>59</v>
      </c>
      <c r="F31" t="s">
        <v>60</v>
      </c>
      <c r="G31" t="s">
        <v>20</v>
      </c>
      <c r="H31" t="s">
        <v>106</v>
      </c>
      <c r="I31">
        <v>3</v>
      </c>
      <c r="J31">
        <v>34.979999999999997</v>
      </c>
      <c r="K31">
        <v>5</v>
      </c>
      <c r="L31">
        <v>99.69</v>
      </c>
      <c r="M31">
        <v>14.67</v>
      </c>
      <c r="N31">
        <v>27.3</v>
      </c>
      <c r="O31" t="s">
        <v>34</v>
      </c>
      <c r="P31">
        <v>2023</v>
      </c>
      <c r="Q31" t="s">
        <v>3631</v>
      </c>
      <c r="R31">
        <v>94.705500000000001</v>
      </c>
      <c r="S31">
        <v>0.28826203335603501</v>
      </c>
      <c r="T31" t="s">
        <v>3634</v>
      </c>
      <c r="U31" t="s">
        <v>3633</v>
      </c>
    </row>
    <row r="32" spans="1:21" x14ac:dyDescent="0.25">
      <c r="A32" t="s">
        <v>127</v>
      </c>
      <c r="B32" s="1">
        <v>44949</v>
      </c>
      <c r="C32" t="s">
        <v>128</v>
      </c>
      <c r="D32" t="s">
        <v>30</v>
      </c>
      <c r="E32" t="s">
        <v>129</v>
      </c>
      <c r="F32" t="s">
        <v>19</v>
      </c>
      <c r="G32" t="s">
        <v>42</v>
      </c>
      <c r="H32" t="s">
        <v>118</v>
      </c>
      <c r="I32">
        <v>4</v>
      </c>
      <c r="J32">
        <v>37.18</v>
      </c>
      <c r="K32">
        <v>5</v>
      </c>
      <c r="L32">
        <v>141.28</v>
      </c>
      <c r="M32">
        <v>12.28</v>
      </c>
      <c r="N32">
        <v>39.770000000000003</v>
      </c>
      <c r="O32" t="s">
        <v>34</v>
      </c>
      <c r="P32">
        <v>2023</v>
      </c>
      <c r="Q32" t="s">
        <v>3631</v>
      </c>
      <c r="R32">
        <v>134.21600000000001</v>
      </c>
      <c r="S32">
        <v>0.29631340525719702</v>
      </c>
      <c r="T32" t="s">
        <v>3632</v>
      </c>
      <c r="U32" t="s">
        <v>3633</v>
      </c>
    </row>
    <row r="33" spans="1:21" x14ac:dyDescent="0.25">
      <c r="A33" t="s">
        <v>130</v>
      </c>
      <c r="B33" s="1">
        <v>44949</v>
      </c>
      <c r="C33" t="s">
        <v>131</v>
      </c>
      <c r="D33" t="s">
        <v>30</v>
      </c>
      <c r="E33" t="s">
        <v>76</v>
      </c>
      <c r="F33" t="s">
        <v>26</v>
      </c>
      <c r="G33" t="s">
        <v>32</v>
      </c>
      <c r="H33" t="s">
        <v>132</v>
      </c>
      <c r="I33">
        <v>1</v>
      </c>
      <c r="J33">
        <v>8.5399999999999991</v>
      </c>
      <c r="K33">
        <v>15</v>
      </c>
      <c r="L33">
        <v>7.26</v>
      </c>
      <c r="M33">
        <v>7.97</v>
      </c>
      <c r="N33">
        <v>-4.55</v>
      </c>
      <c r="O33" t="s">
        <v>34</v>
      </c>
      <c r="P33">
        <v>2023</v>
      </c>
      <c r="Q33" t="s">
        <v>3631</v>
      </c>
      <c r="R33">
        <v>6.1710000000000003</v>
      </c>
      <c r="S33">
        <v>-0.73731972127694001</v>
      </c>
      <c r="T33" t="s">
        <v>3634</v>
      </c>
      <c r="U33" t="s">
        <v>3636</v>
      </c>
    </row>
    <row r="34" spans="1:21" x14ac:dyDescent="0.25">
      <c r="A34" t="s">
        <v>133</v>
      </c>
      <c r="B34" s="1">
        <v>44950</v>
      </c>
      <c r="C34" t="s">
        <v>134</v>
      </c>
      <c r="D34" t="s">
        <v>30</v>
      </c>
      <c r="E34" t="s">
        <v>135</v>
      </c>
      <c r="F34" t="s">
        <v>26</v>
      </c>
      <c r="G34" t="s">
        <v>32</v>
      </c>
      <c r="H34" t="s">
        <v>73</v>
      </c>
      <c r="I34">
        <v>2</v>
      </c>
      <c r="J34">
        <v>8.5299999999999994</v>
      </c>
      <c r="K34">
        <v>5</v>
      </c>
      <c r="L34">
        <v>16.21</v>
      </c>
      <c r="M34">
        <v>9.3000000000000007</v>
      </c>
      <c r="N34">
        <v>-0.77</v>
      </c>
      <c r="O34" t="s">
        <v>34</v>
      </c>
      <c r="P34">
        <v>2023</v>
      </c>
      <c r="Q34" t="s">
        <v>3631</v>
      </c>
      <c r="R34">
        <v>15.3995</v>
      </c>
      <c r="S34">
        <v>-5.00016234293321E-2</v>
      </c>
      <c r="T34" t="s">
        <v>3634</v>
      </c>
      <c r="U34" t="s">
        <v>3636</v>
      </c>
    </row>
    <row r="35" spans="1:21" x14ac:dyDescent="0.25">
      <c r="A35" t="s">
        <v>136</v>
      </c>
      <c r="B35" s="1">
        <v>44950</v>
      </c>
      <c r="C35" t="s">
        <v>137</v>
      </c>
      <c r="D35" t="s">
        <v>49</v>
      </c>
      <c r="E35" t="s">
        <v>138</v>
      </c>
      <c r="F35" t="s">
        <v>54</v>
      </c>
      <c r="G35" t="s">
        <v>69</v>
      </c>
      <c r="H35" t="s">
        <v>139</v>
      </c>
      <c r="I35">
        <v>4</v>
      </c>
      <c r="J35">
        <v>57.87</v>
      </c>
      <c r="K35">
        <v>20</v>
      </c>
      <c r="L35">
        <v>185.18</v>
      </c>
      <c r="M35">
        <v>13.88</v>
      </c>
      <c r="N35">
        <v>55.56</v>
      </c>
      <c r="O35" t="s">
        <v>39</v>
      </c>
      <c r="P35">
        <v>2023</v>
      </c>
      <c r="Q35" t="s">
        <v>3631</v>
      </c>
      <c r="R35">
        <v>148.14400000000001</v>
      </c>
      <c r="S35">
        <v>0.37504050113403198</v>
      </c>
      <c r="T35" t="s">
        <v>3632</v>
      </c>
      <c r="U35" t="s">
        <v>3633</v>
      </c>
    </row>
    <row r="36" spans="1:21" x14ac:dyDescent="0.25">
      <c r="A36" t="s">
        <v>140</v>
      </c>
      <c r="B36" s="1">
        <v>44951</v>
      </c>
      <c r="C36" t="s">
        <v>141</v>
      </c>
      <c r="D36" t="s">
        <v>17</v>
      </c>
      <c r="E36" t="s">
        <v>37</v>
      </c>
      <c r="F36" t="s">
        <v>26</v>
      </c>
      <c r="G36" t="s">
        <v>32</v>
      </c>
      <c r="H36" t="s">
        <v>101</v>
      </c>
      <c r="I36">
        <v>8</v>
      </c>
      <c r="J36">
        <v>15.41</v>
      </c>
      <c r="K36">
        <v>10</v>
      </c>
      <c r="L36">
        <v>110.95</v>
      </c>
      <c r="M36">
        <v>21.9</v>
      </c>
      <c r="N36">
        <v>33.57</v>
      </c>
      <c r="O36" t="s">
        <v>39</v>
      </c>
      <c r="P36">
        <v>2023</v>
      </c>
      <c r="Q36" t="s">
        <v>3631</v>
      </c>
      <c r="R36">
        <v>99.855000000000004</v>
      </c>
      <c r="S36">
        <v>0.33618747183415998</v>
      </c>
      <c r="T36" t="s">
        <v>3632</v>
      </c>
      <c r="U36" t="s">
        <v>3633</v>
      </c>
    </row>
    <row r="37" spans="1:21" x14ac:dyDescent="0.25">
      <c r="A37" t="s">
        <v>142</v>
      </c>
      <c r="B37" s="1">
        <v>44952</v>
      </c>
      <c r="C37" t="s">
        <v>143</v>
      </c>
      <c r="D37" t="s">
        <v>30</v>
      </c>
      <c r="E37" t="s">
        <v>18</v>
      </c>
      <c r="F37" t="s">
        <v>19</v>
      </c>
      <c r="G37" t="s">
        <v>20</v>
      </c>
      <c r="H37" t="s">
        <v>27</v>
      </c>
      <c r="I37">
        <v>1</v>
      </c>
      <c r="J37">
        <v>167.57</v>
      </c>
      <c r="K37">
        <v>5</v>
      </c>
      <c r="L37">
        <v>159.19</v>
      </c>
      <c r="M37">
        <v>6.21</v>
      </c>
      <c r="N37">
        <v>60.82</v>
      </c>
      <c r="O37" t="s">
        <v>39</v>
      </c>
      <c r="P37">
        <v>2023</v>
      </c>
      <c r="Q37" t="s">
        <v>3631</v>
      </c>
      <c r="R37">
        <v>151.23050000000001</v>
      </c>
      <c r="S37">
        <v>0.402167552180281</v>
      </c>
      <c r="T37" t="s">
        <v>3632</v>
      </c>
      <c r="U37" t="s">
        <v>3633</v>
      </c>
    </row>
    <row r="38" spans="1:21" x14ac:dyDescent="0.25">
      <c r="A38" t="s">
        <v>144</v>
      </c>
      <c r="B38" s="1">
        <v>44953</v>
      </c>
      <c r="C38" t="s">
        <v>145</v>
      </c>
      <c r="D38" t="s">
        <v>30</v>
      </c>
      <c r="E38" t="s">
        <v>63</v>
      </c>
      <c r="F38" t="s">
        <v>54</v>
      </c>
      <c r="G38" t="s">
        <v>42</v>
      </c>
      <c r="H38" t="s">
        <v>93</v>
      </c>
      <c r="I38">
        <v>2</v>
      </c>
      <c r="J38">
        <v>212.13</v>
      </c>
      <c r="K38">
        <v>0</v>
      </c>
      <c r="L38">
        <v>424.26</v>
      </c>
      <c r="M38">
        <v>14.72</v>
      </c>
      <c r="N38">
        <v>154.97999999999999</v>
      </c>
      <c r="O38" t="s">
        <v>22</v>
      </c>
      <c r="P38">
        <v>2023</v>
      </c>
      <c r="Q38" t="s">
        <v>3631</v>
      </c>
      <c r="R38">
        <v>424.26</v>
      </c>
      <c r="S38">
        <v>0.36529486635553698</v>
      </c>
      <c r="T38" t="s">
        <v>3632</v>
      </c>
      <c r="U38" t="s">
        <v>3633</v>
      </c>
    </row>
    <row r="39" spans="1:21" x14ac:dyDescent="0.25">
      <c r="A39" t="s">
        <v>146</v>
      </c>
      <c r="B39" s="1">
        <v>44954</v>
      </c>
      <c r="C39" t="s">
        <v>147</v>
      </c>
      <c r="D39" t="s">
        <v>17</v>
      </c>
      <c r="E39" t="s">
        <v>148</v>
      </c>
      <c r="F39" t="s">
        <v>60</v>
      </c>
      <c r="G39" t="s">
        <v>32</v>
      </c>
      <c r="H39" t="s">
        <v>149</v>
      </c>
      <c r="I39">
        <v>5</v>
      </c>
      <c r="J39">
        <v>9.02</v>
      </c>
      <c r="K39">
        <v>15</v>
      </c>
      <c r="L39">
        <v>38.33</v>
      </c>
      <c r="M39">
        <v>17.7</v>
      </c>
      <c r="N39">
        <v>0.34</v>
      </c>
      <c r="O39" t="s">
        <v>34</v>
      </c>
      <c r="P39">
        <v>2023</v>
      </c>
      <c r="Q39" t="s">
        <v>3631</v>
      </c>
      <c r="R39">
        <v>32.580500000000001</v>
      </c>
      <c r="S39">
        <v>1.04356900600052E-2</v>
      </c>
      <c r="T39" t="s">
        <v>3634</v>
      </c>
      <c r="U39" t="s">
        <v>3633</v>
      </c>
    </row>
    <row r="40" spans="1:21" x14ac:dyDescent="0.25">
      <c r="A40" t="s">
        <v>150</v>
      </c>
      <c r="B40" s="1">
        <v>44954</v>
      </c>
      <c r="C40" t="s">
        <v>151</v>
      </c>
      <c r="D40" t="s">
        <v>30</v>
      </c>
      <c r="E40" t="s">
        <v>31</v>
      </c>
      <c r="F40" t="s">
        <v>19</v>
      </c>
      <c r="G40" t="s">
        <v>20</v>
      </c>
      <c r="H40" t="s">
        <v>38</v>
      </c>
      <c r="I40">
        <v>3</v>
      </c>
      <c r="J40">
        <v>55.78</v>
      </c>
      <c r="K40">
        <v>0</v>
      </c>
      <c r="L40">
        <v>167.34</v>
      </c>
      <c r="M40">
        <v>9.3800000000000008</v>
      </c>
      <c r="N40">
        <v>65.92</v>
      </c>
      <c r="O40" t="s">
        <v>34</v>
      </c>
      <c r="P40">
        <v>2023</v>
      </c>
      <c r="Q40" t="s">
        <v>3631</v>
      </c>
      <c r="R40">
        <v>167.34</v>
      </c>
      <c r="S40">
        <v>0.39392852874387502</v>
      </c>
      <c r="T40" t="s">
        <v>3632</v>
      </c>
      <c r="U40" t="s">
        <v>3633</v>
      </c>
    </row>
    <row r="41" spans="1:21" x14ac:dyDescent="0.25">
      <c r="A41" t="s">
        <v>152</v>
      </c>
      <c r="B41" s="1">
        <v>44954</v>
      </c>
      <c r="C41" t="s">
        <v>153</v>
      </c>
      <c r="D41" t="s">
        <v>30</v>
      </c>
      <c r="E41" t="s">
        <v>76</v>
      </c>
      <c r="F41" t="s">
        <v>26</v>
      </c>
      <c r="G41" t="s">
        <v>32</v>
      </c>
      <c r="H41" t="s">
        <v>50</v>
      </c>
      <c r="I41">
        <v>5</v>
      </c>
      <c r="J41">
        <v>10.25</v>
      </c>
      <c r="K41">
        <v>0</v>
      </c>
      <c r="L41">
        <v>51.25</v>
      </c>
      <c r="M41">
        <v>18.89</v>
      </c>
      <c r="N41">
        <v>9.3000000000000007</v>
      </c>
      <c r="O41" t="s">
        <v>39</v>
      </c>
      <c r="P41">
        <v>2023</v>
      </c>
      <c r="Q41" t="s">
        <v>3631</v>
      </c>
      <c r="R41">
        <v>51.25</v>
      </c>
      <c r="S41">
        <v>0.181463414634146</v>
      </c>
      <c r="T41" t="s">
        <v>3634</v>
      </c>
      <c r="U41" t="s">
        <v>3633</v>
      </c>
    </row>
    <row r="42" spans="1:21" x14ac:dyDescent="0.25">
      <c r="A42" t="s">
        <v>154</v>
      </c>
      <c r="B42" s="1">
        <v>44955</v>
      </c>
      <c r="C42" t="s">
        <v>155</v>
      </c>
      <c r="D42" t="s">
        <v>49</v>
      </c>
      <c r="E42" t="s">
        <v>121</v>
      </c>
      <c r="F42" t="s">
        <v>68</v>
      </c>
      <c r="G42" t="s">
        <v>69</v>
      </c>
      <c r="H42" t="s">
        <v>139</v>
      </c>
      <c r="I42">
        <v>1</v>
      </c>
      <c r="J42">
        <v>54.25</v>
      </c>
      <c r="K42">
        <v>0</v>
      </c>
      <c r="L42">
        <v>54.25</v>
      </c>
      <c r="M42">
        <v>11.58</v>
      </c>
      <c r="N42">
        <v>15.54</v>
      </c>
      <c r="O42" t="s">
        <v>34</v>
      </c>
      <c r="P42">
        <v>2023</v>
      </c>
      <c r="Q42" t="s">
        <v>3631</v>
      </c>
      <c r="R42">
        <v>54.25</v>
      </c>
      <c r="S42">
        <v>0.28645161290322602</v>
      </c>
      <c r="T42" t="s">
        <v>3634</v>
      </c>
      <c r="U42" t="s">
        <v>3633</v>
      </c>
    </row>
    <row r="43" spans="1:21" x14ac:dyDescent="0.25">
      <c r="A43" t="s">
        <v>156</v>
      </c>
      <c r="B43" s="1">
        <v>44956</v>
      </c>
      <c r="C43" t="s">
        <v>157</v>
      </c>
      <c r="D43" t="s">
        <v>30</v>
      </c>
      <c r="E43" t="s">
        <v>129</v>
      </c>
      <c r="F43" t="s">
        <v>19</v>
      </c>
      <c r="G43" t="s">
        <v>32</v>
      </c>
      <c r="H43" t="s">
        <v>132</v>
      </c>
      <c r="I43">
        <v>4</v>
      </c>
      <c r="J43">
        <v>16.61</v>
      </c>
      <c r="K43">
        <v>5</v>
      </c>
      <c r="L43">
        <v>63.12</v>
      </c>
      <c r="M43">
        <v>8.4</v>
      </c>
      <c r="N43">
        <v>24.82</v>
      </c>
      <c r="O43" t="s">
        <v>56</v>
      </c>
      <c r="P43">
        <v>2023</v>
      </c>
      <c r="Q43" t="s">
        <v>3631</v>
      </c>
      <c r="R43">
        <v>59.963999999999999</v>
      </c>
      <c r="S43">
        <v>0.41391501567607197</v>
      </c>
      <c r="T43" t="s">
        <v>3634</v>
      </c>
      <c r="U43" t="s">
        <v>3633</v>
      </c>
    </row>
    <row r="44" spans="1:21" x14ac:dyDescent="0.25">
      <c r="A44" t="s">
        <v>158</v>
      </c>
      <c r="B44" s="1">
        <v>44957</v>
      </c>
      <c r="C44" t="s">
        <v>159</v>
      </c>
      <c r="D44" t="s">
        <v>49</v>
      </c>
      <c r="E44" t="s">
        <v>85</v>
      </c>
      <c r="F44" t="s">
        <v>60</v>
      </c>
      <c r="G44" t="s">
        <v>69</v>
      </c>
      <c r="H44" t="s">
        <v>160</v>
      </c>
      <c r="I44">
        <v>3</v>
      </c>
      <c r="J44">
        <v>18.32</v>
      </c>
      <c r="K44">
        <v>0</v>
      </c>
      <c r="L44">
        <v>54.96</v>
      </c>
      <c r="M44">
        <v>12.91</v>
      </c>
      <c r="N44">
        <v>14.57</v>
      </c>
      <c r="O44" t="s">
        <v>34</v>
      </c>
      <c r="P44">
        <v>2023</v>
      </c>
      <c r="Q44" t="s">
        <v>3631</v>
      </c>
      <c r="R44">
        <v>54.96</v>
      </c>
      <c r="S44">
        <v>0.26510189228529801</v>
      </c>
      <c r="T44" t="s">
        <v>3634</v>
      </c>
      <c r="U44" t="s">
        <v>3633</v>
      </c>
    </row>
    <row r="45" spans="1:21" x14ac:dyDescent="0.25">
      <c r="A45" t="s">
        <v>161</v>
      </c>
      <c r="B45" s="1">
        <v>44957</v>
      </c>
      <c r="C45" t="s">
        <v>162</v>
      </c>
      <c r="D45" t="s">
        <v>30</v>
      </c>
      <c r="E45" t="s">
        <v>18</v>
      </c>
      <c r="F45" t="s">
        <v>19</v>
      </c>
      <c r="G45" t="s">
        <v>69</v>
      </c>
      <c r="H45" t="s">
        <v>163</v>
      </c>
      <c r="I45">
        <v>4</v>
      </c>
      <c r="J45">
        <v>53.6</v>
      </c>
      <c r="K45">
        <v>0</v>
      </c>
      <c r="L45">
        <v>214.4</v>
      </c>
      <c r="M45">
        <v>8.52</v>
      </c>
      <c r="N45">
        <v>98.68</v>
      </c>
      <c r="O45" t="s">
        <v>39</v>
      </c>
      <c r="P45">
        <v>2023</v>
      </c>
      <c r="Q45" t="s">
        <v>3631</v>
      </c>
      <c r="R45">
        <v>214.4</v>
      </c>
      <c r="S45">
        <v>0.460261194029851</v>
      </c>
      <c r="T45" t="s">
        <v>3632</v>
      </c>
      <c r="U45" t="s">
        <v>3633</v>
      </c>
    </row>
    <row r="46" spans="1:21" x14ac:dyDescent="0.25">
      <c r="A46" t="s">
        <v>164</v>
      </c>
      <c r="B46" s="1">
        <v>44957</v>
      </c>
      <c r="C46" t="s">
        <v>165</v>
      </c>
      <c r="D46" t="s">
        <v>49</v>
      </c>
      <c r="E46" t="s">
        <v>166</v>
      </c>
      <c r="F46" t="s">
        <v>60</v>
      </c>
      <c r="G46" t="s">
        <v>42</v>
      </c>
      <c r="H46" t="s">
        <v>89</v>
      </c>
      <c r="I46">
        <v>4</v>
      </c>
      <c r="J46">
        <v>429.23</v>
      </c>
      <c r="K46">
        <v>5</v>
      </c>
      <c r="L46">
        <v>1631.07</v>
      </c>
      <c r="M46">
        <v>12.2</v>
      </c>
      <c r="N46">
        <v>588.72</v>
      </c>
      <c r="O46" t="s">
        <v>34</v>
      </c>
      <c r="P46">
        <v>2023</v>
      </c>
      <c r="Q46" t="s">
        <v>3631</v>
      </c>
      <c r="R46">
        <v>1549.5165</v>
      </c>
      <c r="S46">
        <v>0.37993787094232301</v>
      </c>
      <c r="T46" t="s">
        <v>3635</v>
      </c>
      <c r="U46" t="s">
        <v>3633</v>
      </c>
    </row>
    <row r="47" spans="1:21" x14ac:dyDescent="0.25">
      <c r="A47" t="s">
        <v>167</v>
      </c>
      <c r="B47" s="1">
        <v>44957</v>
      </c>
      <c r="C47" t="s">
        <v>168</v>
      </c>
      <c r="D47" t="s">
        <v>17</v>
      </c>
      <c r="E47" t="s">
        <v>169</v>
      </c>
      <c r="F47" t="s">
        <v>68</v>
      </c>
      <c r="G47" t="s">
        <v>20</v>
      </c>
      <c r="H47" t="s">
        <v>170</v>
      </c>
      <c r="I47">
        <v>2</v>
      </c>
      <c r="J47">
        <v>28.99</v>
      </c>
      <c r="K47">
        <v>10</v>
      </c>
      <c r="L47">
        <v>52.18</v>
      </c>
      <c r="M47">
        <v>12.7</v>
      </c>
      <c r="N47">
        <v>7.59</v>
      </c>
      <c r="O47" t="s">
        <v>34</v>
      </c>
      <c r="P47">
        <v>2023</v>
      </c>
      <c r="Q47" t="s">
        <v>3631</v>
      </c>
      <c r="R47">
        <v>46.962000000000003</v>
      </c>
      <c r="S47">
        <v>0.161620033218347</v>
      </c>
      <c r="T47" t="s">
        <v>3634</v>
      </c>
      <c r="U47" t="s">
        <v>3633</v>
      </c>
    </row>
    <row r="48" spans="1:21" x14ac:dyDescent="0.25">
      <c r="A48" t="s">
        <v>171</v>
      </c>
      <c r="B48" s="1">
        <v>44957</v>
      </c>
      <c r="C48" t="s">
        <v>172</v>
      </c>
      <c r="D48" t="s">
        <v>17</v>
      </c>
      <c r="E48" t="s">
        <v>53</v>
      </c>
      <c r="F48" t="s">
        <v>54</v>
      </c>
      <c r="G48" t="s">
        <v>32</v>
      </c>
      <c r="H48" t="s">
        <v>33</v>
      </c>
      <c r="I48">
        <v>3</v>
      </c>
      <c r="J48">
        <v>8.65</v>
      </c>
      <c r="K48">
        <v>5</v>
      </c>
      <c r="L48">
        <v>24.65</v>
      </c>
      <c r="M48">
        <v>17.04</v>
      </c>
      <c r="N48">
        <v>-4.07</v>
      </c>
      <c r="O48" t="s">
        <v>34</v>
      </c>
      <c r="P48">
        <v>2023</v>
      </c>
      <c r="Q48" t="s">
        <v>3631</v>
      </c>
      <c r="R48">
        <v>23.4175</v>
      </c>
      <c r="S48">
        <v>-0.17380164406960599</v>
      </c>
      <c r="T48" t="s">
        <v>3634</v>
      </c>
      <c r="U48" t="s">
        <v>3636</v>
      </c>
    </row>
    <row r="49" spans="1:21" x14ac:dyDescent="0.25">
      <c r="A49" t="s">
        <v>173</v>
      </c>
      <c r="B49" s="1">
        <v>44958</v>
      </c>
      <c r="C49" t="s">
        <v>174</v>
      </c>
      <c r="D49" t="s">
        <v>30</v>
      </c>
      <c r="E49" t="s">
        <v>129</v>
      </c>
      <c r="F49" t="s">
        <v>19</v>
      </c>
      <c r="G49" t="s">
        <v>20</v>
      </c>
      <c r="H49" t="s">
        <v>175</v>
      </c>
      <c r="I49">
        <v>3</v>
      </c>
      <c r="J49">
        <v>19.940000000000001</v>
      </c>
      <c r="K49">
        <v>0</v>
      </c>
      <c r="L49">
        <v>59.82</v>
      </c>
      <c r="M49">
        <v>8.61</v>
      </c>
      <c r="N49">
        <v>18.309999999999999</v>
      </c>
      <c r="O49" t="s">
        <v>56</v>
      </c>
      <c r="P49">
        <v>2023</v>
      </c>
      <c r="Q49" t="s">
        <v>3637</v>
      </c>
      <c r="R49">
        <v>59.82</v>
      </c>
      <c r="S49">
        <v>0.30608492143096</v>
      </c>
      <c r="T49" t="s">
        <v>3634</v>
      </c>
      <c r="U49" t="s">
        <v>3633</v>
      </c>
    </row>
    <row r="50" spans="1:21" x14ac:dyDescent="0.25">
      <c r="A50" t="s">
        <v>176</v>
      </c>
      <c r="B50" s="1">
        <v>44959</v>
      </c>
      <c r="C50" t="s">
        <v>177</v>
      </c>
      <c r="D50" t="s">
        <v>17</v>
      </c>
      <c r="E50" t="s">
        <v>37</v>
      </c>
      <c r="F50" t="s">
        <v>26</v>
      </c>
      <c r="G50" t="s">
        <v>20</v>
      </c>
      <c r="H50" t="s">
        <v>38</v>
      </c>
      <c r="I50">
        <v>6</v>
      </c>
      <c r="J50">
        <v>32.72</v>
      </c>
      <c r="K50">
        <v>5</v>
      </c>
      <c r="L50">
        <v>186.5</v>
      </c>
      <c r="M50">
        <v>10.11</v>
      </c>
      <c r="N50">
        <v>68.41</v>
      </c>
      <c r="O50" t="s">
        <v>39</v>
      </c>
      <c r="P50">
        <v>2023</v>
      </c>
      <c r="Q50" t="s">
        <v>3637</v>
      </c>
      <c r="R50">
        <v>177.17500000000001</v>
      </c>
      <c r="S50">
        <v>0.386115422604769</v>
      </c>
      <c r="T50" t="s">
        <v>3632</v>
      </c>
      <c r="U50" t="s">
        <v>3633</v>
      </c>
    </row>
    <row r="51" spans="1:21" x14ac:dyDescent="0.25">
      <c r="A51" t="s">
        <v>178</v>
      </c>
      <c r="B51" s="1">
        <v>44960</v>
      </c>
      <c r="C51" t="s">
        <v>179</v>
      </c>
      <c r="D51" t="s">
        <v>17</v>
      </c>
      <c r="E51" t="s">
        <v>67</v>
      </c>
      <c r="F51" t="s">
        <v>68</v>
      </c>
      <c r="G51" t="s">
        <v>69</v>
      </c>
      <c r="H51" t="s">
        <v>139</v>
      </c>
      <c r="I51">
        <v>12</v>
      </c>
      <c r="J51">
        <v>25.43</v>
      </c>
      <c r="K51">
        <v>5</v>
      </c>
      <c r="L51">
        <v>289.89999999999998</v>
      </c>
      <c r="M51">
        <v>23.56</v>
      </c>
      <c r="N51">
        <v>113.76</v>
      </c>
      <c r="O51" t="s">
        <v>56</v>
      </c>
      <c r="P51">
        <v>2023</v>
      </c>
      <c r="Q51" t="s">
        <v>3637</v>
      </c>
      <c r="R51">
        <v>275.40499999999997</v>
      </c>
      <c r="S51">
        <v>0.41306439607124101</v>
      </c>
      <c r="T51" t="s">
        <v>3632</v>
      </c>
      <c r="U51" t="s">
        <v>3633</v>
      </c>
    </row>
    <row r="52" spans="1:21" x14ac:dyDescent="0.25">
      <c r="A52" t="s">
        <v>180</v>
      </c>
      <c r="B52" s="1">
        <v>44960</v>
      </c>
      <c r="C52" t="s">
        <v>181</v>
      </c>
      <c r="D52" t="s">
        <v>17</v>
      </c>
      <c r="E52" t="s">
        <v>129</v>
      </c>
      <c r="F52" t="s">
        <v>19</v>
      </c>
      <c r="G52" t="s">
        <v>42</v>
      </c>
      <c r="H52" t="s">
        <v>43</v>
      </c>
      <c r="I52">
        <v>4</v>
      </c>
      <c r="J52">
        <v>274.83</v>
      </c>
      <c r="K52">
        <v>10</v>
      </c>
      <c r="L52">
        <v>989.39</v>
      </c>
      <c r="M52">
        <v>10.28</v>
      </c>
      <c r="N52">
        <v>319.52</v>
      </c>
      <c r="O52" t="s">
        <v>34</v>
      </c>
      <c r="P52">
        <v>2023</v>
      </c>
      <c r="Q52" t="s">
        <v>3637</v>
      </c>
      <c r="R52">
        <v>890.45100000000002</v>
      </c>
      <c r="S52">
        <v>0.358829402179345</v>
      </c>
      <c r="T52" t="s">
        <v>3635</v>
      </c>
      <c r="U52" t="s">
        <v>3633</v>
      </c>
    </row>
    <row r="53" spans="1:21" x14ac:dyDescent="0.25">
      <c r="A53" t="s">
        <v>182</v>
      </c>
      <c r="B53" s="1">
        <v>44960</v>
      </c>
      <c r="C53" t="s">
        <v>183</v>
      </c>
      <c r="D53" t="s">
        <v>17</v>
      </c>
      <c r="E53" t="s">
        <v>148</v>
      </c>
      <c r="F53" t="s">
        <v>60</v>
      </c>
      <c r="G53" t="s">
        <v>42</v>
      </c>
      <c r="H53" t="s">
        <v>118</v>
      </c>
      <c r="I53">
        <v>1</v>
      </c>
      <c r="J53">
        <v>60.16</v>
      </c>
      <c r="K53">
        <v>15</v>
      </c>
      <c r="L53">
        <v>51.14</v>
      </c>
      <c r="M53">
        <v>10.85</v>
      </c>
      <c r="N53">
        <v>4.1900000000000004</v>
      </c>
      <c r="O53" t="s">
        <v>56</v>
      </c>
      <c r="P53">
        <v>2023</v>
      </c>
      <c r="Q53" t="s">
        <v>3637</v>
      </c>
      <c r="R53">
        <v>43.469000000000001</v>
      </c>
      <c r="S53">
        <v>9.6390531183142003E-2</v>
      </c>
      <c r="T53" t="s">
        <v>3634</v>
      </c>
      <c r="U53" t="s">
        <v>3633</v>
      </c>
    </row>
    <row r="54" spans="1:21" x14ac:dyDescent="0.25">
      <c r="A54" t="s">
        <v>184</v>
      </c>
      <c r="B54" s="1">
        <v>44961</v>
      </c>
      <c r="C54" t="s">
        <v>185</v>
      </c>
      <c r="D54" t="s">
        <v>49</v>
      </c>
      <c r="E54" t="s">
        <v>85</v>
      </c>
      <c r="F54" t="s">
        <v>60</v>
      </c>
      <c r="G54" t="s">
        <v>32</v>
      </c>
      <c r="H54" t="s">
        <v>115</v>
      </c>
      <c r="I54">
        <v>10</v>
      </c>
      <c r="J54">
        <v>8.3699999999999992</v>
      </c>
      <c r="K54">
        <v>15</v>
      </c>
      <c r="L54">
        <v>71.14</v>
      </c>
      <c r="M54">
        <v>24.19</v>
      </c>
      <c r="N54">
        <v>9.2899999999999991</v>
      </c>
      <c r="O54" t="s">
        <v>22</v>
      </c>
      <c r="P54">
        <v>2023</v>
      </c>
      <c r="Q54" t="s">
        <v>3637</v>
      </c>
      <c r="R54">
        <v>60.469000000000001</v>
      </c>
      <c r="S54">
        <v>0.153632439762523</v>
      </c>
      <c r="T54" t="s">
        <v>3634</v>
      </c>
      <c r="U54" t="s">
        <v>3633</v>
      </c>
    </row>
    <row r="55" spans="1:21" x14ac:dyDescent="0.25">
      <c r="A55" t="s">
        <v>186</v>
      </c>
      <c r="B55" s="1">
        <v>44961</v>
      </c>
      <c r="C55" t="s">
        <v>187</v>
      </c>
      <c r="D55" t="s">
        <v>49</v>
      </c>
      <c r="E55" t="s">
        <v>67</v>
      </c>
      <c r="F55" t="s">
        <v>68</v>
      </c>
      <c r="G55" t="s">
        <v>32</v>
      </c>
      <c r="H55" t="s">
        <v>73</v>
      </c>
      <c r="I55">
        <v>1</v>
      </c>
      <c r="J55">
        <v>4.78</v>
      </c>
      <c r="K55">
        <v>10</v>
      </c>
      <c r="L55">
        <v>4.3</v>
      </c>
      <c r="M55">
        <v>11.84</v>
      </c>
      <c r="N55">
        <v>-9.69</v>
      </c>
      <c r="O55" t="s">
        <v>56</v>
      </c>
      <c r="P55">
        <v>2023</v>
      </c>
      <c r="Q55" t="s">
        <v>3637</v>
      </c>
      <c r="R55">
        <v>3.87</v>
      </c>
      <c r="S55">
        <v>-2.5038759689922498</v>
      </c>
      <c r="T55" t="s">
        <v>3634</v>
      </c>
      <c r="U55" t="s">
        <v>3636</v>
      </c>
    </row>
    <row r="56" spans="1:21" x14ac:dyDescent="0.25">
      <c r="A56" t="s">
        <v>188</v>
      </c>
      <c r="B56" s="1">
        <v>44961</v>
      </c>
      <c r="C56" t="s">
        <v>189</v>
      </c>
      <c r="D56" t="s">
        <v>17</v>
      </c>
      <c r="E56" t="s">
        <v>121</v>
      </c>
      <c r="F56" t="s">
        <v>68</v>
      </c>
      <c r="G56" t="s">
        <v>20</v>
      </c>
      <c r="H56" t="s">
        <v>38</v>
      </c>
      <c r="I56">
        <v>7</v>
      </c>
      <c r="J56">
        <v>79.23</v>
      </c>
      <c r="K56">
        <v>15</v>
      </c>
      <c r="L56">
        <v>471.42</v>
      </c>
      <c r="M56">
        <v>19.84</v>
      </c>
      <c r="N56">
        <v>146.54</v>
      </c>
      <c r="O56" t="s">
        <v>22</v>
      </c>
      <c r="P56">
        <v>2023</v>
      </c>
      <c r="Q56" t="s">
        <v>3637</v>
      </c>
      <c r="R56">
        <v>400.70699999999999</v>
      </c>
      <c r="S56">
        <v>0.36570361885367603</v>
      </c>
      <c r="T56" t="s">
        <v>3632</v>
      </c>
      <c r="U56" t="s">
        <v>3633</v>
      </c>
    </row>
    <row r="57" spans="1:21" x14ac:dyDescent="0.25">
      <c r="A57" t="s">
        <v>190</v>
      </c>
      <c r="B57" s="1">
        <v>44962</v>
      </c>
      <c r="C57" t="s">
        <v>191</v>
      </c>
      <c r="D57" t="s">
        <v>30</v>
      </c>
      <c r="E57" t="s">
        <v>135</v>
      </c>
      <c r="F57" t="s">
        <v>26</v>
      </c>
      <c r="G57" t="s">
        <v>42</v>
      </c>
      <c r="H57" t="s">
        <v>46</v>
      </c>
      <c r="I57">
        <v>1</v>
      </c>
      <c r="J57">
        <v>188.93</v>
      </c>
      <c r="K57">
        <v>5</v>
      </c>
      <c r="L57">
        <v>179.48</v>
      </c>
      <c r="M57">
        <v>9.1999999999999993</v>
      </c>
      <c r="N57">
        <v>56.92</v>
      </c>
      <c r="O57" t="s">
        <v>22</v>
      </c>
      <c r="P57">
        <v>2023</v>
      </c>
      <c r="Q57" t="s">
        <v>3637</v>
      </c>
      <c r="R57">
        <v>170.506</v>
      </c>
      <c r="S57">
        <v>0.33382989454916501</v>
      </c>
      <c r="T57" t="s">
        <v>3632</v>
      </c>
      <c r="U57" t="s">
        <v>3633</v>
      </c>
    </row>
    <row r="58" spans="1:21" x14ac:dyDescent="0.25">
      <c r="A58" t="s">
        <v>192</v>
      </c>
      <c r="B58" s="1">
        <v>44962</v>
      </c>
      <c r="C58" t="s">
        <v>193</v>
      </c>
      <c r="D58" t="s">
        <v>30</v>
      </c>
      <c r="E58" t="s">
        <v>169</v>
      </c>
      <c r="F58" t="s">
        <v>68</v>
      </c>
      <c r="G58" t="s">
        <v>69</v>
      </c>
      <c r="H58" t="s">
        <v>86</v>
      </c>
      <c r="I58">
        <v>10</v>
      </c>
      <c r="J58">
        <v>138.69999999999999</v>
      </c>
      <c r="K58">
        <v>15</v>
      </c>
      <c r="L58">
        <v>1178.95</v>
      </c>
      <c r="M58">
        <v>17.36</v>
      </c>
      <c r="N58">
        <v>468.09</v>
      </c>
      <c r="O58" t="s">
        <v>34</v>
      </c>
      <c r="P58">
        <v>2023</v>
      </c>
      <c r="Q58" t="s">
        <v>3637</v>
      </c>
      <c r="R58">
        <v>1002.1075</v>
      </c>
      <c r="S58">
        <v>0.467105575000686</v>
      </c>
      <c r="T58" t="s">
        <v>3635</v>
      </c>
      <c r="U58" t="s">
        <v>3633</v>
      </c>
    </row>
    <row r="59" spans="1:21" x14ac:dyDescent="0.25">
      <c r="A59" t="s">
        <v>194</v>
      </c>
      <c r="B59" s="1">
        <v>44964</v>
      </c>
      <c r="C59" t="s">
        <v>195</v>
      </c>
      <c r="D59" t="s">
        <v>30</v>
      </c>
      <c r="E59" t="s">
        <v>59</v>
      </c>
      <c r="F59" t="s">
        <v>60</v>
      </c>
      <c r="G59" t="s">
        <v>69</v>
      </c>
      <c r="H59" t="s">
        <v>196</v>
      </c>
      <c r="I59">
        <v>1</v>
      </c>
      <c r="J59">
        <v>8.9600000000000009</v>
      </c>
      <c r="K59">
        <v>0</v>
      </c>
      <c r="L59">
        <v>8.9600000000000009</v>
      </c>
      <c r="M59">
        <v>11.08</v>
      </c>
      <c r="N59">
        <v>-6.6</v>
      </c>
      <c r="O59" t="s">
        <v>39</v>
      </c>
      <c r="P59">
        <v>2023</v>
      </c>
      <c r="Q59" t="s">
        <v>3637</v>
      </c>
      <c r="R59">
        <v>8.9600000000000009</v>
      </c>
      <c r="S59">
        <v>-0.73660714285714302</v>
      </c>
      <c r="T59" t="s">
        <v>3634</v>
      </c>
      <c r="U59" t="s">
        <v>3636</v>
      </c>
    </row>
    <row r="60" spans="1:21" x14ac:dyDescent="0.25">
      <c r="A60" t="s">
        <v>197</v>
      </c>
      <c r="B60" s="1">
        <v>44964</v>
      </c>
      <c r="C60" t="s">
        <v>198</v>
      </c>
      <c r="D60" t="s">
        <v>30</v>
      </c>
      <c r="E60" t="s">
        <v>85</v>
      </c>
      <c r="F60" t="s">
        <v>60</v>
      </c>
      <c r="G60" t="s">
        <v>20</v>
      </c>
      <c r="H60" t="s">
        <v>199</v>
      </c>
      <c r="I60">
        <v>2</v>
      </c>
      <c r="J60">
        <v>173.37</v>
      </c>
      <c r="K60">
        <v>0</v>
      </c>
      <c r="L60">
        <v>346.74</v>
      </c>
      <c r="M60">
        <v>10.89</v>
      </c>
      <c r="N60">
        <v>145.13999999999999</v>
      </c>
      <c r="O60" t="s">
        <v>39</v>
      </c>
      <c r="P60">
        <v>2023</v>
      </c>
      <c r="Q60" t="s">
        <v>3637</v>
      </c>
      <c r="R60">
        <v>346.74</v>
      </c>
      <c r="S60">
        <v>0.41858453019553599</v>
      </c>
      <c r="T60" t="s">
        <v>3632</v>
      </c>
      <c r="U60" t="s">
        <v>3633</v>
      </c>
    </row>
    <row r="61" spans="1:21" x14ac:dyDescent="0.25">
      <c r="A61" t="s">
        <v>200</v>
      </c>
      <c r="B61" s="1">
        <v>44964</v>
      </c>
      <c r="C61" t="s">
        <v>201</v>
      </c>
      <c r="D61" t="s">
        <v>49</v>
      </c>
      <c r="E61" t="s">
        <v>129</v>
      </c>
      <c r="F61" t="s">
        <v>19</v>
      </c>
      <c r="G61" t="s">
        <v>20</v>
      </c>
      <c r="H61" t="s">
        <v>199</v>
      </c>
      <c r="I61">
        <v>1</v>
      </c>
      <c r="J61">
        <v>63.94</v>
      </c>
      <c r="K61">
        <v>10</v>
      </c>
      <c r="L61">
        <v>57.55</v>
      </c>
      <c r="M61">
        <v>6.86</v>
      </c>
      <c r="N61">
        <v>15.52</v>
      </c>
      <c r="O61" t="s">
        <v>39</v>
      </c>
      <c r="P61">
        <v>2023</v>
      </c>
      <c r="Q61" t="s">
        <v>3637</v>
      </c>
      <c r="R61">
        <v>51.795000000000002</v>
      </c>
      <c r="S61">
        <v>0.29964282266628001</v>
      </c>
      <c r="T61" t="s">
        <v>3634</v>
      </c>
      <c r="U61" t="s">
        <v>3633</v>
      </c>
    </row>
    <row r="62" spans="1:21" x14ac:dyDescent="0.25">
      <c r="A62" t="s">
        <v>202</v>
      </c>
      <c r="B62" s="1">
        <v>44965</v>
      </c>
      <c r="C62" t="s">
        <v>203</v>
      </c>
      <c r="D62" t="s">
        <v>30</v>
      </c>
      <c r="E62" t="s">
        <v>92</v>
      </c>
      <c r="F62" t="s">
        <v>60</v>
      </c>
      <c r="G62" t="s">
        <v>20</v>
      </c>
      <c r="H62" t="s">
        <v>38</v>
      </c>
      <c r="I62">
        <v>3</v>
      </c>
      <c r="J62">
        <v>64.55</v>
      </c>
      <c r="K62">
        <v>10</v>
      </c>
      <c r="L62">
        <v>174.28</v>
      </c>
      <c r="M62">
        <v>13.01</v>
      </c>
      <c r="N62">
        <v>54.76</v>
      </c>
      <c r="O62" t="s">
        <v>34</v>
      </c>
      <c r="P62">
        <v>2023</v>
      </c>
      <c r="Q62" t="s">
        <v>3637</v>
      </c>
      <c r="R62">
        <v>156.852</v>
      </c>
      <c r="S62">
        <v>0.34911891464565298</v>
      </c>
      <c r="T62" t="s">
        <v>3632</v>
      </c>
      <c r="U62" t="s">
        <v>3633</v>
      </c>
    </row>
    <row r="63" spans="1:21" x14ac:dyDescent="0.25">
      <c r="A63" t="s">
        <v>204</v>
      </c>
      <c r="B63" s="1">
        <v>44965</v>
      </c>
      <c r="C63" t="s">
        <v>205</v>
      </c>
      <c r="D63" t="s">
        <v>17</v>
      </c>
      <c r="E63" t="s">
        <v>85</v>
      </c>
      <c r="F63" t="s">
        <v>60</v>
      </c>
      <c r="G63" t="s">
        <v>32</v>
      </c>
      <c r="H63" t="s">
        <v>132</v>
      </c>
      <c r="I63">
        <v>5</v>
      </c>
      <c r="J63">
        <v>14.53</v>
      </c>
      <c r="K63">
        <v>5</v>
      </c>
      <c r="L63">
        <v>69.02</v>
      </c>
      <c r="M63">
        <v>11.87</v>
      </c>
      <c r="N63">
        <v>24.46</v>
      </c>
      <c r="O63" t="s">
        <v>34</v>
      </c>
      <c r="P63">
        <v>2023</v>
      </c>
      <c r="Q63" t="s">
        <v>3637</v>
      </c>
      <c r="R63">
        <v>65.569000000000003</v>
      </c>
      <c r="S63">
        <v>0.373042138815599</v>
      </c>
      <c r="T63" t="s">
        <v>3634</v>
      </c>
      <c r="U63" t="s">
        <v>3633</v>
      </c>
    </row>
    <row r="64" spans="1:21" x14ac:dyDescent="0.25">
      <c r="A64" t="s">
        <v>206</v>
      </c>
      <c r="B64" s="1">
        <v>44965</v>
      </c>
      <c r="C64" t="s">
        <v>207</v>
      </c>
      <c r="D64" t="s">
        <v>49</v>
      </c>
      <c r="E64" t="s">
        <v>148</v>
      </c>
      <c r="F64" t="s">
        <v>60</v>
      </c>
      <c r="G64" t="s">
        <v>32</v>
      </c>
      <c r="H64" t="s">
        <v>73</v>
      </c>
      <c r="I64">
        <v>1</v>
      </c>
      <c r="J64">
        <v>9.6300000000000008</v>
      </c>
      <c r="K64">
        <v>10</v>
      </c>
      <c r="L64">
        <v>8.67</v>
      </c>
      <c r="M64">
        <v>10.44</v>
      </c>
      <c r="N64">
        <v>-6.1</v>
      </c>
      <c r="O64" t="s">
        <v>39</v>
      </c>
      <c r="P64">
        <v>2023</v>
      </c>
      <c r="Q64" t="s">
        <v>3637</v>
      </c>
      <c r="R64">
        <v>7.8029999999999999</v>
      </c>
      <c r="S64">
        <v>-0.78175060874022795</v>
      </c>
      <c r="T64" t="s">
        <v>3634</v>
      </c>
      <c r="U64" t="s">
        <v>3636</v>
      </c>
    </row>
    <row r="65" spans="1:21" x14ac:dyDescent="0.25">
      <c r="A65" t="s">
        <v>208</v>
      </c>
      <c r="B65" s="1">
        <v>44966</v>
      </c>
      <c r="C65" t="s">
        <v>209</v>
      </c>
      <c r="D65" t="s">
        <v>30</v>
      </c>
      <c r="E65" t="s">
        <v>129</v>
      </c>
      <c r="F65" t="s">
        <v>19</v>
      </c>
      <c r="G65" t="s">
        <v>42</v>
      </c>
      <c r="H65" t="s">
        <v>46</v>
      </c>
      <c r="I65">
        <v>4</v>
      </c>
      <c r="J65">
        <v>118.02</v>
      </c>
      <c r="K65">
        <v>0</v>
      </c>
      <c r="L65">
        <v>472.08</v>
      </c>
      <c r="M65">
        <v>7.9</v>
      </c>
      <c r="N65">
        <v>180.93</v>
      </c>
      <c r="O65" t="s">
        <v>56</v>
      </c>
      <c r="P65">
        <v>2023</v>
      </c>
      <c r="Q65" t="s">
        <v>3637</v>
      </c>
      <c r="R65">
        <v>472.08</v>
      </c>
      <c r="S65">
        <v>0.38326131164209498</v>
      </c>
      <c r="T65" t="s">
        <v>3632</v>
      </c>
      <c r="U65" t="s">
        <v>3633</v>
      </c>
    </row>
    <row r="66" spans="1:21" x14ac:dyDescent="0.25">
      <c r="A66" t="s">
        <v>210</v>
      </c>
      <c r="B66" s="1">
        <v>44966</v>
      </c>
      <c r="C66" t="s">
        <v>211</v>
      </c>
      <c r="D66" t="s">
        <v>30</v>
      </c>
      <c r="E66" t="s">
        <v>76</v>
      </c>
      <c r="F66" t="s">
        <v>26</v>
      </c>
      <c r="G66" t="s">
        <v>42</v>
      </c>
      <c r="H66" t="s">
        <v>64</v>
      </c>
      <c r="I66">
        <v>9</v>
      </c>
      <c r="J66">
        <v>126.93</v>
      </c>
      <c r="K66">
        <v>0</v>
      </c>
      <c r="L66">
        <v>1142.3699999999999</v>
      </c>
      <c r="M66">
        <v>23.14</v>
      </c>
      <c r="N66">
        <v>433.81</v>
      </c>
      <c r="O66" t="s">
        <v>39</v>
      </c>
      <c r="P66">
        <v>2023</v>
      </c>
      <c r="Q66" t="s">
        <v>3637</v>
      </c>
      <c r="R66">
        <v>1142.3699999999999</v>
      </c>
      <c r="S66">
        <v>0.37974561656906303</v>
      </c>
      <c r="T66" t="s">
        <v>3635</v>
      </c>
      <c r="U66" t="s">
        <v>3633</v>
      </c>
    </row>
    <row r="67" spans="1:21" x14ac:dyDescent="0.25">
      <c r="A67" t="s">
        <v>212</v>
      </c>
      <c r="B67" s="1">
        <v>44967</v>
      </c>
      <c r="C67" t="s">
        <v>213</v>
      </c>
      <c r="D67" t="s">
        <v>30</v>
      </c>
      <c r="E67" t="s">
        <v>121</v>
      </c>
      <c r="F67" t="s">
        <v>68</v>
      </c>
      <c r="G67" t="s">
        <v>42</v>
      </c>
      <c r="H67" t="s">
        <v>43</v>
      </c>
      <c r="I67">
        <v>8</v>
      </c>
      <c r="J67">
        <v>289.70999999999998</v>
      </c>
      <c r="K67">
        <v>10</v>
      </c>
      <c r="L67">
        <v>2085.91</v>
      </c>
      <c r="M67">
        <v>16.440000000000001</v>
      </c>
      <c r="N67">
        <v>678.86</v>
      </c>
      <c r="O67" t="s">
        <v>56</v>
      </c>
      <c r="P67">
        <v>2023</v>
      </c>
      <c r="Q67" t="s">
        <v>3637</v>
      </c>
      <c r="R67">
        <v>1877.319</v>
      </c>
      <c r="S67">
        <v>0.36161142565541599</v>
      </c>
      <c r="T67" t="s">
        <v>3635</v>
      </c>
      <c r="U67" t="s">
        <v>3633</v>
      </c>
    </row>
    <row r="68" spans="1:21" x14ac:dyDescent="0.25">
      <c r="A68" t="s">
        <v>214</v>
      </c>
      <c r="B68" s="1">
        <v>44967</v>
      </c>
      <c r="C68" t="s">
        <v>215</v>
      </c>
      <c r="D68" t="s">
        <v>17</v>
      </c>
      <c r="E68" t="s">
        <v>85</v>
      </c>
      <c r="F68" t="s">
        <v>60</v>
      </c>
      <c r="G68" t="s">
        <v>69</v>
      </c>
      <c r="H68" t="s">
        <v>79</v>
      </c>
      <c r="I68">
        <v>2</v>
      </c>
      <c r="J68">
        <v>81.58</v>
      </c>
      <c r="K68">
        <v>15</v>
      </c>
      <c r="L68">
        <v>138.69</v>
      </c>
      <c r="M68">
        <v>11.8</v>
      </c>
      <c r="N68">
        <v>45.31</v>
      </c>
      <c r="O68" t="s">
        <v>56</v>
      </c>
      <c r="P68">
        <v>2023</v>
      </c>
      <c r="Q68" t="s">
        <v>3637</v>
      </c>
      <c r="R68">
        <v>117.8865</v>
      </c>
      <c r="S68">
        <v>0.38435274607355402</v>
      </c>
      <c r="T68" t="s">
        <v>3632</v>
      </c>
      <c r="U68" t="s">
        <v>3633</v>
      </c>
    </row>
    <row r="69" spans="1:21" x14ac:dyDescent="0.25">
      <c r="A69" t="s">
        <v>216</v>
      </c>
      <c r="B69" s="1">
        <v>44967</v>
      </c>
      <c r="C69" t="s">
        <v>217</v>
      </c>
      <c r="D69" t="s">
        <v>30</v>
      </c>
      <c r="E69" t="s">
        <v>135</v>
      </c>
      <c r="F69" t="s">
        <v>26</v>
      </c>
      <c r="G69" t="s">
        <v>20</v>
      </c>
      <c r="H69" t="s">
        <v>122</v>
      </c>
      <c r="I69">
        <v>9</v>
      </c>
      <c r="J69">
        <v>111.98</v>
      </c>
      <c r="K69">
        <v>5</v>
      </c>
      <c r="L69">
        <v>957.43</v>
      </c>
      <c r="M69">
        <v>24.38</v>
      </c>
      <c r="N69">
        <v>378.75</v>
      </c>
      <c r="O69" t="s">
        <v>34</v>
      </c>
      <c r="P69">
        <v>2023</v>
      </c>
      <c r="Q69" t="s">
        <v>3637</v>
      </c>
      <c r="R69">
        <v>909.55849999999998</v>
      </c>
      <c r="S69">
        <v>0.416410819095198</v>
      </c>
      <c r="T69" t="s">
        <v>3635</v>
      </c>
      <c r="U69" t="s">
        <v>3633</v>
      </c>
    </row>
    <row r="70" spans="1:21" x14ac:dyDescent="0.25">
      <c r="A70" t="s">
        <v>218</v>
      </c>
      <c r="B70" s="1">
        <v>44967</v>
      </c>
      <c r="C70" t="s">
        <v>219</v>
      </c>
      <c r="D70" t="s">
        <v>30</v>
      </c>
      <c r="E70" t="s">
        <v>37</v>
      </c>
      <c r="F70" t="s">
        <v>26</v>
      </c>
      <c r="G70" t="s">
        <v>69</v>
      </c>
      <c r="H70" t="s">
        <v>70</v>
      </c>
      <c r="I70">
        <v>3</v>
      </c>
      <c r="J70">
        <v>45.99</v>
      </c>
      <c r="K70">
        <v>0</v>
      </c>
      <c r="L70">
        <v>137.97</v>
      </c>
      <c r="M70">
        <v>12.68</v>
      </c>
      <c r="N70">
        <v>56.3</v>
      </c>
      <c r="O70" t="s">
        <v>34</v>
      </c>
      <c r="P70">
        <v>2023</v>
      </c>
      <c r="Q70" t="s">
        <v>3637</v>
      </c>
      <c r="R70">
        <v>137.97</v>
      </c>
      <c r="S70">
        <v>0.40805972312821598</v>
      </c>
      <c r="T70" t="s">
        <v>3632</v>
      </c>
      <c r="U70" t="s">
        <v>3633</v>
      </c>
    </row>
    <row r="71" spans="1:21" x14ac:dyDescent="0.25">
      <c r="A71" t="s">
        <v>220</v>
      </c>
      <c r="B71" s="1">
        <v>44968</v>
      </c>
      <c r="C71" t="s">
        <v>221</v>
      </c>
      <c r="D71" t="s">
        <v>30</v>
      </c>
      <c r="E71" t="s">
        <v>129</v>
      </c>
      <c r="F71" t="s">
        <v>19</v>
      </c>
      <c r="G71" t="s">
        <v>32</v>
      </c>
      <c r="H71" t="s">
        <v>73</v>
      </c>
      <c r="I71">
        <v>3</v>
      </c>
      <c r="J71">
        <v>4.96</v>
      </c>
      <c r="K71">
        <v>10</v>
      </c>
      <c r="L71">
        <v>13.39</v>
      </c>
      <c r="M71">
        <v>7.09</v>
      </c>
      <c r="N71">
        <v>-0.4</v>
      </c>
      <c r="O71" t="s">
        <v>22</v>
      </c>
      <c r="P71">
        <v>2023</v>
      </c>
      <c r="Q71" t="s">
        <v>3637</v>
      </c>
      <c r="R71">
        <v>12.051</v>
      </c>
      <c r="S71">
        <v>-3.31922662019749E-2</v>
      </c>
      <c r="T71" t="s">
        <v>3634</v>
      </c>
      <c r="U71" t="s">
        <v>3636</v>
      </c>
    </row>
    <row r="72" spans="1:21" x14ac:dyDescent="0.25">
      <c r="A72" t="s">
        <v>222</v>
      </c>
      <c r="B72" s="1">
        <v>44969</v>
      </c>
      <c r="C72" t="s">
        <v>223</v>
      </c>
      <c r="D72" t="s">
        <v>30</v>
      </c>
      <c r="E72" t="s">
        <v>63</v>
      </c>
      <c r="F72" t="s">
        <v>54</v>
      </c>
      <c r="G72" t="s">
        <v>69</v>
      </c>
      <c r="H72" t="s">
        <v>79</v>
      </c>
      <c r="I72">
        <v>8</v>
      </c>
      <c r="J72">
        <v>80.13</v>
      </c>
      <c r="K72">
        <v>25</v>
      </c>
      <c r="L72">
        <v>480.78</v>
      </c>
      <c r="M72">
        <v>18.170000000000002</v>
      </c>
      <c r="N72">
        <v>142.09</v>
      </c>
      <c r="O72" t="s">
        <v>56</v>
      </c>
      <c r="P72">
        <v>2023</v>
      </c>
      <c r="Q72" t="s">
        <v>3637</v>
      </c>
      <c r="R72">
        <v>360.58499999999998</v>
      </c>
      <c r="S72">
        <v>0.39405410652134698</v>
      </c>
      <c r="T72" t="s">
        <v>3632</v>
      </c>
      <c r="U72" t="s">
        <v>3633</v>
      </c>
    </row>
    <row r="73" spans="1:21" x14ac:dyDescent="0.25">
      <c r="A73" t="s">
        <v>224</v>
      </c>
      <c r="B73" s="1">
        <v>44969</v>
      </c>
      <c r="C73" t="s">
        <v>225</v>
      </c>
      <c r="D73" t="s">
        <v>30</v>
      </c>
      <c r="E73" t="s">
        <v>92</v>
      </c>
      <c r="F73" t="s">
        <v>60</v>
      </c>
      <c r="G73" t="s">
        <v>69</v>
      </c>
      <c r="H73" t="s">
        <v>98</v>
      </c>
      <c r="I73">
        <v>1</v>
      </c>
      <c r="J73">
        <v>43.57</v>
      </c>
      <c r="K73">
        <v>5</v>
      </c>
      <c r="L73">
        <v>41.39</v>
      </c>
      <c r="M73">
        <v>10.06</v>
      </c>
      <c r="N73">
        <v>9.5399999999999991</v>
      </c>
      <c r="O73" t="s">
        <v>39</v>
      </c>
      <c r="P73">
        <v>2023</v>
      </c>
      <c r="Q73" t="s">
        <v>3637</v>
      </c>
      <c r="R73">
        <v>39.320500000000003</v>
      </c>
      <c r="S73">
        <v>0.24262153329688099</v>
      </c>
      <c r="T73" t="s">
        <v>3634</v>
      </c>
      <c r="U73" t="s">
        <v>3633</v>
      </c>
    </row>
    <row r="74" spans="1:21" x14ac:dyDescent="0.25">
      <c r="A74" t="s">
        <v>226</v>
      </c>
      <c r="B74" s="1">
        <v>44972</v>
      </c>
      <c r="C74" t="s">
        <v>227</v>
      </c>
      <c r="D74" t="s">
        <v>17</v>
      </c>
      <c r="E74" t="s">
        <v>18</v>
      </c>
      <c r="F74" t="s">
        <v>19</v>
      </c>
      <c r="G74" t="s">
        <v>20</v>
      </c>
      <c r="H74" t="s">
        <v>199</v>
      </c>
      <c r="I74">
        <v>2</v>
      </c>
      <c r="J74">
        <v>143.15</v>
      </c>
      <c r="K74">
        <v>5</v>
      </c>
      <c r="L74">
        <v>271.99</v>
      </c>
      <c r="M74">
        <v>8.58</v>
      </c>
      <c r="N74">
        <v>105.94</v>
      </c>
      <c r="O74" t="s">
        <v>34</v>
      </c>
      <c r="P74">
        <v>2023</v>
      </c>
      <c r="Q74" t="s">
        <v>3637</v>
      </c>
      <c r="R74">
        <v>258.39049999999997</v>
      </c>
      <c r="S74">
        <v>0.40999959363831101</v>
      </c>
      <c r="T74" t="s">
        <v>3632</v>
      </c>
      <c r="U74" t="s">
        <v>3633</v>
      </c>
    </row>
    <row r="75" spans="1:21" x14ac:dyDescent="0.25">
      <c r="A75" t="s">
        <v>228</v>
      </c>
      <c r="B75" s="1">
        <v>44972</v>
      </c>
      <c r="C75" t="s">
        <v>229</v>
      </c>
      <c r="D75" t="s">
        <v>49</v>
      </c>
      <c r="E75" t="s">
        <v>129</v>
      </c>
      <c r="F75" t="s">
        <v>19</v>
      </c>
      <c r="G75" t="s">
        <v>42</v>
      </c>
      <c r="H75" t="s">
        <v>64</v>
      </c>
      <c r="I75">
        <v>8</v>
      </c>
      <c r="J75">
        <v>126.81</v>
      </c>
      <c r="K75">
        <v>10</v>
      </c>
      <c r="L75">
        <v>913.03</v>
      </c>
      <c r="M75">
        <v>22.05</v>
      </c>
      <c r="N75">
        <v>282.29000000000002</v>
      </c>
      <c r="O75" t="s">
        <v>22</v>
      </c>
      <c r="P75">
        <v>2023</v>
      </c>
      <c r="Q75" t="s">
        <v>3637</v>
      </c>
      <c r="R75">
        <v>821.72699999999998</v>
      </c>
      <c r="S75">
        <v>0.34353258442280699</v>
      </c>
      <c r="T75" t="s">
        <v>3635</v>
      </c>
      <c r="U75" t="s">
        <v>3633</v>
      </c>
    </row>
    <row r="76" spans="1:21" x14ac:dyDescent="0.25">
      <c r="A76" t="s">
        <v>230</v>
      </c>
      <c r="B76" s="1">
        <v>44973</v>
      </c>
      <c r="C76" t="s">
        <v>231</v>
      </c>
      <c r="D76" t="s">
        <v>49</v>
      </c>
      <c r="E76" t="s">
        <v>53</v>
      </c>
      <c r="F76" t="s">
        <v>54</v>
      </c>
      <c r="G76" t="s">
        <v>20</v>
      </c>
      <c r="H76" t="s">
        <v>38</v>
      </c>
      <c r="I76">
        <v>1</v>
      </c>
      <c r="J76">
        <v>48.95</v>
      </c>
      <c r="K76">
        <v>0</v>
      </c>
      <c r="L76">
        <v>48.95</v>
      </c>
      <c r="M76">
        <v>12.32</v>
      </c>
      <c r="N76">
        <v>9.7100000000000009</v>
      </c>
      <c r="O76" t="s">
        <v>39</v>
      </c>
      <c r="P76">
        <v>2023</v>
      </c>
      <c r="Q76" t="s">
        <v>3637</v>
      </c>
      <c r="R76">
        <v>48.95</v>
      </c>
      <c r="S76">
        <v>0.19836567926455601</v>
      </c>
      <c r="T76" t="s">
        <v>3634</v>
      </c>
      <c r="U76" t="s">
        <v>3633</v>
      </c>
    </row>
    <row r="77" spans="1:21" x14ac:dyDescent="0.25">
      <c r="A77" t="s">
        <v>232</v>
      </c>
      <c r="B77" s="1">
        <v>44974</v>
      </c>
      <c r="C77" t="s">
        <v>233</v>
      </c>
      <c r="D77" t="s">
        <v>17</v>
      </c>
      <c r="E77" t="s">
        <v>18</v>
      </c>
      <c r="F77" t="s">
        <v>19</v>
      </c>
      <c r="G77" t="s">
        <v>42</v>
      </c>
      <c r="H77" t="s">
        <v>234</v>
      </c>
      <c r="I77">
        <v>2</v>
      </c>
      <c r="J77">
        <v>47.62</v>
      </c>
      <c r="K77">
        <v>5</v>
      </c>
      <c r="L77">
        <v>90.48</v>
      </c>
      <c r="M77">
        <v>8.3000000000000007</v>
      </c>
      <c r="N77">
        <v>25.04</v>
      </c>
      <c r="O77" t="s">
        <v>56</v>
      </c>
      <c r="P77">
        <v>2023</v>
      </c>
      <c r="Q77" t="s">
        <v>3637</v>
      </c>
      <c r="R77">
        <v>85.956000000000003</v>
      </c>
      <c r="S77">
        <v>0.29131183396156202</v>
      </c>
      <c r="T77" t="s">
        <v>3634</v>
      </c>
      <c r="U77" t="s">
        <v>3633</v>
      </c>
    </row>
    <row r="78" spans="1:21" x14ac:dyDescent="0.25">
      <c r="A78" t="s">
        <v>235</v>
      </c>
      <c r="B78" s="1">
        <v>44974</v>
      </c>
      <c r="C78" t="s">
        <v>236</v>
      </c>
      <c r="D78" t="s">
        <v>49</v>
      </c>
      <c r="E78" t="s">
        <v>92</v>
      </c>
      <c r="F78" t="s">
        <v>60</v>
      </c>
      <c r="G78" t="s">
        <v>20</v>
      </c>
      <c r="H78" t="s">
        <v>21</v>
      </c>
      <c r="I78">
        <v>1</v>
      </c>
      <c r="J78">
        <v>238.37</v>
      </c>
      <c r="K78">
        <v>15</v>
      </c>
      <c r="L78">
        <v>202.61</v>
      </c>
      <c r="M78">
        <v>11.03</v>
      </c>
      <c r="N78">
        <v>60.48</v>
      </c>
      <c r="O78" t="s">
        <v>34</v>
      </c>
      <c r="P78">
        <v>2023</v>
      </c>
      <c r="Q78" t="s">
        <v>3637</v>
      </c>
      <c r="R78">
        <v>172.21850000000001</v>
      </c>
      <c r="S78">
        <v>0.35118178360629099</v>
      </c>
      <c r="T78" t="s">
        <v>3632</v>
      </c>
      <c r="U78" t="s">
        <v>3633</v>
      </c>
    </row>
    <row r="79" spans="1:21" x14ac:dyDescent="0.25">
      <c r="A79" t="s">
        <v>237</v>
      </c>
      <c r="B79" s="1">
        <v>44974</v>
      </c>
      <c r="C79" t="s">
        <v>238</v>
      </c>
      <c r="D79" t="s">
        <v>30</v>
      </c>
      <c r="E79" t="s">
        <v>76</v>
      </c>
      <c r="F79" t="s">
        <v>26</v>
      </c>
      <c r="G79" t="s">
        <v>69</v>
      </c>
      <c r="H79" t="s">
        <v>163</v>
      </c>
      <c r="I79">
        <v>5</v>
      </c>
      <c r="J79">
        <v>39.22</v>
      </c>
      <c r="K79">
        <v>10</v>
      </c>
      <c r="L79">
        <v>176.49</v>
      </c>
      <c r="M79">
        <v>17.7</v>
      </c>
      <c r="N79">
        <v>60.74</v>
      </c>
      <c r="O79" t="s">
        <v>34</v>
      </c>
      <c r="P79">
        <v>2023</v>
      </c>
      <c r="Q79" t="s">
        <v>3637</v>
      </c>
      <c r="R79">
        <v>158.84100000000001</v>
      </c>
      <c r="S79">
        <v>0.38239497358994201</v>
      </c>
      <c r="T79" t="s">
        <v>3632</v>
      </c>
      <c r="U79" t="s">
        <v>3633</v>
      </c>
    </row>
    <row r="80" spans="1:21" x14ac:dyDescent="0.25">
      <c r="A80" t="s">
        <v>239</v>
      </c>
      <c r="B80" s="1">
        <v>44975</v>
      </c>
      <c r="C80" t="s">
        <v>240</v>
      </c>
      <c r="D80" t="s">
        <v>17</v>
      </c>
      <c r="E80" t="s">
        <v>148</v>
      </c>
      <c r="F80" t="s">
        <v>60</v>
      </c>
      <c r="G80" t="s">
        <v>69</v>
      </c>
      <c r="H80" t="s">
        <v>86</v>
      </c>
      <c r="I80">
        <v>2</v>
      </c>
      <c r="J80">
        <v>72.23</v>
      </c>
      <c r="K80">
        <v>20</v>
      </c>
      <c r="L80">
        <v>115.57</v>
      </c>
      <c r="M80">
        <v>13.08</v>
      </c>
      <c r="N80">
        <v>30.26</v>
      </c>
      <c r="O80" t="s">
        <v>34</v>
      </c>
      <c r="P80">
        <v>2023</v>
      </c>
      <c r="Q80" t="s">
        <v>3637</v>
      </c>
      <c r="R80">
        <v>92.456000000000003</v>
      </c>
      <c r="S80">
        <v>0.32729081941680399</v>
      </c>
      <c r="T80" t="s">
        <v>3632</v>
      </c>
      <c r="U80" t="s">
        <v>3633</v>
      </c>
    </row>
    <row r="81" spans="1:21" x14ac:dyDescent="0.25">
      <c r="A81" t="s">
        <v>241</v>
      </c>
      <c r="B81" s="1">
        <v>44976</v>
      </c>
      <c r="C81" t="s">
        <v>242</v>
      </c>
      <c r="D81" t="s">
        <v>30</v>
      </c>
      <c r="E81" t="s">
        <v>53</v>
      </c>
      <c r="F81" t="s">
        <v>54</v>
      </c>
      <c r="G81" t="s">
        <v>69</v>
      </c>
      <c r="H81" t="s">
        <v>243</v>
      </c>
      <c r="I81">
        <v>3</v>
      </c>
      <c r="J81">
        <v>35.6</v>
      </c>
      <c r="K81">
        <v>5</v>
      </c>
      <c r="L81">
        <v>101.46</v>
      </c>
      <c r="M81">
        <v>15.03</v>
      </c>
      <c r="N81">
        <v>33.03</v>
      </c>
      <c r="O81" t="s">
        <v>34</v>
      </c>
      <c r="P81">
        <v>2023</v>
      </c>
      <c r="Q81" t="s">
        <v>3637</v>
      </c>
      <c r="R81">
        <v>96.387</v>
      </c>
      <c r="S81">
        <v>0.34268106694886202</v>
      </c>
      <c r="T81" t="s">
        <v>3632</v>
      </c>
      <c r="U81" t="s">
        <v>3633</v>
      </c>
    </row>
    <row r="82" spans="1:21" x14ac:dyDescent="0.25">
      <c r="A82" t="s">
        <v>244</v>
      </c>
      <c r="B82" s="1">
        <v>44976</v>
      </c>
      <c r="C82" t="s">
        <v>245</v>
      </c>
      <c r="D82" t="s">
        <v>30</v>
      </c>
      <c r="E82" t="s">
        <v>129</v>
      </c>
      <c r="F82" t="s">
        <v>19</v>
      </c>
      <c r="G82" t="s">
        <v>32</v>
      </c>
      <c r="H82" t="s">
        <v>110</v>
      </c>
      <c r="I82">
        <v>5</v>
      </c>
      <c r="J82">
        <v>4.37</v>
      </c>
      <c r="K82">
        <v>15</v>
      </c>
      <c r="L82">
        <v>18.57</v>
      </c>
      <c r="M82">
        <v>11.28</v>
      </c>
      <c r="N82">
        <v>-2.54</v>
      </c>
      <c r="O82" t="s">
        <v>39</v>
      </c>
      <c r="P82">
        <v>2023</v>
      </c>
      <c r="Q82" t="s">
        <v>3637</v>
      </c>
      <c r="R82">
        <v>15.7845</v>
      </c>
      <c r="S82">
        <v>-0.160917355633691</v>
      </c>
      <c r="T82" t="s">
        <v>3634</v>
      </c>
      <c r="U82" t="s">
        <v>3636</v>
      </c>
    </row>
    <row r="83" spans="1:21" x14ac:dyDescent="0.25">
      <c r="A83" t="s">
        <v>246</v>
      </c>
      <c r="B83" s="1">
        <v>44976</v>
      </c>
      <c r="C83" t="s">
        <v>247</v>
      </c>
      <c r="D83" t="s">
        <v>30</v>
      </c>
      <c r="E83" t="s">
        <v>248</v>
      </c>
      <c r="F83" t="s">
        <v>26</v>
      </c>
      <c r="G83" t="s">
        <v>69</v>
      </c>
      <c r="H83" t="s">
        <v>160</v>
      </c>
      <c r="I83">
        <v>2</v>
      </c>
      <c r="J83">
        <v>20.92</v>
      </c>
      <c r="K83">
        <v>0</v>
      </c>
      <c r="L83">
        <v>41.84</v>
      </c>
      <c r="M83">
        <v>10.6</v>
      </c>
      <c r="N83">
        <v>10.32</v>
      </c>
      <c r="O83" t="s">
        <v>22</v>
      </c>
      <c r="P83">
        <v>2023</v>
      </c>
      <c r="Q83" t="s">
        <v>3637</v>
      </c>
      <c r="R83">
        <v>41.84</v>
      </c>
      <c r="S83">
        <v>0.24665391969407299</v>
      </c>
      <c r="T83" t="s">
        <v>3634</v>
      </c>
      <c r="U83" t="s">
        <v>3633</v>
      </c>
    </row>
    <row r="84" spans="1:21" x14ac:dyDescent="0.25">
      <c r="A84" t="s">
        <v>249</v>
      </c>
      <c r="B84" s="1">
        <v>44977</v>
      </c>
      <c r="C84" t="s">
        <v>250</v>
      </c>
      <c r="D84" t="s">
        <v>30</v>
      </c>
      <c r="E84" t="s">
        <v>31</v>
      </c>
      <c r="F84" t="s">
        <v>19</v>
      </c>
      <c r="G84" t="s">
        <v>69</v>
      </c>
      <c r="H84" t="s">
        <v>243</v>
      </c>
      <c r="I84">
        <v>4</v>
      </c>
      <c r="J84">
        <v>54.4</v>
      </c>
      <c r="K84">
        <v>5</v>
      </c>
      <c r="L84">
        <v>206.72</v>
      </c>
      <c r="M84">
        <v>7.53</v>
      </c>
      <c r="N84">
        <v>90.39</v>
      </c>
      <c r="O84" t="s">
        <v>22</v>
      </c>
      <c r="P84">
        <v>2023</v>
      </c>
      <c r="Q84" t="s">
        <v>3637</v>
      </c>
      <c r="R84">
        <v>196.38399999999999</v>
      </c>
      <c r="S84">
        <v>0.46027171256314198</v>
      </c>
      <c r="T84" t="s">
        <v>3632</v>
      </c>
      <c r="U84" t="s">
        <v>3633</v>
      </c>
    </row>
    <row r="85" spans="1:21" x14ac:dyDescent="0.25">
      <c r="A85" t="s">
        <v>251</v>
      </c>
      <c r="B85" s="1">
        <v>44978</v>
      </c>
      <c r="C85" t="s">
        <v>252</v>
      </c>
      <c r="D85" t="s">
        <v>30</v>
      </c>
      <c r="E85" t="s">
        <v>18</v>
      </c>
      <c r="F85" t="s">
        <v>19</v>
      </c>
      <c r="G85" t="s">
        <v>20</v>
      </c>
      <c r="H85" t="s">
        <v>106</v>
      </c>
      <c r="I85">
        <v>8</v>
      </c>
      <c r="J85">
        <v>72.89</v>
      </c>
      <c r="K85">
        <v>0</v>
      </c>
      <c r="L85">
        <v>583.12</v>
      </c>
      <c r="M85">
        <v>14.27</v>
      </c>
      <c r="N85">
        <v>248.13</v>
      </c>
      <c r="O85" t="s">
        <v>34</v>
      </c>
      <c r="P85">
        <v>2023</v>
      </c>
      <c r="Q85" t="s">
        <v>3637</v>
      </c>
      <c r="R85">
        <v>583.12</v>
      </c>
      <c r="S85">
        <v>0.42552133351625698</v>
      </c>
      <c r="T85" t="s">
        <v>3635</v>
      </c>
      <c r="U85" t="s">
        <v>3633</v>
      </c>
    </row>
    <row r="86" spans="1:21" x14ac:dyDescent="0.25">
      <c r="A86" t="s">
        <v>253</v>
      </c>
      <c r="B86" s="1">
        <v>44978</v>
      </c>
      <c r="C86" t="s">
        <v>254</v>
      </c>
      <c r="D86" t="s">
        <v>30</v>
      </c>
      <c r="E86" t="s">
        <v>59</v>
      </c>
      <c r="F86" t="s">
        <v>60</v>
      </c>
      <c r="G86" t="s">
        <v>42</v>
      </c>
      <c r="H86" t="s">
        <v>255</v>
      </c>
      <c r="I86">
        <v>6</v>
      </c>
      <c r="J86">
        <v>54.39</v>
      </c>
      <c r="K86">
        <v>0</v>
      </c>
      <c r="L86">
        <v>326.33999999999997</v>
      </c>
      <c r="M86">
        <v>17.34</v>
      </c>
      <c r="N86">
        <v>113.2</v>
      </c>
      <c r="O86" t="s">
        <v>39</v>
      </c>
      <c r="P86">
        <v>2023</v>
      </c>
      <c r="Q86" t="s">
        <v>3637</v>
      </c>
      <c r="R86">
        <v>326.33999999999997</v>
      </c>
      <c r="S86">
        <v>0.346877489734633</v>
      </c>
      <c r="T86" t="s">
        <v>3632</v>
      </c>
      <c r="U86" t="s">
        <v>3633</v>
      </c>
    </row>
    <row r="87" spans="1:21" x14ac:dyDescent="0.25">
      <c r="A87" t="s">
        <v>256</v>
      </c>
      <c r="B87" s="1">
        <v>44978</v>
      </c>
      <c r="C87" t="s">
        <v>257</v>
      </c>
      <c r="D87" t="s">
        <v>30</v>
      </c>
      <c r="E87" t="s">
        <v>129</v>
      </c>
      <c r="F87" t="s">
        <v>19</v>
      </c>
      <c r="G87" t="s">
        <v>42</v>
      </c>
      <c r="H87" t="s">
        <v>93</v>
      </c>
      <c r="I87">
        <v>6</v>
      </c>
      <c r="J87">
        <v>472.56</v>
      </c>
      <c r="K87">
        <v>0</v>
      </c>
      <c r="L87">
        <v>2835.36</v>
      </c>
      <c r="M87">
        <v>19.09</v>
      </c>
      <c r="N87">
        <v>1115.05</v>
      </c>
      <c r="O87" t="s">
        <v>39</v>
      </c>
      <c r="P87">
        <v>2023</v>
      </c>
      <c r="Q87" t="s">
        <v>3637</v>
      </c>
      <c r="R87">
        <v>2835.36</v>
      </c>
      <c r="S87">
        <v>0.39326575814005998</v>
      </c>
      <c r="T87" t="s">
        <v>3635</v>
      </c>
      <c r="U87" t="s">
        <v>3633</v>
      </c>
    </row>
    <row r="88" spans="1:21" x14ac:dyDescent="0.25">
      <c r="A88" t="s">
        <v>258</v>
      </c>
      <c r="B88" s="1">
        <v>44978</v>
      </c>
      <c r="C88" t="s">
        <v>259</v>
      </c>
      <c r="D88" t="s">
        <v>30</v>
      </c>
      <c r="E88" t="s">
        <v>92</v>
      </c>
      <c r="F88" t="s">
        <v>60</v>
      </c>
      <c r="G88" t="s">
        <v>20</v>
      </c>
      <c r="H88" t="s">
        <v>199</v>
      </c>
      <c r="I88">
        <v>1</v>
      </c>
      <c r="J88">
        <v>133.63</v>
      </c>
      <c r="K88">
        <v>0</v>
      </c>
      <c r="L88">
        <v>133.63</v>
      </c>
      <c r="M88">
        <v>9.94</v>
      </c>
      <c r="N88">
        <v>50.19</v>
      </c>
      <c r="O88" t="s">
        <v>39</v>
      </c>
      <c r="P88">
        <v>2023</v>
      </c>
      <c r="Q88" t="s">
        <v>3637</v>
      </c>
      <c r="R88">
        <v>133.63</v>
      </c>
      <c r="S88">
        <v>0.37558931377684601</v>
      </c>
      <c r="T88" t="s">
        <v>3632</v>
      </c>
      <c r="U88" t="s">
        <v>3633</v>
      </c>
    </row>
    <row r="89" spans="1:21" x14ac:dyDescent="0.25">
      <c r="A89" t="s">
        <v>260</v>
      </c>
      <c r="B89" s="1">
        <v>44979</v>
      </c>
      <c r="C89" t="s">
        <v>261</v>
      </c>
      <c r="D89" t="s">
        <v>17</v>
      </c>
      <c r="E89" t="s">
        <v>129</v>
      </c>
      <c r="F89" t="s">
        <v>19</v>
      </c>
      <c r="G89" t="s">
        <v>20</v>
      </c>
      <c r="H89" t="s">
        <v>175</v>
      </c>
      <c r="I89">
        <v>2</v>
      </c>
      <c r="J89">
        <v>32.06</v>
      </c>
      <c r="K89">
        <v>0</v>
      </c>
      <c r="L89">
        <v>64.12</v>
      </c>
      <c r="M89">
        <v>7.82</v>
      </c>
      <c r="N89">
        <v>21.03</v>
      </c>
      <c r="O89" t="s">
        <v>22</v>
      </c>
      <c r="P89">
        <v>2023</v>
      </c>
      <c r="Q89" t="s">
        <v>3637</v>
      </c>
      <c r="R89">
        <v>64.12</v>
      </c>
      <c r="S89">
        <v>0.32797878976918299</v>
      </c>
      <c r="T89" t="s">
        <v>3634</v>
      </c>
      <c r="U89" t="s">
        <v>3633</v>
      </c>
    </row>
    <row r="90" spans="1:21" x14ac:dyDescent="0.25">
      <c r="A90" t="s">
        <v>262</v>
      </c>
      <c r="B90" s="1">
        <v>44979</v>
      </c>
      <c r="C90" t="s">
        <v>263</v>
      </c>
      <c r="D90" t="s">
        <v>49</v>
      </c>
      <c r="E90" t="s">
        <v>76</v>
      </c>
      <c r="F90" t="s">
        <v>26</v>
      </c>
      <c r="G90" t="s">
        <v>20</v>
      </c>
      <c r="H90" t="s">
        <v>264</v>
      </c>
      <c r="I90">
        <v>4</v>
      </c>
      <c r="J90">
        <v>36.01</v>
      </c>
      <c r="K90">
        <v>15</v>
      </c>
      <c r="L90">
        <v>122.43</v>
      </c>
      <c r="M90">
        <v>10.44</v>
      </c>
      <c r="N90">
        <v>32.770000000000003</v>
      </c>
      <c r="O90" t="s">
        <v>34</v>
      </c>
      <c r="P90">
        <v>2023</v>
      </c>
      <c r="Q90" t="s">
        <v>3637</v>
      </c>
      <c r="R90">
        <v>104.0655</v>
      </c>
      <c r="S90">
        <v>0.31489782877130301</v>
      </c>
      <c r="T90" t="s">
        <v>3632</v>
      </c>
      <c r="U90" t="s">
        <v>3633</v>
      </c>
    </row>
    <row r="91" spans="1:21" x14ac:dyDescent="0.25">
      <c r="A91" t="s">
        <v>265</v>
      </c>
      <c r="B91" s="1">
        <v>44980</v>
      </c>
      <c r="C91" t="s">
        <v>266</v>
      </c>
      <c r="D91" t="s">
        <v>17</v>
      </c>
      <c r="E91" t="s">
        <v>18</v>
      </c>
      <c r="F91" t="s">
        <v>19</v>
      </c>
      <c r="G91" t="s">
        <v>32</v>
      </c>
      <c r="H91" t="s">
        <v>73</v>
      </c>
      <c r="I91">
        <v>4</v>
      </c>
      <c r="J91">
        <v>7.24</v>
      </c>
      <c r="K91">
        <v>10</v>
      </c>
      <c r="L91">
        <v>26.06</v>
      </c>
      <c r="M91">
        <v>8.85</v>
      </c>
      <c r="N91">
        <v>4.18</v>
      </c>
      <c r="O91" t="s">
        <v>34</v>
      </c>
      <c r="P91">
        <v>2023</v>
      </c>
      <c r="Q91" t="s">
        <v>3637</v>
      </c>
      <c r="R91">
        <v>23.454000000000001</v>
      </c>
      <c r="S91">
        <v>0.17822119894261099</v>
      </c>
      <c r="T91" t="s">
        <v>3634</v>
      </c>
      <c r="U91" t="s">
        <v>3633</v>
      </c>
    </row>
    <row r="92" spans="1:21" x14ac:dyDescent="0.25">
      <c r="A92" t="s">
        <v>267</v>
      </c>
      <c r="B92" s="1">
        <v>44980</v>
      </c>
      <c r="C92" t="s">
        <v>45</v>
      </c>
      <c r="D92" t="s">
        <v>49</v>
      </c>
      <c r="E92" t="s">
        <v>169</v>
      </c>
      <c r="F92" t="s">
        <v>68</v>
      </c>
      <c r="G92" t="s">
        <v>20</v>
      </c>
      <c r="H92" t="s">
        <v>264</v>
      </c>
      <c r="I92">
        <v>3</v>
      </c>
      <c r="J92">
        <v>60.99</v>
      </c>
      <c r="K92">
        <v>0</v>
      </c>
      <c r="L92">
        <v>182.97</v>
      </c>
      <c r="M92">
        <v>12.03</v>
      </c>
      <c r="N92">
        <v>70.31</v>
      </c>
      <c r="O92" t="s">
        <v>34</v>
      </c>
      <c r="P92">
        <v>2023</v>
      </c>
      <c r="Q92" t="s">
        <v>3637</v>
      </c>
      <c r="R92">
        <v>182.97</v>
      </c>
      <c r="S92">
        <v>0.38427064546100498</v>
      </c>
      <c r="T92" t="s">
        <v>3632</v>
      </c>
      <c r="U92" t="s">
        <v>3633</v>
      </c>
    </row>
    <row r="93" spans="1:21" x14ac:dyDescent="0.25">
      <c r="A93" t="s">
        <v>268</v>
      </c>
      <c r="B93" s="1">
        <v>44981</v>
      </c>
      <c r="C93" t="s">
        <v>269</v>
      </c>
      <c r="D93" t="s">
        <v>30</v>
      </c>
      <c r="E93" t="s">
        <v>248</v>
      </c>
      <c r="F93" t="s">
        <v>26</v>
      </c>
      <c r="G93" t="s">
        <v>32</v>
      </c>
      <c r="H93" t="s">
        <v>33</v>
      </c>
      <c r="I93">
        <v>6</v>
      </c>
      <c r="J93">
        <v>7.14</v>
      </c>
      <c r="K93">
        <v>0</v>
      </c>
      <c r="L93">
        <v>42.84</v>
      </c>
      <c r="M93">
        <v>12.59</v>
      </c>
      <c r="N93">
        <v>10.97</v>
      </c>
      <c r="O93" t="s">
        <v>39</v>
      </c>
      <c r="P93">
        <v>2023</v>
      </c>
      <c r="Q93" t="s">
        <v>3637</v>
      </c>
      <c r="R93">
        <v>42.84</v>
      </c>
      <c r="S93">
        <v>0.25606909430438801</v>
      </c>
      <c r="T93" t="s">
        <v>3634</v>
      </c>
      <c r="U93" t="s">
        <v>3633</v>
      </c>
    </row>
    <row r="94" spans="1:21" x14ac:dyDescent="0.25">
      <c r="A94" t="s">
        <v>270</v>
      </c>
      <c r="B94" s="1">
        <v>44982</v>
      </c>
      <c r="C94" t="s">
        <v>271</v>
      </c>
      <c r="D94" t="s">
        <v>30</v>
      </c>
      <c r="E94" t="s">
        <v>25</v>
      </c>
      <c r="F94" t="s">
        <v>26</v>
      </c>
      <c r="G94" t="s">
        <v>32</v>
      </c>
      <c r="H94" t="s">
        <v>110</v>
      </c>
      <c r="I94">
        <v>2</v>
      </c>
      <c r="J94">
        <v>8.06</v>
      </c>
      <c r="K94">
        <v>15</v>
      </c>
      <c r="L94">
        <v>13.7</v>
      </c>
      <c r="M94">
        <v>10.44</v>
      </c>
      <c r="N94">
        <v>-3.99</v>
      </c>
      <c r="O94" t="s">
        <v>56</v>
      </c>
      <c r="P94">
        <v>2023</v>
      </c>
      <c r="Q94" t="s">
        <v>3637</v>
      </c>
      <c r="R94">
        <v>11.645</v>
      </c>
      <c r="S94">
        <v>-0.342636324602834</v>
      </c>
      <c r="T94" t="s">
        <v>3634</v>
      </c>
      <c r="U94" t="s">
        <v>3636</v>
      </c>
    </row>
    <row r="95" spans="1:21" x14ac:dyDescent="0.25">
      <c r="A95" t="s">
        <v>272</v>
      </c>
      <c r="B95" s="1">
        <v>44982</v>
      </c>
      <c r="C95" t="s">
        <v>273</v>
      </c>
      <c r="D95" t="s">
        <v>17</v>
      </c>
      <c r="E95" t="s">
        <v>59</v>
      </c>
      <c r="F95" t="s">
        <v>60</v>
      </c>
      <c r="G95" t="s">
        <v>69</v>
      </c>
      <c r="H95" t="s">
        <v>79</v>
      </c>
      <c r="I95">
        <v>2</v>
      </c>
      <c r="J95">
        <v>31.71</v>
      </c>
      <c r="K95">
        <v>5</v>
      </c>
      <c r="L95">
        <v>60.25</v>
      </c>
      <c r="M95">
        <v>10.63</v>
      </c>
      <c r="N95">
        <v>17.91</v>
      </c>
      <c r="O95" t="s">
        <v>56</v>
      </c>
      <c r="P95">
        <v>2023</v>
      </c>
      <c r="Q95" t="s">
        <v>3637</v>
      </c>
      <c r="R95">
        <v>57.237499999999997</v>
      </c>
      <c r="S95">
        <v>0.312906748198297</v>
      </c>
      <c r="T95" t="s">
        <v>3634</v>
      </c>
      <c r="U95" t="s">
        <v>3633</v>
      </c>
    </row>
    <row r="96" spans="1:21" x14ac:dyDescent="0.25">
      <c r="A96" t="s">
        <v>274</v>
      </c>
      <c r="B96" s="1">
        <v>44983</v>
      </c>
      <c r="C96" t="s">
        <v>275</v>
      </c>
      <c r="D96" t="s">
        <v>30</v>
      </c>
      <c r="E96" t="s">
        <v>37</v>
      </c>
      <c r="F96" t="s">
        <v>26</v>
      </c>
      <c r="G96" t="s">
        <v>42</v>
      </c>
      <c r="H96" t="s">
        <v>64</v>
      </c>
      <c r="I96">
        <v>6</v>
      </c>
      <c r="J96">
        <v>82.3</v>
      </c>
      <c r="K96">
        <v>0</v>
      </c>
      <c r="L96">
        <v>493.8</v>
      </c>
      <c r="M96">
        <v>12.43</v>
      </c>
      <c r="N96">
        <v>185.09</v>
      </c>
      <c r="O96" t="s">
        <v>39</v>
      </c>
      <c r="P96">
        <v>2023</v>
      </c>
      <c r="Q96" t="s">
        <v>3637</v>
      </c>
      <c r="R96">
        <v>493.8</v>
      </c>
      <c r="S96">
        <v>0.374827865532604</v>
      </c>
      <c r="T96" t="s">
        <v>3632</v>
      </c>
      <c r="U96" t="s">
        <v>3633</v>
      </c>
    </row>
    <row r="97" spans="1:21" x14ac:dyDescent="0.25">
      <c r="A97" t="s">
        <v>276</v>
      </c>
      <c r="B97" s="1">
        <v>44984</v>
      </c>
      <c r="C97" t="s">
        <v>277</v>
      </c>
      <c r="D97" t="s">
        <v>30</v>
      </c>
      <c r="E97" t="s">
        <v>18</v>
      </c>
      <c r="F97" t="s">
        <v>19</v>
      </c>
      <c r="G97" t="s">
        <v>20</v>
      </c>
      <c r="H97" t="s">
        <v>38</v>
      </c>
      <c r="I97">
        <v>1</v>
      </c>
      <c r="J97">
        <v>77.48</v>
      </c>
      <c r="K97">
        <v>0</v>
      </c>
      <c r="L97">
        <v>77.48</v>
      </c>
      <c r="M97">
        <v>7.16</v>
      </c>
      <c r="N97">
        <v>27.71</v>
      </c>
      <c r="O97" t="s">
        <v>39</v>
      </c>
      <c r="P97">
        <v>2023</v>
      </c>
      <c r="Q97" t="s">
        <v>3637</v>
      </c>
      <c r="R97">
        <v>77.48</v>
      </c>
      <c r="S97">
        <v>0.357640681466185</v>
      </c>
      <c r="T97" t="s">
        <v>3634</v>
      </c>
      <c r="U97" t="s">
        <v>3633</v>
      </c>
    </row>
    <row r="98" spans="1:21" x14ac:dyDescent="0.25">
      <c r="A98" t="s">
        <v>278</v>
      </c>
      <c r="B98" s="1">
        <v>44984</v>
      </c>
      <c r="C98" t="s">
        <v>279</v>
      </c>
      <c r="D98" t="s">
        <v>30</v>
      </c>
      <c r="E98" t="s">
        <v>121</v>
      </c>
      <c r="F98" t="s">
        <v>68</v>
      </c>
      <c r="G98" t="s">
        <v>32</v>
      </c>
      <c r="H98" t="s">
        <v>73</v>
      </c>
      <c r="I98">
        <v>9</v>
      </c>
      <c r="J98">
        <v>7.24</v>
      </c>
      <c r="K98">
        <v>0</v>
      </c>
      <c r="L98">
        <v>65.16</v>
      </c>
      <c r="M98">
        <v>18.95</v>
      </c>
      <c r="N98">
        <v>16.89</v>
      </c>
      <c r="O98" t="s">
        <v>39</v>
      </c>
      <c r="P98">
        <v>2023</v>
      </c>
      <c r="Q98" t="s">
        <v>3637</v>
      </c>
      <c r="R98">
        <v>65.16</v>
      </c>
      <c r="S98">
        <v>0.25920810313075499</v>
      </c>
      <c r="T98" t="s">
        <v>3634</v>
      </c>
      <c r="U98" t="s">
        <v>3633</v>
      </c>
    </row>
    <row r="99" spans="1:21" x14ac:dyDescent="0.25">
      <c r="A99" t="s">
        <v>280</v>
      </c>
      <c r="B99" s="1">
        <v>44984</v>
      </c>
      <c r="C99" t="s">
        <v>281</v>
      </c>
      <c r="D99" t="s">
        <v>17</v>
      </c>
      <c r="E99" t="s">
        <v>166</v>
      </c>
      <c r="F99" t="s">
        <v>60</v>
      </c>
      <c r="G99" t="s">
        <v>32</v>
      </c>
      <c r="H99" t="s">
        <v>149</v>
      </c>
      <c r="I99">
        <v>12</v>
      </c>
      <c r="J99">
        <v>5.63</v>
      </c>
      <c r="K99">
        <v>5</v>
      </c>
      <c r="L99">
        <v>64.180000000000007</v>
      </c>
      <c r="M99">
        <v>31.26</v>
      </c>
      <c r="N99">
        <v>2.52</v>
      </c>
      <c r="O99" t="s">
        <v>34</v>
      </c>
      <c r="P99">
        <v>2023</v>
      </c>
      <c r="Q99" t="s">
        <v>3637</v>
      </c>
      <c r="R99">
        <v>60.970999999999997</v>
      </c>
      <c r="S99">
        <v>4.1331124633022298E-2</v>
      </c>
      <c r="T99" t="s">
        <v>3634</v>
      </c>
      <c r="U99" t="s">
        <v>3633</v>
      </c>
    </row>
    <row r="100" spans="1:21" x14ac:dyDescent="0.25">
      <c r="A100" t="s">
        <v>282</v>
      </c>
      <c r="B100" s="1">
        <v>44984</v>
      </c>
      <c r="C100" t="s">
        <v>283</v>
      </c>
      <c r="D100" t="s">
        <v>30</v>
      </c>
      <c r="E100" t="s">
        <v>129</v>
      </c>
      <c r="F100" t="s">
        <v>19</v>
      </c>
      <c r="G100" t="s">
        <v>69</v>
      </c>
      <c r="H100" t="s">
        <v>160</v>
      </c>
      <c r="I100">
        <v>2</v>
      </c>
      <c r="J100">
        <v>26.25</v>
      </c>
      <c r="K100">
        <v>10</v>
      </c>
      <c r="L100">
        <v>47.25</v>
      </c>
      <c r="M100">
        <v>6.27</v>
      </c>
      <c r="N100">
        <v>14.73</v>
      </c>
      <c r="O100" t="s">
        <v>34</v>
      </c>
      <c r="P100">
        <v>2023</v>
      </c>
      <c r="Q100" t="s">
        <v>3637</v>
      </c>
      <c r="R100">
        <v>42.524999999999999</v>
      </c>
      <c r="S100">
        <v>0.346384479717813</v>
      </c>
      <c r="T100" t="s">
        <v>3634</v>
      </c>
      <c r="U100" t="s">
        <v>3633</v>
      </c>
    </row>
    <row r="101" spans="1:21" x14ac:dyDescent="0.25">
      <c r="A101" t="s">
        <v>284</v>
      </c>
      <c r="B101" s="1">
        <v>44986</v>
      </c>
      <c r="C101" t="s">
        <v>285</v>
      </c>
      <c r="D101" t="s">
        <v>30</v>
      </c>
      <c r="E101" t="s">
        <v>148</v>
      </c>
      <c r="F101" t="s">
        <v>60</v>
      </c>
      <c r="G101" t="s">
        <v>20</v>
      </c>
      <c r="H101" t="s">
        <v>199</v>
      </c>
      <c r="I101">
        <v>2</v>
      </c>
      <c r="J101">
        <v>135.29</v>
      </c>
      <c r="K101">
        <v>0</v>
      </c>
      <c r="L101">
        <v>270.58</v>
      </c>
      <c r="M101">
        <v>10.07</v>
      </c>
      <c r="N101">
        <v>111.69</v>
      </c>
      <c r="O101" t="s">
        <v>22</v>
      </c>
      <c r="P101">
        <v>2023</v>
      </c>
      <c r="Q101" t="s">
        <v>3638</v>
      </c>
      <c r="R101">
        <v>270.58</v>
      </c>
      <c r="S101">
        <v>0.412779954172518</v>
      </c>
      <c r="T101" t="s">
        <v>3632</v>
      </c>
      <c r="U101" t="s">
        <v>3633</v>
      </c>
    </row>
    <row r="102" spans="1:21" x14ac:dyDescent="0.25">
      <c r="A102" t="s">
        <v>286</v>
      </c>
      <c r="B102" s="1">
        <v>44987</v>
      </c>
      <c r="C102" t="s">
        <v>287</v>
      </c>
      <c r="D102" t="s">
        <v>30</v>
      </c>
      <c r="E102" t="s">
        <v>92</v>
      </c>
      <c r="F102" t="s">
        <v>60</v>
      </c>
      <c r="G102" t="s">
        <v>42</v>
      </c>
      <c r="H102" t="s">
        <v>255</v>
      </c>
      <c r="I102">
        <v>1</v>
      </c>
      <c r="J102">
        <v>24.66</v>
      </c>
      <c r="K102">
        <v>0</v>
      </c>
      <c r="L102">
        <v>24.66</v>
      </c>
      <c r="M102">
        <v>11.27</v>
      </c>
      <c r="N102">
        <v>-1.41</v>
      </c>
      <c r="O102" t="s">
        <v>34</v>
      </c>
      <c r="P102">
        <v>2023</v>
      </c>
      <c r="Q102" t="s">
        <v>3638</v>
      </c>
      <c r="R102">
        <v>24.66</v>
      </c>
      <c r="S102">
        <v>-5.7177615571776197E-2</v>
      </c>
      <c r="T102" t="s">
        <v>3634</v>
      </c>
      <c r="U102" t="s">
        <v>3636</v>
      </c>
    </row>
    <row r="103" spans="1:21" x14ac:dyDescent="0.25">
      <c r="A103" t="s">
        <v>288</v>
      </c>
      <c r="B103" s="1">
        <v>44987</v>
      </c>
      <c r="C103" t="s">
        <v>289</v>
      </c>
      <c r="D103" t="s">
        <v>17</v>
      </c>
      <c r="E103" t="s">
        <v>85</v>
      </c>
      <c r="F103" t="s">
        <v>60</v>
      </c>
      <c r="G103" t="s">
        <v>20</v>
      </c>
      <c r="H103" t="s">
        <v>27</v>
      </c>
      <c r="I103">
        <v>4</v>
      </c>
      <c r="J103">
        <v>165.1</v>
      </c>
      <c r="K103">
        <v>5</v>
      </c>
      <c r="L103">
        <v>627.38</v>
      </c>
      <c r="M103">
        <v>15.44</v>
      </c>
      <c r="N103">
        <v>248.72</v>
      </c>
      <c r="O103" t="s">
        <v>34</v>
      </c>
      <c r="P103">
        <v>2023</v>
      </c>
      <c r="Q103" t="s">
        <v>3638</v>
      </c>
      <c r="R103">
        <v>596.01099999999997</v>
      </c>
      <c r="S103">
        <v>0.41730773425322698</v>
      </c>
      <c r="T103" t="s">
        <v>3635</v>
      </c>
      <c r="U103" t="s">
        <v>3633</v>
      </c>
    </row>
    <row r="104" spans="1:21" x14ac:dyDescent="0.25">
      <c r="A104" t="s">
        <v>290</v>
      </c>
      <c r="B104" s="1">
        <v>44987</v>
      </c>
      <c r="C104" t="s">
        <v>291</v>
      </c>
      <c r="D104" t="s">
        <v>30</v>
      </c>
      <c r="E104" t="s">
        <v>37</v>
      </c>
      <c r="F104" t="s">
        <v>26</v>
      </c>
      <c r="G104" t="s">
        <v>32</v>
      </c>
      <c r="H104" t="s">
        <v>132</v>
      </c>
      <c r="I104">
        <v>2</v>
      </c>
      <c r="J104">
        <v>11.57</v>
      </c>
      <c r="K104">
        <v>25</v>
      </c>
      <c r="L104">
        <v>17.36</v>
      </c>
      <c r="M104">
        <v>8.09</v>
      </c>
      <c r="N104">
        <v>-1.1399999999999999</v>
      </c>
      <c r="O104" t="s">
        <v>22</v>
      </c>
      <c r="P104">
        <v>2023</v>
      </c>
      <c r="Q104" t="s">
        <v>3638</v>
      </c>
      <c r="R104">
        <v>13.02</v>
      </c>
      <c r="S104">
        <v>-8.7557603686635899E-2</v>
      </c>
      <c r="T104" t="s">
        <v>3634</v>
      </c>
      <c r="U104" t="s">
        <v>3636</v>
      </c>
    </row>
    <row r="105" spans="1:21" x14ac:dyDescent="0.25">
      <c r="A105" t="s">
        <v>292</v>
      </c>
      <c r="B105" s="1">
        <v>44987</v>
      </c>
      <c r="C105" t="s">
        <v>293</v>
      </c>
      <c r="D105" t="s">
        <v>49</v>
      </c>
      <c r="E105" t="s">
        <v>18</v>
      </c>
      <c r="F105" t="s">
        <v>19</v>
      </c>
      <c r="G105" t="s">
        <v>42</v>
      </c>
      <c r="H105" t="s">
        <v>294</v>
      </c>
      <c r="I105">
        <v>1</v>
      </c>
      <c r="J105">
        <v>113.52</v>
      </c>
      <c r="K105">
        <v>10</v>
      </c>
      <c r="L105">
        <v>102.17</v>
      </c>
      <c r="M105">
        <v>7.35</v>
      </c>
      <c r="N105">
        <v>26.71</v>
      </c>
      <c r="O105" t="s">
        <v>34</v>
      </c>
      <c r="P105">
        <v>2023</v>
      </c>
      <c r="Q105" t="s">
        <v>3638</v>
      </c>
      <c r="R105">
        <v>91.953000000000003</v>
      </c>
      <c r="S105">
        <v>0.290474481528607</v>
      </c>
      <c r="T105" t="s">
        <v>3632</v>
      </c>
      <c r="U105" t="s">
        <v>3633</v>
      </c>
    </row>
    <row r="106" spans="1:21" x14ac:dyDescent="0.25">
      <c r="A106" t="s">
        <v>295</v>
      </c>
      <c r="B106" s="1">
        <v>44987</v>
      </c>
      <c r="C106" t="s">
        <v>296</v>
      </c>
      <c r="D106" t="s">
        <v>17</v>
      </c>
      <c r="E106" t="s">
        <v>92</v>
      </c>
      <c r="F106" t="s">
        <v>60</v>
      </c>
      <c r="G106" t="s">
        <v>32</v>
      </c>
      <c r="H106" t="s">
        <v>101</v>
      </c>
      <c r="I106">
        <v>4</v>
      </c>
      <c r="J106">
        <v>9.18</v>
      </c>
      <c r="K106">
        <v>20</v>
      </c>
      <c r="L106">
        <v>29.38</v>
      </c>
      <c r="M106">
        <v>12.6</v>
      </c>
      <c r="N106">
        <v>0.26</v>
      </c>
      <c r="O106" t="s">
        <v>39</v>
      </c>
      <c r="P106">
        <v>2023</v>
      </c>
      <c r="Q106" t="s">
        <v>3638</v>
      </c>
      <c r="R106">
        <v>23.504000000000001</v>
      </c>
      <c r="S106">
        <v>1.10619469026549E-2</v>
      </c>
      <c r="T106" t="s">
        <v>3634</v>
      </c>
      <c r="U106" t="s">
        <v>3633</v>
      </c>
    </row>
    <row r="107" spans="1:21" x14ac:dyDescent="0.25">
      <c r="A107" t="s">
        <v>297</v>
      </c>
      <c r="B107" s="1">
        <v>44987</v>
      </c>
      <c r="C107" t="s">
        <v>298</v>
      </c>
      <c r="D107" t="s">
        <v>49</v>
      </c>
      <c r="E107" t="s">
        <v>92</v>
      </c>
      <c r="F107" t="s">
        <v>60</v>
      </c>
      <c r="G107" t="s">
        <v>20</v>
      </c>
      <c r="H107" t="s">
        <v>21</v>
      </c>
      <c r="I107">
        <v>2</v>
      </c>
      <c r="J107">
        <v>201.32</v>
      </c>
      <c r="K107">
        <v>0</v>
      </c>
      <c r="L107">
        <v>402.64</v>
      </c>
      <c r="M107">
        <v>13.72</v>
      </c>
      <c r="N107">
        <v>167.47</v>
      </c>
      <c r="O107" t="s">
        <v>39</v>
      </c>
      <c r="P107">
        <v>2023</v>
      </c>
      <c r="Q107" t="s">
        <v>3638</v>
      </c>
      <c r="R107">
        <v>402.64</v>
      </c>
      <c r="S107">
        <v>0.41592986290482797</v>
      </c>
      <c r="T107" t="s">
        <v>3632</v>
      </c>
      <c r="U107" t="s">
        <v>3633</v>
      </c>
    </row>
    <row r="108" spans="1:21" x14ac:dyDescent="0.25">
      <c r="A108" t="s">
        <v>299</v>
      </c>
      <c r="B108" s="1">
        <v>44989</v>
      </c>
      <c r="C108" t="s">
        <v>300</v>
      </c>
      <c r="D108" t="s">
        <v>30</v>
      </c>
      <c r="E108" t="s">
        <v>129</v>
      </c>
      <c r="F108" t="s">
        <v>19</v>
      </c>
      <c r="G108" t="s">
        <v>20</v>
      </c>
      <c r="H108" t="s">
        <v>27</v>
      </c>
      <c r="I108">
        <v>9</v>
      </c>
      <c r="J108">
        <v>90.24</v>
      </c>
      <c r="K108">
        <v>10</v>
      </c>
      <c r="L108">
        <v>730.94</v>
      </c>
      <c r="M108">
        <v>18.86</v>
      </c>
      <c r="N108">
        <v>265.39</v>
      </c>
      <c r="O108" t="s">
        <v>34</v>
      </c>
      <c r="P108">
        <v>2023</v>
      </c>
      <c r="Q108" t="s">
        <v>3638</v>
      </c>
      <c r="R108">
        <v>657.846</v>
      </c>
      <c r="S108">
        <v>0.40342268555254601</v>
      </c>
      <c r="T108" t="s">
        <v>3635</v>
      </c>
      <c r="U108" t="s">
        <v>3633</v>
      </c>
    </row>
    <row r="109" spans="1:21" x14ac:dyDescent="0.25">
      <c r="A109" t="s">
        <v>301</v>
      </c>
      <c r="B109" s="1">
        <v>44990</v>
      </c>
      <c r="C109" t="s">
        <v>302</v>
      </c>
      <c r="D109" t="s">
        <v>17</v>
      </c>
      <c r="E109" t="s">
        <v>92</v>
      </c>
      <c r="F109" t="s">
        <v>60</v>
      </c>
      <c r="G109" t="s">
        <v>32</v>
      </c>
      <c r="H109" t="s">
        <v>132</v>
      </c>
      <c r="I109">
        <v>1</v>
      </c>
      <c r="J109">
        <v>18.57</v>
      </c>
      <c r="K109">
        <v>0</v>
      </c>
      <c r="L109">
        <v>18.57</v>
      </c>
      <c r="M109">
        <v>9.91</v>
      </c>
      <c r="N109">
        <v>0.3</v>
      </c>
      <c r="O109" t="s">
        <v>34</v>
      </c>
      <c r="P109">
        <v>2023</v>
      </c>
      <c r="Q109" t="s">
        <v>3638</v>
      </c>
      <c r="R109">
        <v>18.57</v>
      </c>
      <c r="S109">
        <v>1.6155088852988699E-2</v>
      </c>
      <c r="T109" t="s">
        <v>3634</v>
      </c>
      <c r="U109" t="s">
        <v>3633</v>
      </c>
    </row>
    <row r="110" spans="1:21" x14ac:dyDescent="0.25">
      <c r="A110" t="s">
        <v>303</v>
      </c>
      <c r="B110" s="1">
        <v>44991</v>
      </c>
      <c r="C110" t="s">
        <v>304</v>
      </c>
      <c r="D110" t="s">
        <v>30</v>
      </c>
      <c r="E110" t="s">
        <v>76</v>
      </c>
      <c r="F110" t="s">
        <v>26</v>
      </c>
      <c r="G110" t="s">
        <v>69</v>
      </c>
      <c r="H110" t="s">
        <v>305</v>
      </c>
      <c r="I110">
        <v>3</v>
      </c>
      <c r="J110">
        <v>29.57</v>
      </c>
      <c r="K110">
        <v>10</v>
      </c>
      <c r="L110">
        <v>79.84</v>
      </c>
      <c r="M110">
        <v>10.88</v>
      </c>
      <c r="N110">
        <v>24.6</v>
      </c>
      <c r="O110" t="s">
        <v>56</v>
      </c>
      <c r="P110">
        <v>2023</v>
      </c>
      <c r="Q110" t="s">
        <v>3638</v>
      </c>
      <c r="R110">
        <v>71.855999999999995</v>
      </c>
      <c r="S110">
        <v>0.342351369405478</v>
      </c>
      <c r="T110" t="s">
        <v>3634</v>
      </c>
      <c r="U110" t="s">
        <v>3633</v>
      </c>
    </row>
    <row r="111" spans="1:21" x14ac:dyDescent="0.25">
      <c r="A111" t="s">
        <v>306</v>
      </c>
      <c r="B111" s="1">
        <v>44992</v>
      </c>
      <c r="C111" t="s">
        <v>307</v>
      </c>
      <c r="D111" t="s">
        <v>30</v>
      </c>
      <c r="E111" t="s">
        <v>59</v>
      </c>
      <c r="F111" t="s">
        <v>60</v>
      </c>
      <c r="G111" t="s">
        <v>32</v>
      </c>
      <c r="H111" t="s">
        <v>50</v>
      </c>
      <c r="I111">
        <v>1</v>
      </c>
      <c r="J111">
        <v>11.17</v>
      </c>
      <c r="K111">
        <v>20</v>
      </c>
      <c r="L111">
        <v>8.94</v>
      </c>
      <c r="M111">
        <v>10.07</v>
      </c>
      <c r="N111">
        <v>-6.16</v>
      </c>
      <c r="O111" t="s">
        <v>34</v>
      </c>
      <c r="P111">
        <v>2023</v>
      </c>
      <c r="Q111" t="s">
        <v>3638</v>
      </c>
      <c r="R111">
        <v>7.1520000000000001</v>
      </c>
      <c r="S111">
        <v>-0.86129753914988805</v>
      </c>
      <c r="T111" t="s">
        <v>3634</v>
      </c>
      <c r="U111" t="s">
        <v>3636</v>
      </c>
    </row>
    <row r="112" spans="1:21" x14ac:dyDescent="0.25">
      <c r="A112" t="s">
        <v>308</v>
      </c>
      <c r="B112" s="1">
        <v>44992</v>
      </c>
      <c r="C112" t="s">
        <v>309</v>
      </c>
      <c r="D112" t="s">
        <v>30</v>
      </c>
      <c r="E112" t="s">
        <v>18</v>
      </c>
      <c r="F112" t="s">
        <v>19</v>
      </c>
      <c r="G112" t="s">
        <v>32</v>
      </c>
      <c r="H112" t="s">
        <v>82</v>
      </c>
      <c r="I112">
        <v>8</v>
      </c>
      <c r="J112">
        <v>20.92</v>
      </c>
      <c r="K112">
        <v>0</v>
      </c>
      <c r="L112">
        <v>167.36</v>
      </c>
      <c r="M112">
        <v>18.97</v>
      </c>
      <c r="N112">
        <v>73.08</v>
      </c>
      <c r="O112" t="s">
        <v>56</v>
      </c>
      <c r="P112">
        <v>2023</v>
      </c>
      <c r="Q112" t="s">
        <v>3638</v>
      </c>
      <c r="R112">
        <v>167.36</v>
      </c>
      <c r="S112">
        <v>0.43666347992351801</v>
      </c>
      <c r="T112" t="s">
        <v>3632</v>
      </c>
      <c r="U112" t="s">
        <v>3633</v>
      </c>
    </row>
    <row r="113" spans="1:21" x14ac:dyDescent="0.25">
      <c r="A113" t="s">
        <v>310</v>
      </c>
      <c r="B113" s="1">
        <v>44993</v>
      </c>
      <c r="C113" t="s">
        <v>311</v>
      </c>
      <c r="D113" t="s">
        <v>17</v>
      </c>
      <c r="E113" t="s">
        <v>37</v>
      </c>
      <c r="F113" t="s">
        <v>26</v>
      </c>
      <c r="G113" t="s">
        <v>32</v>
      </c>
      <c r="H113" t="s">
        <v>101</v>
      </c>
      <c r="I113">
        <v>5</v>
      </c>
      <c r="J113">
        <v>11.95</v>
      </c>
      <c r="K113">
        <v>10</v>
      </c>
      <c r="L113">
        <v>53.77</v>
      </c>
      <c r="M113">
        <v>14.79</v>
      </c>
      <c r="N113">
        <v>12.09</v>
      </c>
      <c r="O113" t="s">
        <v>34</v>
      </c>
      <c r="P113">
        <v>2023</v>
      </c>
      <c r="Q113" t="s">
        <v>3638</v>
      </c>
      <c r="R113">
        <v>48.393000000000001</v>
      </c>
      <c r="S113">
        <v>0.24982952079846299</v>
      </c>
      <c r="T113" t="s">
        <v>3634</v>
      </c>
      <c r="U113" t="s">
        <v>3633</v>
      </c>
    </row>
    <row r="114" spans="1:21" x14ac:dyDescent="0.25">
      <c r="A114" t="s">
        <v>312</v>
      </c>
      <c r="B114" s="1">
        <v>44993</v>
      </c>
      <c r="C114" t="s">
        <v>313</v>
      </c>
      <c r="D114" t="s">
        <v>49</v>
      </c>
      <c r="E114" t="s">
        <v>25</v>
      </c>
      <c r="F114" t="s">
        <v>26</v>
      </c>
      <c r="G114" t="s">
        <v>42</v>
      </c>
      <c r="H114" t="s">
        <v>64</v>
      </c>
      <c r="I114">
        <v>3</v>
      </c>
      <c r="J114">
        <v>59.88</v>
      </c>
      <c r="K114">
        <v>20</v>
      </c>
      <c r="L114">
        <v>143.71</v>
      </c>
      <c r="M114">
        <v>9.34</v>
      </c>
      <c r="N114">
        <v>26.59</v>
      </c>
      <c r="O114" t="s">
        <v>56</v>
      </c>
      <c r="P114">
        <v>2023</v>
      </c>
      <c r="Q114" t="s">
        <v>3638</v>
      </c>
      <c r="R114">
        <v>114.968</v>
      </c>
      <c r="S114">
        <v>0.23128174796465101</v>
      </c>
      <c r="T114" t="s">
        <v>3632</v>
      </c>
      <c r="U114" t="s">
        <v>3633</v>
      </c>
    </row>
    <row r="115" spans="1:21" x14ac:dyDescent="0.25">
      <c r="A115" t="s">
        <v>314</v>
      </c>
      <c r="B115" s="1">
        <v>44993</v>
      </c>
      <c r="C115" t="s">
        <v>315</v>
      </c>
      <c r="D115" t="s">
        <v>30</v>
      </c>
      <c r="E115" t="s">
        <v>169</v>
      </c>
      <c r="F115" t="s">
        <v>68</v>
      </c>
      <c r="G115" t="s">
        <v>42</v>
      </c>
      <c r="H115" t="s">
        <v>118</v>
      </c>
      <c r="I115">
        <v>6</v>
      </c>
      <c r="J115">
        <v>99.69</v>
      </c>
      <c r="K115">
        <v>0</v>
      </c>
      <c r="L115">
        <v>598.14</v>
      </c>
      <c r="M115">
        <v>18.010000000000002</v>
      </c>
      <c r="N115">
        <v>221.25</v>
      </c>
      <c r="O115" t="s">
        <v>34</v>
      </c>
      <c r="P115">
        <v>2023</v>
      </c>
      <c r="Q115" t="s">
        <v>3638</v>
      </c>
      <c r="R115">
        <v>598.14</v>
      </c>
      <c r="S115">
        <v>0.369896679707092</v>
      </c>
      <c r="T115" t="s">
        <v>3635</v>
      </c>
      <c r="U115" t="s">
        <v>3633</v>
      </c>
    </row>
    <row r="116" spans="1:21" x14ac:dyDescent="0.25">
      <c r="A116" t="s">
        <v>316</v>
      </c>
      <c r="B116" s="1">
        <v>44993</v>
      </c>
      <c r="C116" t="s">
        <v>317</v>
      </c>
      <c r="D116" t="s">
        <v>17</v>
      </c>
      <c r="E116" t="s">
        <v>169</v>
      </c>
      <c r="F116" t="s">
        <v>68</v>
      </c>
      <c r="G116" t="s">
        <v>42</v>
      </c>
      <c r="H116" t="s">
        <v>93</v>
      </c>
      <c r="I116">
        <v>1</v>
      </c>
      <c r="J116">
        <v>354.67</v>
      </c>
      <c r="K116">
        <v>5</v>
      </c>
      <c r="L116">
        <v>336.94</v>
      </c>
      <c r="M116">
        <v>12.41</v>
      </c>
      <c r="N116">
        <v>111.73</v>
      </c>
      <c r="O116" t="s">
        <v>34</v>
      </c>
      <c r="P116">
        <v>2023</v>
      </c>
      <c r="Q116" t="s">
        <v>3638</v>
      </c>
      <c r="R116">
        <v>320.09300000000002</v>
      </c>
      <c r="S116">
        <v>0.34905480594702198</v>
      </c>
      <c r="T116" t="s">
        <v>3632</v>
      </c>
      <c r="U116" t="s">
        <v>3633</v>
      </c>
    </row>
    <row r="117" spans="1:21" x14ac:dyDescent="0.25">
      <c r="A117" t="s">
        <v>318</v>
      </c>
      <c r="B117" s="1">
        <v>44994</v>
      </c>
      <c r="C117" t="s">
        <v>319</v>
      </c>
      <c r="D117" t="s">
        <v>30</v>
      </c>
      <c r="E117" t="s">
        <v>109</v>
      </c>
      <c r="F117" t="s">
        <v>54</v>
      </c>
      <c r="G117" t="s">
        <v>32</v>
      </c>
      <c r="H117" t="s">
        <v>50</v>
      </c>
      <c r="I117">
        <v>4</v>
      </c>
      <c r="J117">
        <v>22.67</v>
      </c>
      <c r="K117">
        <v>0</v>
      </c>
      <c r="L117">
        <v>90.68</v>
      </c>
      <c r="M117">
        <v>14.32</v>
      </c>
      <c r="N117">
        <v>35.549999999999997</v>
      </c>
      <c r="O117" t="s">
        <v>56</v>
      </c>
      <c r="P117">
        <v>2023</v>
      </c>
      <c r="Q117" t="s">
        <v>3638</v>
      </c>
      <c r="R117">
        <v>90.68</v>
      </c>
      <c r="S117">
        <v>0.392037935597706</v>
      </c>
      <c r="T117" t="s">
        <v>3634</v>
      </c>
      <c r="U117" t="s">
        <v>3633</v>
      </c>
    </row>
    <row r="118" spans="1:21" x14ac:dyDescent="0.25">
      <c r="A118" t="s">
        <v>320</v>
      </c>
      <c r="B118" s="1">
        <v>44995</v>
      </c>
      <c r="C118" t="s">
        <v>321</v>
      </c>
      <c r="D118" t="s">
        <v>17</v>
      </c>
      <c r="E118" t="s">
        <v>129</v>
      </c>
      <c r="F118" t="s">
        <v>19</v>
      </c>
      <c r="G118" t="s">
        <v>32</v>
      </c>
      <c r="H118" t="s">
        <v>33</v>
      </c>
      <c r="I118">
        <v>4</v>
      </c>
      <c r="J118">
        <v>5.48</v>
      </c>
      <c r="K118">
        <v>5</v>
      </c>
      <c r="L118">
        <v>20.82</v>
      </c>
      <c r="M118">
        <v>12</v>
      </c>
      <c r="N118">
        <v>-1.04</v>
      </c>
      <c r="O118" t="s">
        <v>22</v>
      </c>
      <c r="P118">
        <v>2023</v>
      </c>
      <c r="Q118" t="s">
        <v>3638</v>
      </c>
      <c r="R118">
        <v>19.779</v>
      </c>
      <c r="S118">
        <v>-5.2581020274028001E-2</v>
      </c>
      <c r="T118" t="s">
        <v>3634</v>
      </c>
      <c r="U118" t="s">
        <v>3636</v>
      </c>
    </row>
    <row r="119" spans="1:21" x14ac:dyDescent="0.25">
      <c r="A119" t="s">
        <v>322</v>
      </c>
      <c r="B119" s="1">
        <v>44995</v>
      </c>
      <c r="C119" t="s">
        <v>323</v>
      </c>
      <c r="D119" t="s">
        <v>49</v>
      </c>
      <c r="E119" t="s">
        <v>37</v>
      </c>
      <c r="F119" t="s">
        <v>26</v>
      </c>
      <c r="G119" t="s">
        <v>20</v>
      </c>
      <c r="H119" t="s">
        <v>27</v>
      </c>
      <c r="I119">
        <v>8</v>
      </c>
      <c r="J119">
        <v>107.75</v>
      </c>
      <c r="K119">
        <v>10</v>
      </c>
      <c r="L119">
        <v>775.8</v>
      </c>
      <c r="M119">
        <v>14.93</v>
      </c>
      <c r="N119">
        <v>286.77</v>
      </c>
      <c r="O119" t="s">
        <v>34</v>
      </c>
      <c r="P119">
        <v>2023</v>
      </c>
      <c r="Q119" t="s">
        <v>3638</v>
      </c>
      <c r="R119">
        <v>698.22</v>
      </c>
      <c r="S119">
        <v>0.410715820228581</v>
      </c>
      <c r="T119" t="s">
        <v>3635</v>
      </c>
      <c r="U119" t="s">
        <v>3633</v>
      </c>
    </row>
    <row r="120" spans="1:21" x14ac:dyDescent="0.25">
      <c r="A120" t="s">
        <v>324</v>
      </c>
      <c r="B120" s="1">
        <v>44996</v>
      </c>
      <c r="C120" t="s">
        <v>325</v>
      </c>
      <c r="D120" t="s">
        <v>30</v>
      </c>
      <c r="E120" t="s">
        <v>37</v>
      </c>
      <c r="F120" t="s">
        <v>26</v>
      </c>
      <c r="G120" t="s">
        <v>32</v>
      </c>
      <c r="H120" t="s">
        <v>33</v>
      </c>
      <c r="I120">
        <v>1</v>
      </c>
      <c r="J120">
        <v>11.11</v>
      </c>
      <c r="K120">
        <v>0</v>
      </c>
      <c r="L120">
        <v>11.11</v>
      </c>
      <c r="M120">
        <v>8.11</v>
      </c>
      <c r="N120">
        <v>-2</v>
      </c>
      <c r="O120" t="s">
        <v>22</v>
      </c>
      <c r="P120">
        <v>2023</v>
      </c>
      <c r="Q120" t="s">
        <v>3638</v>
      </c>
      <c r="R120">
        <v>11.11</v>
      </c>
      <c r="S120">
        <v>-0.18001800180017999</v>
      </c>
      <c r="T120" t="s">
        <v>3634</v>
      </c>
      <c r="U120" t="s">
        <v>3636</v>
      </c>
    </row>
    <row r="121" spans="1:21" x14ac:dyDescent="0.25">
      <c r="A121" t="s">
        <v>326</v>
      </c>
      <c r="B121" s="1">
        <v>44997</v>
      </c>
      <c r="C121" t="s">
        <v>327</v>
      </c>
      <c r="D121" t="s">
        <v>17</v>
      </c>
      <c r="E121" t="s">
        <v>37</v>
      </c>
      <c r="F121" t="s">
        <v>26</v>
      </c>
      <c r="G121" t="s">
        <v>20</v>
      </c>
      <c r="H121" t="s">
        <v>106</v>
      </c>
      <c r="I121">
        <v>2</v>
      </c>
      <c r="J121">
        <v>27.32</v>
      </c>
      <c r="K121">
        <v>10</v>
      </c>
      <c r="L121">
        <v>49.18</v>
      </c>
      <c r="M121">
        <v>10.1</v>
      </c>
      <c r="N121">
        <v>9.0299999999999994</v>
      </c>
      <c r="O121" t="s">
        <v>34</v>
      </c>
      <c r="P121">
        <v>2023</v>
      </c>
      <c r="Q121" t="s">
        <v>3638</v>
      </c>
      <c r="R121">
        <v>44.262</v>
      </c>
      <c r="S121">
        <v>0.204012471194252</v>
      </c>
      <c r="T121" t="s">
        <v>3634</v>
      </c>
      <c r="U121" t="s">
        <v>3633</v>
      </c>
    </row>
    <row r="122" spans="1:21" x14ac:dyDescent="0.25">
      <c r="A122" t="s">
        <v>328</v>
      </c>
      <c r="B122" s="1">
        <v>44998</v>
      </c>
      <c r="C122" t="s">
        <v>329</v>
      </c>
      <c r="D122" t="s">
        <v>30</v>
      </c>
      <c r="E122" t="s">
        <v>148</v>
      </c>
      <c r="F122" t="s">
        <v>60</v>
      </c>
      <c r="G122" t="s">
        <v>32</v>
      </c>
      <c r="H122" t="s">
        <v>50</v>
      </c>
      <c r="I122">
        <v>5</v>
      </c>
      <c r="J122">
        <v>19.739999999999998</v>
      </c>
      <c r="K122">
        <v>0</v>
      </c>
      <c r="L122">
        <v>98.7</v>
      </c>
      <c r="M122">
        <v>17.03</v>
      </c>
      <c r="N122">
        <v>37.26</v>
      </c>
      <c r="O122" t="s">
        <v>34</v>
      </c>
      <c r="P122">
        <v>2023</v>
      </c>
      <c r="Q122" t="s">
        <v>3638</v>
      </c>
      <c r="R122">
        <v>98.7</v>
      </c>
      <c r="S122">
        <v>0.37750759878419399</v>
      </c>
      <c r="T122" t="s">
        <v>3634</v>
      </c>
      <c r="U122" t="s">
        <v>3633</v>
      </c>
    </row>
    <row r="123" spans="1:21" x14ac:dyDescent="0.25">
      <c r="A123" t="s">
        <v>330</v>
      </c>
      <c r="B123" s="1">
        <v>44998</v>
      </c>
      <c r="C123" t="s">
        <v>331</v>
      </c>
      <c r="D123" t="s">
        <v>30</v>
      </c>
      <c r="E123" t="s">
        <v>138</v>
      </c>
      <c r="F123" t="s">
        <v>54</v>
      </c>
      <c r="G123" t="s">
        <v>69</v>
      </c>
      <c r="H123" t="s">
        <v>79</v>
      </c>
      <c r="I123">
        <v>3</v>
      </c>
      <c r="J123">
        <v>70.31</v>
      </c>
      <c r="K123">
        <v>0</v>
      </c>
      <c r="L123">
        <v>210.93</v>
      </c>
      <c r="M123">
        <v>15.46</v>
      </c>
      <c r="N123">
        <v>90</v>
      </c>
      <c r="O123" t="s">
        <v>39</v>
      </c>
      <c r="P123">
        <v>2023</v>
      </c>
      <c r="Q123" t="s">
        <v>3638</v>
      </c>
      <c r="R123">
        <v>210.93</v>
      </c>
      <c r="S123">
        <v>0.42668183757644701</v>
      </c>
      <c r="T123" t="s">
        <v>3632</v>
      </c>
      <c r="U123" t="s">
        <v>3633</v>
      </c>
    </row>
    <row r="124" spans="1:21" x14ac:dyDescent="0.25">
      <c r="A124" t="s">
        <v>332</v>
      </c>
      <c r="B124" s="1">
        <v>45000</v>
      </c>
      <c r="C124" t="s">
        <v>333</v>
      </c>
      <c r="D124" t="s">
        <v>17</v>
      </c>
      <c r="E124" t="s">
        <v>53</v>
      </c>
      <c r="F124" t="s">
        <v>54</v>
      </c>
      <c r="G124" t="s">
        <v>20</v>
      </c>
      <c r="H124" t="s">
        <v>122</v>
      </c>
      <c r="I124">
        <v>5</v>
      </c>
      <c r="J124">
        <v>149.77000000000001</v>
      </c>
      <c r="K124">
        <v>10</v>
      </c>
      <c r="L124">
        <v>673.97</v>
      </c>
      <c r="M124">
        <v>14.48</v>
      </c>
      <c r="N124">
        <v>247.62</v>
      </c>
      <c r="O124" t="s">
        <v>39</v>
      </c>
      <c r="P124">
        <v>2023</v>
      </c>
      <c r="Q124" t="s">
        <v>3638</v>
      </c>
      <c r="R124">
        <v>606.57299999999998</v>
      </c>
      <c r="S124">
        <v>0.40822786375259001</v>
      </c>
      <c r="T124" t="s">
        <v>3635</v>
      </c>
      <c r="U124" t="s">
        <v>3633</v>
      </c>
    </row>
    <row r="125" spans="1:21" x14ac:dyDescent="0.25">
      <c r="A125" t="s">
        <v>334</v>
      </c>
      <c r="B125" s="1">
        <v>45000</v>
      </c>
      <c r="C125" t="s">
        <v>335</v>
      </c>
      <c r="D125" t="s">
        <v>49</v>
      </c>
      <c r="E125" t="s">
        <v>31</v>
      </c>
      <c r="F125" t="s">
        <v>19</v>
      </c>
      <c r="G125" t="s">
        <v>20</v>
      </c>
      <c r="H125" t="s">
        <v>27</v>
      </c>
      <c r="I125">
        <v>2</v>
      </c>
      <c r="J125">
        <v>54.94</v>
      </c>
      <c r="K125">
        <v>0</v>
      </c>
      <c r="L125">
        <v>109.88</v>
      </c>
      <c r="M125">
        <v>8.77</v>
      </c>
      <c r="N125">
        <v>40.68</v>
      </c>
      <c r="O125" t="s">
        <v>34</v>
      </c>
      <c r="P125">
        <v>2023</v>
      </c>
      <c r="Q125" t="s">
        <v>3638</v>
      </c>
      <c r="R125">
        <v>109.88</v>
      </c>
      <c r="S125">
        <v>0.37022206042956002</v>
      </c>
      <c r="T125" t="s">
        <v>3632</v>
      </c>
      <c r="U125" t="s">
        <v>3633</v>
      </c>
    </row>
    <row r="126" spans="1:21" x14ac:dyDescent="0.25">
      <c r="A126" t="s">
        <v>336</v>
      </c>
      <c r="B126" s="1">
        <v>45001</v>
      </c>
      <c r="C126" t="s">
        <v>337</v>
      </c>
      <c r="D126" t="s">
        <v>30</v>
      </c>
      <c r="E126" t="s">
        <v>169</v>
      </c>
      <c r="F126" t="s">
        <v>68</v>
      </c>
      <c r="G126" t="s">
        <v>69</v>
      </c>
      <c r="H126" t="s">
        <v>305</v>
      </c>
      <c r="I126">
        <v>5</v>
      </c>
      <c r="J126">
        <v>61.18</v>
      </c>
      <c r="K126">
        <v>10</v>
      </c>
      <c r="L126">
        <v>275.31</v>
      </c>
      <c r="M126">
        <v>14.66</v>
      </c>
      <c r="N126">
        <v>107.7</v>
      </c>
      <c r="O126" t="s">
        <v>34</v>
      </c>
      <c r="P126">
        <v>2023</v>
      </c>
      <c r="Q126" t="s">
        <v>3638</v>
      </c>
      <c r="R126">
        <v>247.779</v>
      </c>
      <c r="S126">
        <v>0.43466153305970201</v>
      </c>
      <c r="T126" t="s">
        <v>3632</v>
      </c>
      <c r="U126" t="s">
        <v>3633</v>
      </c>
    </row>
    <row r="127" spans="1:21" x14ac:dyDescent="0.25">
      <c r="A127" t="s">
        <v>338</v>
      </c>
      <c r="B127" s="1">
        <v>45001</v>
      </c>
      <c r="C127" t="s">
        <v>339</v>
      </c>
      <c r="D127" t="s">
        <v>30</v>
      </c>
      <c r="E127" t="s">
        <v>59</v>
      </c>
      <c r="F127" t="s">
        <v>60</v>
      </c>
      <c r="G127" t="s">
        <v>32</v>
      </c>
      <c r="H127" t="s">
        <v>33</v>
      </c>
      <c r="I127">
        <v>2</v>
      </c>
      <c r="J127">
        <v>14.59</v>
      </c>
      <c r="K127">
        <v>0</v>
      </c>
      <c r="L127">
        <v>29.18</v>
      </c>
      <c r="M127">
        <v>12.25</v>
      </c>
      <c r="N127">
        <v>3.8</v>
      </c>
      <c r="O127" t="s">
        <v>39</v>
      </c>
      <c r="P127">
        <v>2023</v>
      </c>
      <c r="Q127" t="s">
        <v>3638</v>
      </c>
      <c r="R127">
        <v>29.18</v>
      </c>
      <c r="S127">
        <v>0.130226182316655</v>
      </c>
      <c r="T127" t="s">
        <v>3634</v>
      </c>
      <c r="U127" t="s">
        <v>3633</v>
      </c>
    </row>
    <row r="128" spans="1:21" x14ac:dyDescent="0.25">
      <c r="A128" t="s">
        <v>340</v>
      </c>
      <c r="B128" s="1">
        <v>45002</v>
      </c>
      <c r="C128" t="s">
        <v>341</v>
      </c>
      <c r="D128" t="s">
        <v>30</v>
      </c>
      <c r="E128" t="s">
        <v>63</v>
      </c>
      <c r="F128" t="s">
        <v>54</v>
      </c>
      <c r="G128" t="s">
        <v>20</v>
      </c>
      <c r="H128" t="s">
        <v>27</v>
      </c>
      <c r="I128">
        <v>3</v>
      </c>
      <c r="J128">
        <v>174.46</v>
      </c>
      <c r="K128">
        <v>0</v>
      </c>
      <c r="L128">
        <v>523.38</v>
      </c>
      <c r="M128">
        <v>14.65</v>
      </c>
      <c r="N128">
        <v>220.87</v>
      </c>
      <c r="O128" t="s">
        <v>34</v>
      </c>
      <c r="P128">
        <v>2023</v>
      </c>
      <c r="Q128" t="s">
        <v>3638</v>
      </c>
      <c r="R128">
        <v>523.38</v>
      </c>
      <c r="S128">
        <v>0.42200695479383998</v>
      </c>
      <c r="T128" t="s">
        <v>3635</v>
      </c>
      <c r="U128" t="s">
        <v>3633</v>
      </c>
    </row>
    <row r="129" spans="1:21" x14ac:dyDescent="0.25">
      <c r="A129" t="s">
        <v>342</v>
      </c>
      <c r="B129" s="1">
        <v>45003</v>
      </c>
      <c r="C129" t="s">
        <v>343</v>
      </c>
      <c r="D129" t="s">
        <v>30</v>
      </c>
      <c r="E129" t="s">
        <v>85</v>
      </c>
      <c r="F129" t="s">
        <v>60</v>
      </c>
      <c r="G129" t="s">
        <v>69</v>
      </c>
      <c r="H129" t="s">
        <v>305</v>
      </c>
      <c r="I129">
        <v>1</v>
      </c>
      <c r="J129">
        <v>28.85</v>
      </c>
      <c r="K129">
        <v>15</v>
      </c>
      <c r="L129">
        <v>24.52</v>
      </c>
      <c r="M129">
        <v>10.81</v>
      </c>
      <c r="N129">
        <v>-0.72</v>
      </c>
      <c r="O129" t="s">
        <v>22</v>
      </c>
      <c r="P129">
        <v>2023</v>
      </c>
      <c r="Q129" t="s">
        <v>3638</v>
      </c>
      <c r="R129">
        <v>20.841999999999999</v>
      </c>
      <c r="S129">
        <v>-3.4545629018328403E-2</v>
      </c>
      <c r="T129" t="s">
        <v>3634</v>
      </c>
      <c r="U129" t="s">
        <v>3636</v>
      </c>
    </row>
    <row r="130" spans="1:21" x14ac:dyDescent="0.25">
      <c r="A130" t="s">
        <v>344</v>
      </c>
      <c r="B130" s="1">
        <v>45003</v>
      </c>
      <c r="C130" t="s">
        <v>345</v>
      </c>
      <c r="D130" t="s">
        <v>49</v>
      </c>
      <c r="E130" t="s">
        <v>76</v>
      </c>
      <c r="F130" t="s">
        <v>26</v>
      </c>
      <c r="G130" t="s">
        <v>42</v>
      </c>
      <c r="H130" t="s">
        <v>89</v>
      </c>
      <c r="I130">
        <v>3</v>
      </c>
      <c r="J130">
        <v>323.91000000000003</v>
      </c>
      <c r="K130">
        <v>15</v>
      </c>
      <c r="L130">
        <v>825.97</v>
      </c>
      <c r="M130">
        <v>9.35</v>
      </c>
      <c r="N130">
        <v>233.58</v>
      </c>
      <c r="O130" t="s">
        <v>39</v>
      </c>
      <c r="P130">
        <v>2023</v>
      </c>
      <c r="Q130" t="s">
        <v>3638</v>
      </c>
      <c r="R130">
        <v>702.07449999999994</v>
      </c>
      <c r="S130">
        <v>0.332699734857198</v>
      </c>
      <c r="T130" t="s">
        <v>3635</v>
      </c>
      <c r="U130" t="s">
        <v>3633</v>
      </c>
    </row>
    <row r="131" spans="1:21" x14ac:dyDescent="0.25">
      <c r="A131" t="s">
        <v>346</v>
      </c>
      <c r="B131" s="1">
        <v>45004</v>
      </c>
      <c r="C131" t="s">
        <v>347</v>
      </c>
      <c r="D131" t="s">
        <v>30</v>
      </c>
      <c r="E131" t="s">
        <v>18</v>
      </c>
      <c r="F131" t="s">
        <v>19</v>
      </c>
      <c r="G131" t="s">
        <v>32</v>
      </c>
      <c r="H131" t="s">
        <v>348</v>
      </c>
      <c r="I131">
        <v>2</v>
      </c>
      <c r="J131">
        <v>11.39</v>
      </c>
      <c r="K131">
        <v>0</v>
      </c>
      <c r="L131">
        <v>22.78</v>
      </c>
      <c r="M131">
        <v>8.57</v>
      </c>
      <c r="N131">
        <v>3.96</v>
      </c>
      <c r="O131" t="s">
        <v>56</v>
      </c>
      <c r="P131">
        <v>2023</v>
      </c>
      <c r="Q131" t="s">
        <v>3638</v>
      </c>
      <c r="R131">
        <v>22.78</v>
      </c>
      <c r="S131">
        <v>0.173836698858648</v>
      </c>
      <c r="T131" t="s">
        <v>3634</v>
      </c>
      <c r="U131" t="s">
        <v>3633</v>
      </c>
    </row>
    <row r="132" spans="1:21" x14ac:dyDescent="0.25">
      <c r="A132" t="s">
        <v>349</v>
      </c>
      <c r="B132" s="1">
        <v>45006</v>
      </c>
      <c r="C132" t="s">
        <v>350</v>
      </c>
      <c r="D132" t="s">
        <v>30</v>
      </c>
      <c r="E132" t="s">
        <v>109</v>
      </c>
      <c r="F132" t="s">
        <v>54</v>
      </c>
      <c r="G132" t="s">
        <v>42</v>
      </c>
      <c r="H132" t="s">
        <v>118</v>
      </c>
      <c r="I132">
        <v>5</v>
      </c>
      <c r="J132">
        <v>64.099999999999994</v>
      </c>
      <c r="K132">
        <v>5</v>
      </c>
      <c r="L132">
        <v>304.47000000000003</v>
      </c>
      <c r="M132">
        <v>17.489999999999998</v>
      </c>
      <c r="N132">
        <v>94.68</v>
      </c>
      <c r="O132" t="s">
        <v>34</v>
      </c>
      <c r="P132">
        <v>2023</v>
      </c>
      <c r="Q132" t="s">
        <v>3638</v>
      </c>
      <c r="R132">
        <v>289.24650000000003</v>
      </c>
      <c r="S132">
        <v>0.32733326073089902</v>
      </c>
      <c r="T132" t="s">
        <v>3632</v>
      </c>
      <c r="U132" t="s">
        <v>3633</v>
      </c>
    </row>
    <row r="133" spans="1:21" x14ac:dyDescent="0.25">
      <c r="A133" t="s">
        <v>351</v>
      </c>
      <c r="B133" s="1">
        <v>45007</v>
      </c>
      <c r="C133" t="s">
        <v>352</v>
      </c>
      <c r="D133" t="s">
        <v>30</v>
      </c>
      <c r="E133" t="s">
        <v>18</v>
      </c>
      <c r="F133" t="s">
        <v>19</v>
      </c>
      <c r="G133" t="s">
        <v>32</v>
      </c>
      <c r="H133" t="s">
        <v>115</v>
      </c>
      <c r="I133">
        <v>2</v>
      </c>
      <c r="J133">
        <v>6.29</v>
      </c>
      <c r="K133">
        <v>0</v>
      </c>
      <c r="L133">
        <v>12.58</v>
      </c>
      <c r="M133">
        <v>7.22</v>
      </c>
      <c r="N133">
        <v>-0.3</v>
      </c>
      <c r="O133" t="s">
        <v>56</v>
      </c>
      <c r="P133">
        <v>2023</v>
      </c>
      <c r="Q133" t="s">
        <v>3638</v>
      </c>
      <c r="R133">
        <v>12.58</v>
      </c>
      <c r="S133">
        <v>-2.3847376788553299E-2</v>
      </c>
      <c r="T133" t="s">
        <v>3634</v>
      </c>
      <c r="U133" t="s">
        <v>3636</v>
      </c>
    </row>
    <row r="134" spans="1:21" x14ac:dyDescent="0.25">
      <c r="A134" t="s">
        <v>353</v>
      </c>
      <c r="B134" s="1">
        <v>45008</v>
      </c>
      <c r="C134" t="s">
        <v>354</v>
      </c>
      <c r="D134" t="s">
        <v>30</v>
      </c>
      <c r="E134" t="s">
        <v>63</v>
      </c>
      <c r="F134" t="s">
        <v>54</v>
      </c>
      <c r="G134" t="s">
        <v>42</v>
      </c>
      <c r="H134" t="s">
        <v>64</v>
      </c>
      <c r="I134">
        <v>2</v>
      </c>
      <c r="J134">
        <v>90.87</v>
      </c>
      <c r="K134">
        <v>0</v>
      </c>
      <c r="L134">
        <v>181.74</v>
      </c>
      <c r="M134">
        <v>14.68</v>
      </c>
      <c r="N134">
        <v>58.02</v>
      </c>
      <c r="O134" t="s">
        <v>34</v>
      </c>
      <c r="P134">
        <v>2023</v>
      </c>
      <c r="Q134" t="s">
        <v>3638</v>
      </c>
      <c r="R134">
        <v>181.74</v>
      </c>
      <c r="S134">
        <v>0.31924727632882099</v>
      </c>
      <c r="T134" t="s">
        <v>3632</v>
      </c>
      <c r="U134" t="s">
        <v>3633</v>
      </c>
    </row>
    <row r="135" spans="1:21" x14ac:dyDescent="0.25">
      <c r="A135" t="s">
        <v>355</v>
      </c>
      <c r="B135" s="1">
        <v>45008</v>
      </c>
      <c r="C135" t="s">
        <v>356</v>
      </c>
      <c r="D135" t="s">
        <v>17</v>
      </c>
      <c r="E135" t="s">
        <v>59</v>
      </c>
      <c r="F135" t="s">
        <v>60</v>
      </c>
      <c r="G135" t="s">
        <v>42</v>
      </c>
      <c r="H135" t="s">
        <v>89</v>
      </c>
      <c r="I135">
        <v>12</v>
      </c>
      <c r="J135">
        <v>334.56</v>
      </c>
      <c r="K135">
        <v>5</v>
      </c>
      <c r="L135">
        <v>3813.98</v>
      </c>
      <c r="M135">
        <v>35.07</v>
      </c>
      <c r="N135">
        <v>1370.08</v>
      </c>
      <c r="O135" t="s">
        <v>39</v>
      </c>
      <c r="P135">
        <v>2023</v>
      </c>
      <c r="Q135" t="s">
        <v>3638</v>
      </c>
      <c r="R135">
        <v>3623.2809999999999</v>
      </c>
      <c r="S135">
        <v>0.37813241644796503</v>
      </c>
      <c r="T135" t="s">
        <v>3635</v>
      </c>
      <c r="U135" t="s">
        <v>3633</v>
      </c>
    </row>
    <row r="136" spans="1:21" x14ac:dyDescent="0.25">
      <c r="A136" t="s">
        <v>357</v>
      </c>
      <c r="B136" s="1">
        <v>45008</v>
      </c>
      <c r="C136" t="s">
        <v>358</v>
      </c>
      <c r="D136" t="s">
        <v>30</v>
      </c>
      <c r="E136" t="s">
        <v>67</v>
      </c>
      <c r="F136" t="s">
        <v>68</v>
      </c>
      <c r="G136" t="s">
        <v>42</v>
      </c>
      <c r="H136" t="s">
        <v>118</v>
      </c>
      <c r="I136">
        <v>4</v>
      </c>
      <c r="J136">
        <v>68.83</v>
      </c>
      <c r="K136">
        <v>0</v>
      </c>
      <c r="L136">
        <v>275.32</v>
      </c>
      <c r="M136">
        <v>19.78</v>
      </c>
      <c r="N136">
        <v>90.35</v>
      </c>
      <c r="O136" t="s">
        <v>56</v>
      </c>
      <c r="P136">
        <v>2023</v>
      </c>
      <c r="Q136" t="s">
        <v>3638</v>
      </c>
      <c r="R136">
        <v>275.32</v>
      </c>
      <c r="S136">
        <v>0.32816359145721302</v>
      </c>
      <c r="T136" t="s">
        <v>3632</v>
      </c>
      <c r="U136" t="s">
        <v>3633</v>
      </c>
    </row>
    <row r="137" spans="1:21" x14ac:dyDescent="0.25">
      <c r="A137" t="s">
        <v>359</v>
      </c>
      <c r="B137" s="1">
        <v>45009</v>
      </c>
      <c r="C137" t="s">
        <v>360</v>
      </c>
      <c r="D137" t="s">
        <v>30</v>
      </c>
      <c r="E137" t="s">
        <v>166</v>
      </c>
      <c r="F137" t="s">
        <v>60</v>
      </c>
      <c r="G137" t="s">
        <v>69</v>
      </c>
      <c r="H137" t="s">
        <v>196</v>
      </c>
      <c r="I137">
        <v>2</v>
      </c>
      <c r="J137">
        <v>10.37</v>
      </c>
      <c r="K137">
        <v>0</v>
      </c>
      <c r="L137">
        <v>20.74</v>
      </c>
      <c r="M137">
        <v>12.31</v>
      </c>
      <c r="N137">
        <v>-1.94</v>
      </c>
      <c r="O137" t="s">
        <v>39</v>
      </c>
      <c r="P137">
        <v>2023</v>
      </c>
      <c r="Q137" t="s">
        <v>3638</v>
      </c>
      <c r="R137">
        <v>20.74</v>
      </c>
      <c r="S137">
        <v>-9.35390549662488E-2</v>
      </c>
      <c r="T137" t="s">
        <v>3634</v>
      </c>
      <c r="U137" t="s">
        <v>3636</v>
      </c>
    </row>
    <row r="138" spans="1:21" x14ac:dyDescent="0.25">
      <c r="A138" t="s">
        <v>361</v>
      </c>
      <c r="B138" s="1">
        <v>45010</v>
      </c>
      <c r="C138" t="s">
        <v>362</v>
      </c>
      <c r="D138" t="s">
        <v>17</v>
      </c>
      <c r="E138" t="s">
        <v>129</v>
      </c>
      <c r="F138" t="s">
        <v>19</v>
      </c>
      <c r="G138" t="s">
        <v>69</v>
      </c>
      <c r="H138" t="s">
        <v>163</v>
      </c>
      <c r="I138">
        <v>2</v>
      </c>
      <c r="J138">
        <v>52.89</v>
      </c>
      <c r="K138">
        <v>0</v>
      </c>
      <c r="L138">
        <v>105.78</v>
      </c>
      <c r="M138">
        <v>6.27</v>
      </c>
      <c r="N138">
        <v>46.62</v>
      </c>
      <c r="O138" t="s">
        <v>22</v>
      </c>
      <c r="P138">
        <v>2023</v>
      </c>
      <c r="Q138" t="s">
        <v>3638</v>
      </c>
      <c r="R138">
        <v>105.78</v>
      </c>
      <c r="S138">
        <v>0.440726035167328</v>
      </c>
      <c r="T138" t="s">
        <v>3632</v>
      </c>
      <c r="U138" t="s">
        <v>3633</v>
      </c>
    </row>
    <row r="139" spans="1:21" x14ac:dyDescent="0.25">
      <c r="A139" t="s">
        <v>363</v>
      </c>
      <c r="B139" s="1">
        <v>45010</v>
      </c>
      <c r="C139" t="s">
        <v>364</v>
      </c>
      <c r="D139" t="s">
        <v>49</v>
      </c>
      <c r="E139" t="s">
        <v>18</v>
      </c>
      <c r="F139" t="s">
        <v>19</v>
      </c>
      <c r="G139" t="s">
        <v>42</v>
      </c>
      <c r="H139" t="s">
        <v>255</v>
      </c>
      <c r="I139">
        <v>11</v>
      </c>
      <c r="J139">
        <v>30.48</v>
      </c>
      <c r="K139">
        <v>0</v>
      </c>
      <c r="L139">
        <v>335.28</v>
      </c>
      <c r="M139">
        <v>29.96</v>
      </c>
      <c r="N139">
        <v>104.15</v>
      </c>
      <c r="O139" t="s">
        <v>34</v>
      </c>
      <c r="P139">
        <v>2023</v>
      </c>
      <c r="Q139" t="s">
        <v>3638</v>
      </c>
      <c r="R139">
        <v>335.28</v>
      </c>
      <c r="S139">
        <v>0.31063588642328799</v>
      </c>
      <c r="T139" t="s">
        <v>3632</v>
      </c>
      <c r="U139" t="s">
        <v>3633</v>
      </c>
    </row>
    <row r="140" spans="1:21" x14ac:dyDescent="0.25">
      <c r="A140" t="s">
        <v>365</v>
      </c>
      <c r="B140" s="1">
        <v>45011</v>
      </c>
      <c r="C140" t="s">
        <v>366</v>
      </c>
      <c r="D140" t="s">
        <v>17</v>
      </c>
      <c r="E140" t="s">
        <v>25</v>
      </c>
      <c r="F140" t="s">
        <v>26</v>
      </c>
      <c r="G140" t="s">
        <v>69</v>
      </c>
      <c r="H140" t="s">
        <v>160</v>
      </c>
      <c r="I140">
        <v>3</v>
      </c>
      <c r="J140">
        <v>24.22</v>
      </c>
      <c r="K140">
        <v>5</v>
      </c>
      <c r="L140">
        <v>69.03</v>
      </c>
      <c r="M140">
        <v>8.8699999999999992</v>
      </c>
      <c r="N140">
        <v>23.83</v>
      </c>
      <c r="O140" t="s">
        <v>34</v>
      </c>
      <c r="P140">
        <v>2023</v>
      </c>
      <c r="Q140" t="s">
        <v>3638</v>
      </c>
      <c r="R140">
        <v>65.578500000000005</v>
      </c>
      <c r="S140">
        <v>0.363381291124378</v>
      </c>
      <c r="T140" t="s">
        <v>3634</v>
      </c>
      <c r="U140" t="s">
        <v>3633</v>
      </c>
    </row>
    <row r="141" spans="1:21" x14ac:dyDescent="0.25">
      <c r="A141" t="s">
        <v>367</v>
      </c>
      <c r="B141" s="1">
        <v>45011</v>
      </c>
      <c r="C141" t="s">
        <v>368</v>
      </c>
      <c r="D141" t="s">
        <v>17</v>
      </c>
      <c r="E141" t="s">
        <v>121</v>
      </c>
      <c r="F141" t="s">
        <v>68</v>
      </c>
      <c r="G141" t="s">
        <v>20</v>
      </c>
      <c r="H141" t="s">
        <v>21</v>
      </c>
      <c r="I141">
        <v>5</v>
      </c>
      <c r="J141">
        <v>239.45</v>
      </c>
      <c r="K141">
        <v>5</v>
      </c>
      <c r="L141">
        <v>1137.3900000000001</v>
      </c>
      <c r="M141">
        <v>14.61</v>
      </c>
      <c r="N141">
        <v>464.29</v>
      </c>
      <c r="O141" t="s">
        <v>39</v>
      </c>
      <c r="P141">
        <v>2023</v>
      </c>
      <c r="Q141" t="s">
        <v>3638</v>
      </c>
      <c r="R141">
        <v>1080.5205000000001</v>
      </c>
      <c r="S141">
        <v>0.42969106092850601</v>
      </c>
      <c r="T141" t="s">
        <v>3635</v>
      </c>
      <c r="U141" t="s">
        <v>3633</v>
      </c>
    </row>
    <row r="142" spans="1:21" x14ac:dyDescent="0.25">
      <c r="A142" t="s">
        <v>369</v>
      </c>
      <c r="B142" s="1">
        <v>45011</v>
      </c>
      <c r="C142" t="s">
        <v>370</v>
      </c>
      <c r="D142" t="s">
        <v>30</v>
      </c>
      <c r="E142" t="s">
        <v>92</v>
      </c>
      <c r="F142" t="s">
        <v>60</v>
      </c>
      <c r="G142" t="s">
        <v>42</v>
      </c>
      <c r="H142" t="s">
        <v>371</v>
      </c>
      <c r="I142">
        <v>4</v>
      </c>
      <c r="J142">
        <v>210.65</v>
      </c>
      <c r="K142">
        <v>0</v>
      </c>
      <c r="L142">
        <v>842.6</v>
      </c>
      <c r="M142">
        <v>11.11</v>
      </c>
      <c r="N142">
        <v>325.93</v>
      </c>
      <c r="O142" t="s">
        <v>34</v>
      </c>
      <c r="P142">
        <v>2023</v>
      </c>
      <c r="Q142" t="s">
        <v>3638</v>
      </c>
      <c r="R142">
        <v>842.6</v>
      </c>
      <c r="S142">
        <v>0.38681462140992201</v>
      </c>
      <c r="T142" t="s">
        <v>3635</v>
      </c>
      <c r="U142" t="s">
        <v>3633</v>
      </c>
    </row>
    <row r="143" spans="1:21" x14ac:dyDescent="0.25">
      <c r="A143" t="s">
        <v>372</v>
      </c>
      <c r="B143" s="1">
        <v>45012</v>
      </c>
      <c r="C143" t="s">
        <v>373</v>
      </c>
      <c r="D143" t="s">
        <v>30</v>
      </c>
      <c r="E143" t="s">
        <v>129</v>
      </c>
      <c r="F143" t="s">
        <v>19</v>
      </c>
      <c r="G143" t="s">
        <v>69</v>
      </c>
      <c r="H143" t="s">
        <v>98</v>
      </c>
      <c r="I143">
        <v>9</v>
      </c>
      <c r="J143">
        <v>32.74</v>
      </c>
      <c r="K143">
        <v>10</v>
      </c>
      <c r="L143">
        <v>265.19</v>
      </c>
      <c r="M143">
        <v>19.149999999999999</v>
      </c>
      <c r="N143">
        <v>98.71</v>
      </c>
      <c r="O143" t="s">
        <v>39</v>
      </c>
      <c r="P143">
        <v>2023</v>
      </c>
      <c r="Q143" t="s">
        <v>3638</v>
      </c>
      <c r="R143">
        <v>238.67099999999999</v>
      </c>
      <c r="S143">
        <v>0.413581876306715</v>
      </c>
      <c r="T143" t="s">
        <v>3632</v>
      </c>
      <c r="U143" t="s">
        <v>3633</v>
      </c>
    </row>
    <row r="144" spans="1:21" x14ac:dyDescent="0.25">
      <c r="A144" t="s">
        <v>374</v>
      </c>
      <c r="B144" s="1">
        <v>45012</v>
      </c>
      <c r="C144" t="s">
        <v>375</v>
      </c>
      <c r="D144" t="s">
        <v>30</v>
      </c>
      <c r="E144" t="s">
        <v>25</v>
      </c>
      <c r="F144" t="s">
        <v>26</v>
      </c>
      <c r="G144" t="s">
        <v>69</v>
      </c>
      <c r="H144" t="s">
        <v>86</v>
      </c>
      <c r="I144">
        <v>3</v>
      </c>
      <c r="J144">
        <v>135.29</v>
      </c>
      <c r="K144">
        <v>10</v>
      </c>
      <c r="L144">
        <v>365.28</v>
      </c>
      <c r="M144">
        <v>9.08</v>
      </c>
      <c r="N144">
        <v>153.26</v>
      </c>
      <c r="O144" t="s">
        <v>34</v>
      </c>
      <c r="P144">
        <v>2023</v>
      </c>
      <c r="Q144" t="s">
        <v>3638</v>
      </c>
      <c r="R144">
        <v>328.75200000000001</v>
      </c>
      <c r="S144">
        <v>0.46618727794811898</v>
      </c>
      <c r="T144" t="s">
        <v>3632</v>
      </c>
      <c r="U144" t="s">
        <v>3633</v>
      </c>
    </row>
    <row r="145" spans="1:21" x14ac:dyDescent="0.25">
      <c r="A145" t="s">
        <v>376</v>
      </c>
      <c r="B145" s="1">
        <v>45014</v>
      </c>
      <c r="C145" t="s">
        <v>377</v>
      </c>
      <c r="D145" t="s">
        <v>49</v>
      </c>
      <c r="E145" t="s">
        <v>63</v>
      </c>
      <c r="F145" t="s">
        <v>54</v>
      </c>
      <c r="G145" t="s">
        <v>69</v>
      </c>
      <c r="H145" t="s">
        <v>305</v>
      </c>
      <c r="I145">
        <v>6</v>
      </c>
      <c r="J145">
        <v>30.52</v>
      </c>
      <c r="K145">
        <v>0</v>
      </c>
      <c r="L145">
        <v>183.12</v>
      </c>
      <c r="M145">
        <v>21.14</v>
      </c>
      <c r="N145">
        <v>70.42</v>
      </c>
      <c r="O145" t="s">
        <v>34</v>
      </c>
      <c r="P145">
        <v>2023</v>
      </c>
      <c r="Q145" t="s">
        <v>3638</v>
      </c>
      <c r="R145">
        <v>183.12</v>
      </c>
      <c r="S145">
        <v>0.384556574923547</v>
      </c>
      <c r="T145" t="s">
        <v>3632</v>
      </c>
      <c r="U145" t="s">
        <v>3633</v>
      </c>
    </row>
    <row r="146" spans="1:21" x14ac:dyDescent="0.25">
      <c r="A146" t="s">
        <v>378</v>
      </c>
      <c r="B146" s="1">
        <v>45014</v>
      </c>
      <c r="C146" t="s">
        <v>379</v>
      </c>
      <c r="D146" t="s">
        <v>30</v>
      </c>
      <c r="E146" t="s">
        <v>31</v>
      </c>
      <c r="F146" t="s">
        <v>19</v>
      </c>
      <c r="G146" t="s">
        <v>20</v>
      </c>
      <c r="H146" t="s">
        <v>199</v>
      </c>
      <c r="I146">
        <v>4</v>
      </c>
      <c r="J146">
        <v>113.34</v>
      </c>
      <c r="K146">
        <v>15</v>
      </c>
      <c r="L146">
        <v>385.36</v>
      </c>
      <c r="M146">
        <v>8.19</v>
      </c>
      <c r="N146">
        <v>127.82</v>
      </c>
      <c r="O146" t="s">
        <v>39</v>
      </c>
      <c r="P146">
        <v>2023</v>
      </c>
      <c r="Q146" t="s">
        <v>3638</v>
      </c>
      <c r="R146">
        <v>327.55599999999998</v>
      </c>
      <c r="S146">
        <v>0.39022335112164003</v>
      </c>
      <c r="T146" t="s">
        <v>3632</v>
      </c>
      <c r="U146" t="s">
        <v>3633</v>
      </c>
    </row>
    <row r="147" spans="1:21" x14ac:dyDescent="0.25">
      <c r="A147" t="s">
        <v>380</v>
      </c>
      <c r="B147" s="1">
        <v>45014</v>
      </c>
      <c r="C147" t="s">
        <v>381</v>
      </c>
      <c r="D147" t="s">
        <v>30</v>
      </c>
      <c r="E147" t="s">
        <v>129</v>
      </c>
      <c r="F147" t="s">
        <v>19</v>
      </c>
      <c r="G147" t="s">
        <v>32</v>
      </c>
      <c r="H147" t="s">
        <v>50</v>
      </c>
      <c r="I147">
        <v>5</v>
      </c>
      <c r="J147">
        <v>11.27</v>
      </c>
      <c r="K147">
        <v>5</v>
      </c>
      <c r="L147">
        <v>53.53</v>
      </c>
      <c r="M147">
        <v>12</v>
      </c>
      <c r="N147">
        <v>16.170000000000002</v>
      </c>
      <c r="O147" t="s">
        <v>56</v>
      </c>
      <c r="P147">
        <v>2023</v>
      </c>
      <c r="Q147" t="s">
        <v>3638</v>
      </c>
      <c r="R147">
        <v>50.853499999999997</v>
      </c>
      <c r="S147">
        <v>0.31797221430186701</v>
      </c>
      <c r="T147" t="s">
        <v>3634</v>
      </c>
      <c r="U147" t="s">
        <v>3633</v>
      </c>
    </row>
    <row r="148" spans="1:21" x14ac:dyDescent="0.25">
      <c r="A148" t="s">
        <v>382</v>
      </c>
      <c r="B148" s="1">
        <v>45014</v>
      </c>
      <c r="C148" t="s">
        <v>383</v>
      </c>
      <c r="D148" t="s">
        <v>17</v>
      </c>
      <c r="E148" t="s">
        <v>18</v>
      </c>
      <c r="F148" t="s">
        <v>19</v>
      </c>
      <c r="G148" t="s">
        <v>32</v>
      </c>
      <c r="H148" t="s">
        <v>73</v>
      </c>
      <c r="I148">
        <v>1</v>
      </c>
      <c r="J148">
        <v>5.67</v>
      </c>
      <c r="K148">
        <v>15</v>
      </c>
      <c r="L148">
        <v>4.82</v>
      </c>
      <c r="M148">
        <v>5.95</v>
      </c>
      <c r="N148">
        <v>-3.68</v>
      </c>
      <c r="O148" t="s">
        <v>34</v>
      </c>
      <c r="P148">
        <v>2023</v>
      </c>
      <c r="Q148" t="s">
        <v>3638</v>
      </c>
      <c r="R148">
        <v>4.0970000000000004</v>
      </c>
      <c r="S148">
        <v>-0.89821820844520395</v>
      </c>
      <c r="T148" t="s">
        <v>3634</v>
      </c>
      <c r="U148" t="s">
        <v>3636</v>
      </c>
    </row>
    <row r="149" spans="1:21" x14ac:dyDescent="0.25">
      <c r="A149" t="s">
        <v>384</v>
      </c>
      <c r="B149" s="1">
        <v>45014</v>
      </c>
      <c r="C149" t="s">
        <v>385</v>
      </c>
      <c r="D149" t="s">
        <v>49</v>
      </c>
      <c r="E149" t="s">
        <v>59</v>
      </c>
      <c r="F149" t="s">
        <v>60</v>
      </c>
      <c r="G149" t="s">
        <v>20</v>
      </c>
      <c r="H149" t="s">
        <v>122</v>
      </c>
      <c r="I149">
        <v>1</v>
      </c>
      <c r="J149">
        <v>116.12</v>
      </c>
      <c r="K149">
        <v>10</v>
      </c>
      <c r="L149">
        <v>104.51</v>
      </c>
      <c r="M149">
        <v>10.18</v>
      </c>
      <c r="N149">
        <v>30.46</v>
      </c>
      <c r="O149" t="s">
        <v>34</v>
      </c>
      <c r="P149">
        <v>2023</v>
      </c>
      <c r="Q149" t="s">
        <v>3638</v>
      </c>
      <c r="R149">
        <v>94.058999999999997</v>
      </c>
      <c r="S149">
        <v>0.32383929235905101</v>
      </c>
      <c r="T149" t="s">
        <v>3632</v>
      </c>
      <c r="U149" t="s">
        <v>3633</v>
      </c>
    </row>
    <row r="150" spans="1:21" x14ac:dyDescent="0.25">
      <c r="A150" t="s">
        <v>386</v>
      </c>
      <c r="B150" s="1">
        <v>45015</v>
      </c>
      <c r="C150" t="s">
        <v>387</v>
      </c>
      <c r="D150" t="s">
        <v>30</v>
      </c>
      <c r="E150" t="s">
        <v>25</v>
      </c>
      <c r="F150" t="s">
        <v>26</v>
      </c>
      <c r="G150" t="s">
        <v>20</v>
      </c>
      <c r="H150" t="s">
        <v>122</v>
      </c>
      <c r="I150">
        <v>1</v>
      </c>
      <c r="J150">
        <v>85.63</v>
      </c>
      <c r="K150">
        <v>5</v>
      </c>
      <c r="L150">
        <v>81.349999999999994</v>
      </c>
      <c r="M150">
        <v>8.86</v>
      </c>
      <c r="N150">
        <v>25.39</v>
      </c>
      <c r="O150" t="s">
        <v>56</v>
      </c>
      <c r="P150">
        <v>2023</v>
      </c>
      <c r="Q150" t="s">
        <v>3638</v>
      </c>
      <c r="R150">
        <v>77.282499999999999</v>
      </c>
      <c r="S150">
        <v>0.32853492058357298</v>
      </c>
      <c r="T150" t="s">
        <v>3634</v>
      </c>
      <c r="U150" t="s">
        <v>3633</v>
      </c>
    </row>
    <row r="151" spans="1:21" x14ac:dyDescent="0.25">
      <c r="A151" t="s">
        <v>388</v>
      </c>
      <c r="B151" s="1">
        <v>45016</v>
      </c>
      <c r="C151" t="s">
        <v>389</v>
      </c>
      <c r="D151" t="s">
        <v>17</v>
      </c>
      <c r="E151" t="s">
        <v>85</v>
      </c>
      <c r="F151" t="s">
        <v>60</v>
      </c>
      <c r="G151" t="s">
        <v>42</v>
      </c>
      <c r="H151" t="s">
        <v>371</v>
      </c>
      <c r="I151">
        <v>1</v>
      </c>
      <c r="J151">
        <v>199.74</v>
      </c>
      <c r="K151">
        <v>20</v>
      </c>
      <c r="L151">
        <v>159.79</v>
      </c>
      <c r="M151">
        <v>9.67</v>
      </c>
      <c r="N151">
        <v>30.28</v>
      </c>
      <c r="O151" t="s">
        <v>22</v>
      </c>
      <c r="P151">
        <v>2023</v>
      </c>
      <c r="Q151" t="s">
        <v>3638</v>
      </c>
      <c r="R151">
        <v>127.83199999999999</v>
      </c>
      <c r="S151">
        <v>0.236873396332687</v>
      </c>
      <c r="T151" t="s">
        <v>3632</v>
      </c>
      <c r="U151" t="s">
        <v>3633</v>
      </c>
    </row>
    <row r="152" spans="1:21" x14ac:dyDescent="0.25">
      <c r="A152" t="s">
        <v>390</v>
      </c>
      <c r="B152" s="1">
        <v>45017</v>
      </c>
      <c r="C152" t="s">
        <v>391</v>
      </c>
      <c r="D152" t="s">
        <v>30</v>
      </c>
      <c r="E152" t="s">
        <v>37</v>
      </c>
      <c r="F152" t="s">
        <v>26</v>
      </c>
      <c r="G152" t="s">
        <v>20</v>
      </c>
      <c r="H152" t="s">
        <v>106</v>
      </c>
      <c r="I152">
        <v>2</v>
      </c>
      <c r="J152">
        <v>34.22</v>
      </c>
      <c r="K152">
        <v>0</v>
      </c>
      <c r="L152">
        <v>68.44</v>
      </c>
      <c r="M152">
        <v>9.2200000000000006</v>
      </c>
      <c r="N152">
        <v>21.58</v>
      </c>
      <c r="O152" t="s">
        <v>39</v>
      </c>
      <c r="P152">
        <v>2023</v>
      </c>
      <c r="Q152" t="s">
        <v>3639</v>
      </c>
      <c r="R152">
        <v>68.44</v>
      </c>
      <c r="S152">
        <v>0.31531268264173001</v>
      </c>
      <c r="T152" t="s">
        <v>3634</v>
      </c>
      <c r="U152" t="s">
        <v>3633</v>
      </c>
    </row>
    <row r="153" spans="1:21" x14ac:dyDescent="0.25">
      <c r="A153" t="s">
        <v>392</v>
      </c>
      <c r="B153" s="1">
        <v>45017</v>
      </c>
      <c r="C153" t="s">
        <v>393</v>
      </c>
      <c r="D153" t="s">
        <v>17</v>
      </c>
      <c r="E153" t="s">
        <v>18</v>
      </c>
      <c r="F153" t="s">
        <v>19</v>
      </c>
      <c r="G153" t="s">
        <v>69</v>
      </c>
      <c r="H153" t="s">
        <v>163</v>
      </c>
      <c r="I153">
        <v>3</v>
      </c>
      <c r="J153">
        <v>37.69</v>
      </c>
      <c r="K153">
        <v>30</v>
      </c>
      <c r="L153">
        <v>79.150000000000006</v>
      </c>
      <c r="M153">
        <v>7.34</v>
      </c>
      <c r="N153">
        <v>15.28</v>
      </c>
      <c r="O153" t="s">
        <v>39</v>
      </c>
      <c r="P153">
        <v>2023</v>
      </c>
      <c r="Q153" t="s">
        <v>3639</v>
      </c>
      <c r="R153">
        <v>55.405000000000001</v>
      </c>
      <c r="S153">
        <v>0.27578738381012502</v>
      </c>
      <c r="T153" t="s">
        <v>3634</v>
      </c>
      <c r="U153" t="s">
        <v>3633</v>
      </c>
    </row>
    <row r="154" spans="1:21" x14ac:dyDescent="0.25">
      <c r="A154" t="s">
        <v>394</v>
      </c>
      <c r="B154" s="1">
        <v>45018</v>
      </c>
      <c r="C154" t="s">
        <v>395</v>
      </c>
      <c r="D154" t="s">
        <v>17</v>
      </c>
      <c r="E154" t="s">
        <v>138</v>
      </c>
      <c r="F154" t="s">
        <v>54</v>
      </c>
      <c r="G154" t="s">
        <v>69</v>
      </c>
      <c r="H154" t="s">
        <v>163</v>
      </c>
      <c r="I154">
        <v>1</v>
      </c>
      <c r="J154">
        <v>42.86</v>
      </c>
      <c r="K154">
        <v>5</v>
      </c>
      <c r="L154">
        <v>40.72</v>
      </c>
      <c r="M154">
        <v>12.14</v>
      </c>
      <c r="N154">
        <v>7.15</v>
      </c>
      <c r="O154" t="s">
        <v>56</v>
      </c>
      <c r="P154">
        <v>2023</v>
      </c>
      <c r="Q154" t="s">
        <v>3639</v>
      </c>
      <c r="R154">
        <v>38.683999999999997</v>
      </c>
      <c r="S154">
        <v>0.18483093785544399</v>
      </c>
      <c r="T154" t="s">
        <v>3634</v>
      </c>
      <c r="U154" t="s">
        <v>3633</v>
      </c>
    </row>
    <row r="155" spans="1:21" x14ac:dyDescent="0.25">
      <c r="A155" t="s">
        <v>396</v>
      </c>
      <c r="B155" s="1">
        <v>45018</v>
      </c>
      <c r="C155" t="s">
        <v>397</v>
      </c>
      <c r="D155" t="s">
        <v>30</v>
      </c>
      <c r="E155" t="s">
        <v>121</v>
      </c>
      <c r="F155" t="s">
        <v>68</v>
      </c>
      <c r="G155" t="s">
        <v>20</v>
      </c>
      <c r="H155" t="s">
        <v>175</v>
      </c>
      <c r="I155">
        <v>4</v>
      </c>
      <c r="J155">
        <v>24.85</v>
      </c>
      <c r="K155">
        <v>15</v>
      </c>
      <c r="L155">
        <v>84.49</v>
      </c>
      <c r="M155">
        <v>15.38</v>
      </c>
      <c r="N155">
        <v>14.44</v>
      </c>
      <c r="O155" t="s">
        <v>39</v>
      </c>
      <c r="P155">
        <v>2023</v>
      </c>
      <c r="Q155" t="s">
        <v>3639</v>
      </c>
      <c r="R155">
        <v>71.816500000000005</v>
      </c>
      <c r="S155">
        <v>0.20106799969366401</v>
      </c>
      <c r="T155" t="s">
        <v>3634</v>
      </c>
      <c r="U155" t="s">
        <v>3633</v>
      </c>
    </row>
    <row r="156" spans="1:21" x14ac:dyDescent="0.25">
      <c r="A156" t="s">
        <v>398</v>
      </c>
      <c r="B156" s="1">
        <v>45018</v>
      </c>
      <c r="C156" t="s">
        <v>399</v>
      </c>
      <c r="D156" t="s">
        <v>30</v>
      </c>
      <c r="E156" t="s">
        <v>63</v>
      </c>
      <c r="F156" t="s">
        <v>54</v>
      </c>
      <c r="G156" t="s">
        <v>42</v>
      </c>
      <c r="H156" t="s">
        <v>43</v>
      </c>
      <c r="I156">
        <v>6</v>
      </c>
      <c r="J156">
        <v>241.26</v>
      </c>
      <c r="K156">
        <v>0</v>
      </c>
      <c r="L156">
        <v>1447.56</v>
      </c>
      <c r="M156">
        <v>14.56</v>
      </c>
      <c r="N156">
        <v>564.46</v>
      </c>
      <c r="O156" t="s">
        <v>34</v>
      </c>
      <c r="P156">
        <v>2023</v>
      </c>
      <c r="Q156" t="s">
        <v>3639</v>
      </c>
      <c r="R156">
        <v>1447.56</v>
      </c>
      <c r="S156">
        <v>0.38993893171958299</v>
      </c>
      <c r="T156" t="s">
        <v>3635</v>
      </c>
      <c r="U156" t="s">
        <v>3633</v>
      </c>
    </row>
    <row r="157" spans="1:21" x14ac:dyDescent="0.25">
      <c r="A157" t="s">
        <v>400</v>
      </c>
      <c r="B157" s="1">
        <v>45018</v>
      </c>
      <c r="C157" t="s">
        <v>401</v>
      </c>
      <c r="D157" t="s">
        <v>30</v>
      </c>
      <c r="E157" t="s">
        <v>138</v>
      </c>
      <c r="F157" t="s">
        <v>54</v>
      </c>
      <c r="G157" t="s">
        <v>42</v>
      </c>
      <c r="H157" t="s">
        <v>118</v>
      </c>
      <c r="I157">
        <v>1</v>
      </c>
      <c r="J157">
        <v>67.62</v>
      </c>
      <c r="K157">
        <v>0</v>
      </c>
      <c r="L157">
        <v>67.62</v>
      </c>
      <c r="M157">
        <v>11.63</v>
      </c>
      <c r="N157">
        <v>15.42</v>
      </c>
      <c r="O157" t="s">
        <v>22</v>
      </c>
      <c r="P157">
        <v>2023</v>
      </c>
      <c r="Q157" t="s">
        <v>3639</v>
      </c>
      <c r="R157">
        <v>67.62</v>
      </c>
      <c r="S157">
        <v>0.22803904170363801</v>
      </c>
      <c r="T157" t="s">
        <v>3634</v>
      </c>
      <c r="U157" t="s">
        <v>3633</v>
      </c>
    </row>
    <row r="158" spans="1:21" x14ac:dyDescent="0.25">
      <c r="A158" t="s">
        <v>402</v>
      </c>
      <c r="B158" s="1">
        <v>45019</v>
      </c>
      <c r="C158" t="s">
        <v>403</v>
      </c>
      <c r="D158" t="s">
        <v>17</v>
      </c>
      <c r="E158" t="s">
        <v>25</v>
      </c>
      <c r="F158" t="s">
        <v>26</v>
      </c>
      <c r="G158" t="s">
        <v>42</v>
      </c>
      <c r="H158" t="s">
        <v>93</v>
      </c>
      <c r="I158">
        <v>1</v>
      </c>
      <c r="J158">
        <v>268.98</v>
      </c>
      <c r="K158">
        <v>0</v>
      </c>
      <c r="L158">
        <v>268.98</v>
      </c>
      <c r="M158">
        <v>8.56</v>
      </c>
      <c r="N158">
        <v>99.03</v>
      </c>
      <c r="O158" t="s">
        <v>34</v>
      </c>
      <c r="P158">
        <v>2023</v>
      </c>
      <c r="Q158" t="s">
        <v>3639</v>
      </c>
      <c r="R158">
        <v>268.98</v>
      </c>
      <c r="S158">
        <v>0.36816863707338798</v>
      </c>
      <c r="T158" t="s">
        <v>3632</v>
      </c>
      <c r="U158" t="s">
        <v>3633</v>
      </c>
    </row>
    <row r="159" spans="1:21" x14ac:dyDescent="0.25">
      <c r="A159" t="s">
        <v>404</v>
      </c>
      <c r="B159" s="1">
        <v>45020</v>
      </c>
      <c r="C159" t="s">
        <v>405</v>
      </c>
      <c r="D159" t="s">
        <v>17</v>
      </c>
      <c r="E159" t="s">
        <v>31</v>
      </c>
      <c r="F159" t="s">
        <v>19</v>
      </c>
      <c r="G159" t="s">
        <v>32</v>
      </c>
      <c r="H159" t="s">
        <v>149</v>
      </c>
      <c r="I159">
        <v>3</v>
      </c>
      <c r="J159">
        <v>9.65</v>
      </c>
      <c r="K159">
        <v>5</v>
      </c>
      <c r="L159">
        <v>27.5</v>
      </c>
      <c r="M159">
        <v>10.62</v>
      </c>
      <c r="N159">
        <v>3.85</v>
      </c>
      <c r="O159" t="s">
        <v>39</v>
      </c>
      <c r="P159">
        <v>2023</v>
      </c>
      <c r="Q159" t="s">
        <v>3639</v>
      </c>
      <c r="R159">
        <v>26.125</v>
      </c>
      <c r="S159">
        <v>0.14736842105263201</v>
      </c>
      <c r="T159" t="s">
        <v>3634</v>
      </c>
      <c r="U159" t="s">
        <v>3633</v>
      </c>
    </row>
    <row r="160" spans="1:21" x14ac:dyDescent="0.25">
      <c r="A160" t="s">
        <v>406</v>
      </c>
      <c r="B160" s="1">
        <v>45020</v>
      </c>
      <c r="C160" t="s">
        <v>407</v>
      </c>
      <c r="D160" t="s">
        <v>49</v>
      </c>
      <c r="E160" t="s">
        <v>67</v>
      </c>
      <c r="F160" t="s">
        <v>68</v>
      </c>
      <c r="G160" t="s">
        <v>20</v>
      </c>
      <c r="H160" t="s">
        <v>199</v>
      </c>
      <c r="I160">
        <v>2</v>
      </c>
      <c r="J160">
        <v>139.15</v>
      </c>
      <c r="K160">
        <v>5</v>
      </c>
      <c r="L160">
        <v>264.38</v>
      </c>
      <c r="M160">
        <v>12.48</v>
      </c>
      <c r="N160">
        <v>98.83</v>
      </c>
      <c r="O160" t="s">
        <v>22</v>
      </c>
      <c r="P160">
        <v>2023</v>
      </c>
      <c r="Q160" t="s">
        <v>3639</v>
      </c>
      <c r="R160">
        <v>251.161</v>
      </c>
      <c r="S160">
        <v>0.39349262027145898</v>
      </c>
      <c r="T160" t="s">
        <v>3632</v>
      </c>
      <c r="U160" t="s">
        <v>3633</v>
      </c>
    </row>
    <row r="161" spans="1:21" x14ac:dyDescent="0.25">
      <c r="A161" t="s">
        <v>408</v>
      </c>
      <c r="B161" s="1">
        <v>45020</v>
      </c>
      <c r="C161" t="s">
        <v>409</v>
      </c>
      <c r="D161" t="s">
        <v>17</v>
      </c>
      <c r="E161" t="s">
        <v>31</v>
      </c>
      <c r="F161" t="s">
        <v>19</v>
      </c>
      <c r="G161" t="s">
        <v>32</v>
      </c>
      <c r="H161" t="s">
        <v>115</v>
      </c>
      <c r="I161">
        <v>2</v>
      </c>
      <c r="J161">
        <v>15.49</v>
      </c>
      <c r="K161">
        <v>10</v>
      </c>
      <c r="L161">
        <v>27.88</v>
      </c>
      <c r="M161">
        <v>6.07</v>
      </c>
      <c r="N161">
        <v>7.87</v>
      </c>
      <c r="O161" t="s">
        <v>39</v>
      </c>
      <c r="P161">
        <v>2023</v>
      </c>
      <c r="Q161" t="s">
        <v>3639</v>
      </c>
      <c r="R161">
        <v>25.091999999999999</v>
      </c>
      <c r="S161">
        <v>0.313645783516659</v>
      </c>
      <c r="T161" t="s">
        <v>3634</v>
      </c>
      <c r="U161" t="s">
        <v>3633</v>
      </c>
    </row>
    <row r="162" spans="1:21" x14ac:dyDescent="0.25">
      <c r="A162" t="s">
        <v>410</v>
      </c>
      <c r="B162" s="1">
        <v>45020</v>
      </c>
      <c r="C162" t="s">
        <v>411</v>
      </c>
      <c r="D162" t="s">
        <v>17</v>
      </c>
      <c r="E162" t="s">
        <v>248</v>
      </c>
      <c r="F162" t="s">
        <v>26</v>
      </c>
      <c r="G162" t="s">
        <v>20</v>
      </c>
      <c r="H162" t="s">
        <v>175</v>
      </c>
      <c r="I162">
        <v>6</v>
      </c>
      <c r="J162">
        <v>25.63</v>
      </c>
      <c r="K162">
        <v>15</v>
      </c>
      <c r="L162">
        <v>130.71</v>
      </c>
      <c r="M162">
        <v>17.72</v>
      </c>
      <c r="N162">
        <v>28.41</v>
      </c>
      <c r="O162" t="s">
        <v>34</v>
      </c>
      <c r="P162">
        <v>2023</v>
      </c>
      <c r="Q162" t="s">
        <v>3639</v>
      </c>
      <c r="R162">
        <v>111.1035</v>
      </c>
      <c r="S162">
        <v>0.25570751596484398</v>
      </c>
      <c r="T162" t="s">
        <v>3632</v>
      </c>
      <c r="U162" t="s">
        <v>3633</v>
      </c>
    </row>
    <row r="163" spans="1:21" x14ac:dyDescent="0.25">
      <c r="A163" t="s">
        <v>412</v>
      </c>
      <c r="B163" s="1">
        <v>45020</v>
      </c>
      <c r="C163" t="s">
        <v>413</v>
      </c>
      <c r="D163" t="s">
        <v>30</v>
      </c>
      <c r="E163" t="s">
        <v>31</v>
      </c>
      <c r="F163" t="s">
        <v>19</v>
      </c>
      <c r="G163" t="s">
        <v>32</v>
      </c>
      <c r="H163" t="s">
        <v>132</v>
      </c>
      <c r="I163">
        <v>1</v>
      </c>
      <c r="J163">
        <v>13</v>
      </c>
      <c r="K163">
        <v>5</v>
      </c>
      <c r="L163">
        <v>12.35</v>
      </c>
      <c r="M163">
        <v>5.81</v>
      </c>
      <c r="N163">
        <v>0.69</v>
      </c>
      <c r="O163" t="s">
        <v>56</v>
      </c>
      <c r="P163">
        <v>2023</v>
      </c>
      <c r="Q163" t="s">
        <v>3639</v>
      </c>
      <c r="R163">
        <v>11.7325</v>
      </c>
      <c r="S163">
        <v>5.8810995099083697E-2</v>
      </c>
      <c r="T163" t="s">
        <v>3634</v>
      </c>
      <c r="U163" t="s">
        <v>3633</v>
      </c>
    </row>
    <row r="164" spans="1:21" x14ac:dyDescent="0.25">
      <c r="A164" t="s">
        <v>414</v>
      </c>
      <c r="B164" s="1">
        <v>45021</v>
      </c>
      <c r="C164" t="s">
        <v>415</v>
      </c>
      <c r="D164" t="s">
        <v>30</v>
      </c>
      <c r="E164" t="s">
        <v>18</v>
      </c>
      <c r="F164" t="s">
        <v>19</v>
      </c>
      <c r="G164" t="s">
        <v>42</v>
      </c>
      <c r="H164" t="s">
        <v>93</v>
      </c>
      <c r="I164">
        <v>2</v>
      </c>
      <c r="J164">
        <v>252.68</v>
      </c>
      <c r="K164">
        <v>0</v>
      </c>
      <c r="L164">
        <v>505.36</v>
      </c>
      <c r="M164">
        <v>8.1199999999999992</v>
      </c>
      <c r="N164">
        <v>194.02</v>
      </c>
      <c r="O164" t="s">
        <v>39</v>
      </c>
      <c r="P164">
        <v>2023</v>
      </c>
      <c r="Q164" t="s">
        <v>3639</v>
      </c>
      <c r="R164">
        <v>505.36</v>
      </c>
      <c r="S164">
        <v>0.38392433116985902</v>
      </c>
      <c r="T164" t="s">
        <v>3635</v>
      </c>
      <c r="U164" t="s">
        <v>3633</v>
      </c>
    </row>
    <row r="165" spans="1:21" x14ac:dyDescent="0.25">
      <c r="A165" t="s">
        <v>416</v>
      </c>
      <c r="B165" s="1">
        <v>45021</v>
      </c>
      <c r="C165" t="s">
        <v>417</v>
      </c>
      <c r="D165" t="s">
        <v>30</v>
      </c>
      <c r="E165" t="s">
        <v>85</v>
      </c>
      <c r="F165" t="s">
        <v>60</v>
      </c>
      <c r="G165" t="s">
        <v>20</v>
      </c>
      <c r="H165" t="s">
        <v>264</v>
      </c>
      <c r="I165">
        <v>8</v>
      </c>
      <c r="J165">
        <v>20.81</v>
      </c>
      <c r="K165">
        <v>0</v>
      </c>
      <c r="L165">
        <v>166.48</v>
      </c>
      <c r="M165">
        <v>20.3</v>
      </c>
      <c r="N165">
        <v>54.62</v>
      </c>
      <c r="O165" t="s">
        <v>22</v>
      </c>
      <c r="P165">
        <v>2023</v>
      </c>
      <c r="Q165" t="s">
        <v>3639</v>
      </c>
      <c r="R165">
        <v>166.48</v>
      </c>
      <c r="S165">
        <v>0.328087457952907</v>
      </c>
      <c r="T165" t="s">
        <v>3632</v>
      </c>
      <c r="U165" t="s">
        <v>3633</v>
      </c>
    </row>
    <row r="166" spans="1:21" x14ac:dyDescent="0.25">
      <c r="A166" t="s">
        <v>418</v>
      </c>
      <c r="B166" s="1">
        <v>45021</v>
      </c>
      <c r="C166" t="s">
        <v>419</v>
      </c>
      <c r="D166" t="s">
        <v>30</v>
      </c>
      <c r="E166" t="s">
        <v>166</v>
      </c>
      <c r="F166" t="s">
        <v>60</v>
      </c>
      <c r="G166" t="s">
        <v>32</v>
      </c>
      <c r="H166" t="s">
        <v>33</v>
      </c>
      <c r="I166">
        <v>2</v>
      </c>
      <c r="J166">
        <v>12.65</v>
      </c>
      <c r="K166">
        <v>15</v>
      </c>
      <c r="L166">
        <v>21.5</v>
      </c>
      <c r="M166">
        <v>12.32</v>
      </c>
      <c r="N166">
        <v>-2.21</v>
      </c>
      <c r="O166" t="s">
        <v>39</v>
      </c>
      <c r="P166">
        <v>2023</v>
      </c>
      <c r="Q166" t="s">
        <v>3639</v>
      </c>
      <c r="R166">
        <v>18.274999999999999</v>
      </c>
      <c r="S166">
        <v>-0.12093023255814001</v>
      </c>
      <c r="T166" t="s">
        <v>3634</v>
      </c>
      <c r="U166" t="s">
        <v>3636</v>
      </c>
    </row>
    <row r="167" spans="1:21" x14ac:dyDescent="0.25">
      <c r="A167" t="s">
        <v>420</v>
      </c>
      <c r="B167" s="1">
        <v>45022</v>
      </c>
      <c r="C167" t="s">
        <v>421</v>
      </c>
      <c r="D167" t="s">
        <v>17</v>
      </c>
      <c r="E167" t="s">
        <v>166</v>
      </c>
      <c r="F167" t="s">
        <v>60</v>
      </c>
      <c r="G167" t="s">
        <v>69</v>
      </c>
      <c r="H167" t="s">
        <v>139</v>
      </c>
      <c r="I167">
        <v>3</v>
      </c>
      <c r="J167">
        <v>83.46</v>
      </c>
      <c r="K167">
        <v>0</v>
      </c>
      <c r="L167">
        <v>250.38</v>
      </c>
      <c r="M167">
        <v>16.07</v>
      </c>
      <c r="N167">
        <v>109.12</v>
      </c>
      <c r="O167" t="s">
        <v>34</v>
      </c>
      <c r="P167">
        <v>2023</v>
      </c>
      <c r="Q167" t="s">
        <v>3639</v>
      </c>
      <c r="R167">
        <v>250.38</v>
      </c>
      <c r="S167">
        <v>0.43581755731288402</v>
      </c>
      <c r="T167" t="s">
        <v>3632</v>
      </c>
      <c r="U167" t="s">
        <v>3633</v>
      </c>
    </row>
    <row r="168" spans="1:21" x14ac:dyDescent="0.25">
      <c r="A168" t="s">
        <v>422</v>
      </c>
      <c r="B168" s="1">
        <v>45023</v>
      </c>
      <c r="C168" t="s">
        <v>423</v>
      </c>
      <c r="D168" t="s">
        <v>49</v>
      </c>
      <c r="E168" t="s">
        <v>135</v>
      </c>
      <c r="F168" t="s">
        <v>26</v>
      </c>
      <c r="G168" t="s">
        <v>20</v>
      </c>
      <c r="H168" t="s">
        <v>55</v>
      </c>
      <c r="I168">
        <v>3</v>
      </c>
      <c r="J168">
        <v>57.89</v>
      </c>
      <c r="K168">
        <v>5</v>
      </c>
      <c r="L168">
        <v>164.99</v>
      </c>
      <c r="M168">
        <v>9.48</v>
      </c>
      <c r="N168">
        <v>59.99</v>
      </c>
      <c r="O168" t="s">
        <v>39</v>
      </c>
      <c r="P168">
        <v>2023</v>
      </c>
      <c r="Q168" t="s">
        <v>3639</v>
      </c>
      <c r="R168">
        <v>156.7405</v>
      </c>
      <c r="S168">
        <v>0.38273451979545797</v>
      </c>
      <c r="T168" t="s">
        <v>3632</v>
      </c>
      <c r="U168" t="s">
        <v>3633</v>
      </c>
    </row>
    <row r="169" spans="1:21" x14ac:dyDescent="0.25">
      <c r="A169" t="s">
        <v>424</v>
      </c>
      <c r="B169" s="1">
        <v>45023</v>
      </c>
      <c r="C169" t="s">
        <v>425</v>
      </c>
      <c r="D169" t="s">
        <v>17</v>
      </c>
      <c r="E169" t="s">
        <v>67</v>
      </c>
      <c r="F169" t="s">
        <v>68</v>
      </c>
      <c r="G169" t="s">
        <v>20</v>
      </c>
      <c r="H169" t="s">
        <v>27</v>
      </c>
      <c r="I169">
        <v>1</v>
      </c>
      <c r="J169">
        <v>133.59</v>
      </c>
      <c r="K169">
        <v>0</v>
      </c>
      <c r="L169">
        <v>133.59</v>
      </c>
      <c r="M169">
        <v>12.48</v>
      </c>
      <c r="N169">
        <v>47.64</v>
      </c>
      <c r="O169" t="s">
        <v>34</v>
      </c>
      <c r="P169">
        <v>2023</v>
      </c>
      <c r="Q169" t="s">
        <v>3639</v>
      </c>
      <c r="R169">
        <v>133.59</v>
      </c>
      <c r="S169">
        <v>0.35661351897597099</v>
      </c>
      <c r="T169" t="s">
        <v>3632</v>
      </c>
      <c r="U169" t="s">
        <v>3633</v>
      </c>
    </row>
    <row r="170" spans="1:21" x14ac:dyDescent="0.25">
      <c r="A170" t="s">
        <v>426</v>
      </c>
      <c r="B170" s="1">
        <v>45025</v>
      </c>
      <c r="C170" t="s">
        <v>427</v>
      </c>
      <c r="D170" t="s">
        <v>49</v>
      </c>
      <c r="E170" t="s">
        <v>85</v>
      </c>
      <c r="F170" t="s">
        <v>60</v>
      </c>
      <c r="G170" t="s">
        <v>32</v>
      </c>
      <c r="H170" t="s">
        <v>33</v>
      </c>
      <c r="I170">
        <v>1</v>
      </c>
      <c r="J170">
        <v>9.89</v>
      </c>
      <c r="K170">
        <v>5</v>
      </c>
      <c r="L170">
        <v>9.4</v>
      </c>
      <c r="M170">
        <v>10.9</v>
      </c>
      <c r="N170">
        <v>-5.95</v>
      </c>
      <c r="O170" t="s">
        <v>34</v>
      </c>
      <c r="P170">
        <v>2023</v>
      </c>
      <c r="Q170" t="s">
        <v>3639</v>
      </c>
      <c r="R170">
        <v>8.93</v>
      </c>
      <c r="S170">
        <v>-0.66629339305711099</v>
      </c>
      <c r="T170" t="s">
        <v>3634</v>
      </c>
      <c r="U170" t="s">
        <v>3636</v>
      </c>
    </row>
    <row r="171" spans="1:21" x14ac:dyDescent="0.25">
      <c r="A171" t="s">
        <v>428</v>
      </c>
      <c r="B171" s="1">
        <v>45025</v>
      </c>
      <c r="C171" t="s">
        <v>429</v>
      </c>
      <c r="D171" t="s">
        <v>30</v>
      </c>
      <c r="E171" t="s">
        <v>129</v>
      </c>
      <c r="F171" t="s">
        <v>19</v>
      </c>
      <c r="G171" t="s">
        <v>32</v>
      </c>
      <c r="H171" t="s">
        <v>82</v>
      </c>
      <c r="I171">
        <v>6</v>
      </c>
      <c r="J171">
        <v>17.86</v>
      </c>
      <c r="K171">
        <v>5</v>
      </c>
      <c r="L171">
        <v>101.8</v>
      </c>
      <c r="M171">
        <v>11.87</v>
      </c>
      <c r="N171">
        <v>41.71</v>
      </c>
      <c r="O171" t="s">
        <v>34</v>
      </c>
      <c r="P171">
        <v>2023</v>
      </c>
      <c r="Q171" t="s">
        <v>3639</v>
      </c>
      <c r="R171">
        <v>96.71</v>
      </c>
      <c r="S171">
        <v>0.43128942198324899</v>
      </c>
      <c r="T171" t="s">
        <v>3632</v>
      </c>
      <c r="U171" t="s">
        <v>3633</v>
      </c>
    </row>
    <row r="172" spans="1:21" x14ac:dyDescent="0.25">
      <c r="A172" t="s">
        <v>430</v>
      </c>
      <c r="B172" s="1">
        <v>45025</v>
      </c>
      <c r="C172" t="s">
        <v>431</v>
      </c>
      <c r="D172" t="s">
        <v>17</v>
      </c>
      <c r="E172" t="s">
        <v>148</v>
      </c>
      <c r="F172" t="s">
        <v>60</v>
      </c>
      <c r="G172" t="s">
        <v>42</v>
      </c>
      <c r="H172" t="s">
        <v>255</v>
      </c>
      <c r="I172">
        <v>4</v>
      </c>
      <c r="J172">
        <v>58.82</v>
      </c>
      <c r="K172">
        <v>10</v>
      </c>
      <c r="L172">
        <v>211.75</v>
      </c>
      <c r="M172">
        <v>13.12</v>
      </c>
      <c r="N172">
        <v>57.46</v>
      </c>
      <c r="O172" t="s">
        <v>39</v>
      </c>
      <c r="P172">
        <v>2023</v>
      </c>
      <c r="Q172" t="s">
        <v>3639</v>
      </c>
      <c r="R172">
        <v>190.57499999999999</v>
      </c>
      <c r="S172">
        <v>0.30150859241768302</v>
      </c>
      <c r="T172" t="s">
        <v>3632</v>
      </c>
      <c r="U172" t="s">
        <v>3633</v>
      </c>
    </row>
    <row r="173" spans="1:21" x14ac:dyDescent="0.25">
      <c r="A173" t="s">
        <v>432</v>
      </c>
      <c r="B173" s="1">
        <v>45026</v>
      </c>
      <c r="C173" t="s">
        <v>433</v>
      </c>
      <c r="D173" t="s">
        <v>30</v>
      </c>
      <c r="E173" t="s">
        <v>148</v>
      </c>
      <c r="F173" t="s">
        <v>60</v>
      </c>
      <c r="G173" t="s">
        <v>20</v>
      </c>
      <c r="H173" t="s">
        <v>55</v>
      </c>
      <c r="I173">
        <v>3</v>
      </c>
      <c r="J173">
        <v>63.4</v>
      </c>
      <c r="K173">
        <v>20</v>
      </c>
      <c r="L173">
        <v>152.16</v>
      </c>
      <c r="M173">
        <v>12.26</v>
      </c>
      <c r="N173">
        <v>35.29</v>
      </c>
      <c r="O173" t="s">
        <v>34</v>
      </c>
      <c r="P173">
        <v>2023</v>
      </c>
      <c r="Q173" t="s">
        <v>3639</v>
      </c>
      <c r="R173">
        <v>121.72799999999999</v>
      </c>
      <c r="S173">
        <v>0.28990864879074701</v>
      </c>
      <c r="T173" t="s">
        <v>3632</v>
      </c>
      <c r="U173" t="s">
        <v>3633</v>
      </c>
    </row>
    <row r="174" spans="1:21" x14ac:dyDescent="0.25">
      <c r="A174" t="s">
        <v>434</v>
      </c>
      <c r="B174" s="1">
        <v>45026</v>
      </c>
      <c r="C174" t="s">
        <v>435</v>
      </c>
      <c r="D174" t="s">
        <v>30</v>
      </c>
      <c r="E174" t="s">
        <v>31</v>
      </c>
      <c r="F174" t="s">
        <v>19</v>
      </c>
      <c r="G174" t="s">
        <v>20</v>
      </c>
      <c r="H174" t="s">
        <v>27</v>
      </c>
      <c r="I174">
        <v>1</v>
      </c>
      <c r="J174">
        <v>133.59</v>
      </c>
      <c r="K174">
        <v>10</v>
      </c>
      <c r="L174">
        <v>120.23</v>
      </c>
      <c r="M174">
        <v>6.48</v>
      </c>
      <c r="N174">
        <v>40.28</v>
      </c>
      <c r="O174" t="s">
        <v>39</v>
      </c>
      <c r="P174">
        <v>2023</v>
      </c>
      <c r="Q174" t="s">
        <v>3639</v>
      </c>
      <c r="R174">
        <v>108.20699999999999</v>
      </c>
      <c r="S174">
        <v>0.37224948478379399</v>
      </c>
      <c r="T174" t="s">
        <v>3632</v>
      </c>
      <c r="U174" t="s">
        <v>3633</v>
      </c>
    </row>
    <row r="175" spans="1:21" x14ac:dyDescent="0.25">
      <c r="A175" t="s">
        <v>436</v>
      </c>
      <c r="B175" s="1">
        <v>45029</v>
      </c>
      <c r="C175" t="s">
        <v>437</v>
      </c>
      <c r="D175" t="s">
        <v>17</v>
      </c>
      <c r="E175" t="s">
        <v>129</v>
      </c>
      <c r="F175" t="s">
        <v>19</v>
      </c>
      <c r="G175" t="s">
        <v>42</v>
      </c>
      <c r="H175" t="s">
        <v>294</v>
      </c>
      <c r="I175">
        <v>2</v>
      </c>
      <c r="J175">
        <v>244.78</v>
      </c>
      <c r="K175">
        <v>10</v>
      </c>
      <c r="L175">
        <v>440.6</v>
      </c>
      <c r="M175">
        <v>9.82</v>
      </c>
      <c r="N175">
        <v>137.04</v>
      </c>
      <c r="O175" t="s">
        <v>39</v>
      </c>
      <c r="P175">
        <v>2023</v>
      </c>
      <c r="Q175" t="s">
        <v>3639</v>
      </c>
      <c r="R175">
        <v>396.54</v>
      </c>
      <c r="S175">
        <v>0.34558934785897999</v>
      </c>
      <c r="T175" t="s">
        <v>3632</v>
      </c>
      <c r="U175" t="s">
        <v>3633</v>
      </c>
    </row>
    <row r="176" spans="1:21" x14ac:dyDescent="0.25">
      <c r="A176" t="s">
        <v>438</v>
      </c>
      <c r="B176" s="1">
        <v>45029</v>
      </c>
      <c r="C176" t="s">
        <v>439</v>
      </c>
      <c r="D176" t="s">
        <v>30</v>
      </c>
      <c r="E176" t="s">
        <v>92</v>
      </c>
      <c r="F176" t="s">
        <v>60</v>
      </c>
      <c r="G176" t="s">
        <v>32</v>
      </c>
      <c r="H176" t="s">
        <v>101</v>
      </c>
      <c r="I176">
        <v>4</v>
      </c>
      <c r="J176">
        <v>13.89</v>
      </c>
      <c r="K176">
        <v>0</v>
      </c>
      <c r="L176">
        <v>55.56</v>
      </c>
      <c r="M176">
        <v>18.260000000000002</v>
      </c>
      <c r="N176">
        <v>12.3</v>
      </c>
      <c r="O176" t="s">
        <v>34</v>
      </c>
      <c r="P176">
        <v>2023</v>
      </c>
      <c r="Q176" t="s">
        <v>3639</v>
      </c>
      <c r="R176">
        <v>55.56</v>
      </c>
      <c r="S176">
        <v>0.22138228941684701</v>
      </c>
      <c r="T176" t="s">
        <v>3634</v>
      </c>
      <c r="U176" t="s">
        <v>3633</v>
      </c>
    </row>
    <row r="177" spans="1:21" x14ac:dyDescent="0.25">
      <c r="A177" t="s">
        <v>440</v>
      </c>
      <c r="B177" s="1">
        <v>45030</v>
      </c>
      <c r="C177" t="s">
        <v>441</v>
      </c>
      <c r="D177" t="s">
        <v>30</v>
      </c>
      <c r="E177" t="s">
        <v>63</v>
      </c>
      <c r="F177" t="s">
        <v>54</v>
      </c>
      <c r="G177" t="s">
        <v>32</v>
      </c>
      <c r="H177" t="s">
        <v>110</v>
      </c>
      <c r="I177">
        <v>2</v>
      </c>
      <c r="J177">
        <v>4.54</v>
      </c>
      <c r="K177">
        <v>0</v>
      </c>
      <c r="L177">
        <v>9.08</v>
      </c>
      <c r="M177">
        <v>13.77</v>
      </c>
      <c r="N177">
        <v>-8.7799999999999994</v>
      </c>
      <c r="O177" t="s">
        <v>39</v>
      </c>
      <c r="P177">
        <v>2023</v>
      </c>
      <c r="Q177" t="s">
        <v>3639</v>
      </c>
      <c r="R177">
        <v>9.08</v>
      </c>
      <c r="S177">
        <v>-0.96696035242290801</v>
      </c>
      <c r="T177" t="s">
        <v>3634</v>
      </c>
      <c r="U177" t="s">
        <v>3636</v>
      </c>
    </row>
    <row r="178" spans="1:21" x14ac:dyDescent="0.25">
      <c r="A178" t="s">
        <v>442</v>
      </c>
      <c r="B178" s="1">
        <v>45031</v>
      </c>
      <c r="C178" t="s">
        <v>443</v>
      </c>
      <c r="D178" t="s">
        <v>30</v>
      </c>
      <c r="E178" t="s">
        <v>53</v>
      </c>
      <c r="F178" t="s">
        <v>54</v>
      </c>
      <c r="G178" t="s">
        <v>42</v>
      </c>
      <c r="H178" t="s">
        <v>43</v>
      </c>
      <c r="I178">
        <v>4</v>
      </c>
      <c r="J178">
        <v>257.60000000000002</v>
      </c>
      <c r="K178">
        <v>25</v>
      </c>
      <c r="L178">
        <v>772.8</v>
      </c>
      <c r="M178">
        <v>19.79</v>
      </c>
      <c r="N178">
        <v>134.77000000000001</v>
      </c>
      <c r="O178" t="s">
        <v>56</v>
      </c>
      <c r="P178">
        <v>2023</v>
      </c>
      <c r="Q178" t="s">
        <v>3639</v>
      </c>
      <c r="R178">
        <v>579.6</v>
      </c>
      <c r="S178">
        <v>0.23252242926156</v>
      </c>
      <c r="T178" t="s">
        <v>3635</v>
      </c>
      <c r="U178" t="s">
        <v>3633</v>
      </c>
    </row>
    <row r="179" spans="1:21" x14ac:dyDescent="0.25">
      <c r="A179" t="s">
        <v>444</v>
      </c>
      <c r="B179" s="1">
        <v>45032</v>
      </c>
      <c r="C179" t="s">
        <v>445</v>
      </c>
      <c r="D179" t="s">
        <v>30</v>
      </c>
      <c r="E179" t="s">
        <v>92</v>
      </c>
      <c r="F179" t="s">
        <v>60</v>
      </c>
      <c r="G179" t="s">
        <v>69</v>
      </c>
      <c r="H179" t="s">
        <v>79</v>
      </c>
      <c r="I179">
        <v>1</v>
      </c>
      <c r="J179">
        <v>55</v>
      </c>
      <c r="K179">
        <v>5</v>
      </c>
      <c r="L179">
        <v>52.25</v>
      </c>
      <c r="M179">
        <v>9.81</v>
      </c>
      <c r="N179">
        <v>14.94</v>
      </c>
      <c r="O179" t="s">
        <v>39</v>
      </c>
      <c r="P179">
        <v>2023</v>
      </c>
      <c r="Q179" t="s">
        <v>3639</v>
      </c>
      <c r="R179">
        <v>49.637500000000003</v>
      </c>
      <c r="S179">
        <v>0.300982120372702</v>
      </c>
      <c r="T179" t="s">
        <v>3634</v>
      </c>
      <c r="U179" t="s">
        <v>3633</v>
      </c>
    </row>
    <row r="180" spans="1:21" x14ac:dyDescent="0.25">
      <c r="A180" t="s">
        <v>446</v>
      </c>
      <c r="B180" s="1">
        <v>45032</v>
      </c>
      <c r="C180" t="s">
        <v>447</v>
      </c>
      <c r="D180" t="s">
        <v>17</v>
      </c>
      <c r="E180" t="s">
        <v>148</v>
      </c>
      <c r="F180" t="s">
        <v>60</v>
      </c>
      <c r="G180" t="s">
        <v>32</v>
      </c>
      <c r="H180" t="s">
        <v>73</v>
      </c>
      <c r="I180">
        <v>4</v>
      </c>
      <c r="J180">
        <v>8.66</v>
      </c>
      <c r="K180">
        <v>5</v>
      </c>
      <c r="L180">
        <v>32.909999999999997</v>
      </c>
      <c r="M180">
        <v>11.66</v>
      </c>
      <c r="N180">
        <v>5.66</v>
      </c>
      <c r="O180" t="s">
        <v>39</v>
      </c>
      <c r="P180">
        <v>2023</v>
      </c>
      <c r="Q180" t="s">
        <v>3639</v>
      </c>
      <c r="R180">
        <v>31.264500000000002</v>
      </c>
      <c r="S180">
        <v>0.18103599929632599</v>
      </c>
      <c r="T180" t="s">
        <v>3634</v>
      </c>
      <c r="U180" t="s">
        <v>3633</v>
      </c>
    </row>
    <row r="181" spans="1:21" x14ac:dyDescent="0.25">
      <c r="A181" t="s">
        <v>448</v>
      </c>
      <c r="B181" s="1">
        <v>45032</v>
      </c>
      <c r="C181" t="s">
        <v>449</v>
      </c>
      <c r="D181" t="s">
        <v>30</v>
      </c>
      <c r="E181" t="s">
        <v>31</v>
      </c>
      <c r="F181" t="s">
        <v>19</v>
      </c>
      <c r="G181" t="s">
        <v>20</v>
      </c>
      <c r="H181" t="s">
        <v>122</v>
      </c>
      <c r="I181">
        <v>2</v>
      </c>
      <c r="J181">
        <v>94.43</v>
      </c>
      <c r="K181">
        <v>10</v>
      </c>
      <c r="L181">
        <v>169.97</v>
      </c>
      <c r="M181">
        <v>6.86</v>
      </c>
      <c r="N181">
        <v>59.24</v>
      </c>
      <c r="O181" t="s">
        <v>39</v>
      </c>
      <c r="P181">
        <v>2023</v>
      </c>
      <c r="Q181" t="s">
        <v>3639</v>
      </c>
      <c r="R181">
        <v>152.97300000000001</v>
      </c>
      <c r="S181">
        <v>0.38725788210991502</v>
      </c>
      <c r="T181" t="s">
        <v>3632</v>
      </c>
      <c r="U181" t="s">
        <v>3633</v>
      </c>
    </row>
    <row r="182" spans="1:21" x14ac:dyDescent="0.25">
      <c r="A182" t="s">
        <v>450</v>
      </c>
      <c r="B182" s="1">
        <v>45033</v>
      </c>
      <c r="C182" t="s">
        <v>451</v>
      </c>
      <c r="D182" t="s">
        <v>30</v>
      </c>
      <c r="E182" t="s">
        <v>248</v>
      </c>
      <c r="F182" t="s">
        <v>26</v>
      </c>
      <c r="G182" t="s">
        <v>20</v>
      </c>
      <c r="H182" t="s">
        <v>21</v>
      </c>
      <c r="I182">
        <v>6</v>
      </c>
      <c r="J182">
        <v>209.9</v>
      </c>
      <c r="K182">
        <v>5</v>
      </c>
      <c r="L182">
        <v>1196.43</v>
      </c>
      <c r="M182">
        <v>17.2</v>
      </c>
      <c r="N182">
        <v>486.56</v>
      </c>
      <c r="O182" t="s">
        <v>34</v>
      </c>
      <c r="P182">
        <v>2023</v>
      </c>
      <c r="Q182" t="s">
        <v>3639</v>
      </c>
      <c r="R182">
        <v>1136.6085</v>
      </c>
      <c r="S182">
        <v>0.42808055720153398</v>
      </c>
      <c r="T182" t="s">
        <v>3635</v>
      </c>
      <c r="U182" t="s">
        <v>3633</v>
      </c>
    </row>
    <row r="183" spans="1:21" x14ac:dyDescent="0.25">
      <c r="A183" t="s">
        <v>452</v>
      </c>
      <c r="B183" s="1">
        <v>45034</v>
      </c>
      <c r="C183" t="s">
        <v>453</v>
      </c>
      <c r="D183" t="s">
        <v>17</v>
      </c>
      <c r="E183" t="s">
        <v>109</v>
      </c>
      <c r="F183" t="s">
        <v>54</v>
      </c>
      <c r="G183" t="s">
        <v>20</v>
      </c>
      <c r="H183" t="s">
        <v>21</v>
      </c>
      <c r="I183">
        <v>9</v>
      </c>
      <c r="J183">
        <v>67.709999999999994</v>
      </c>
      <c r="K183">
        <v>0</v>
      </c>
      <c r="L183">
        <v>609.39</v>
      </c>
      <c r="M183">
        <v>21.43</v>
      </c>
      <c r="N183">
        <v>252.8</v>
      </c>
      <c r="O183" t="s">
        <v>39</v>
      </c>
      <c r="P183">
        <v>2023</v>
      </c>
      <c r="Q183" t="s">
        <v>3639</v>
      </c>
      <c r="R183">
        <v>609.39</v>
      </c>
      <c r="S183">
        <v>0.41484107057877601</v>
      </c>
      <c r="T183" t="s">
        <v>3635</v>
      </c>
      <c r="U183" t="s">
        <v>3633</v>
      </c>
    </row>
    <row r="184" spans="1:21" x14ac:dyDescent="0.25">
      <c r="A184" t="s">
        <v>454</v>
      </c>
      <c r="B184" s="1">
        <v>45035</v>
      </c>
      <c r="C184" t="s">
        <v>455</v>
      </c>
      <c r="D184" t="s">
        <v>30</v>
      </c>
      <c r="E184" t="s">
        <v>129</v>
      </c>
      <c r="F184" t="s">
        <v>19</v>
      </c>
      <c r="G184" t="s">
        <v>20</v>
      </c>
      <c r="H184" t="s">
        <v>199</v>
      </c>
      <c r="I184">
        <v>2</v>
      </c>
      <c r="J184">
        <v>171.32</v>
      </c>
      <c r="K184">
        <v>15</v>
      </c>
      <c r="L184">
        <v>291.24</v>
      </c>
      <c r="M184">
        <v>9.4600000000000009</v>
      </c>
      <c r="N184">
        <v>93.33</v>
      </c>
      <c r="O184" t="s">
        <v>34</v>
      </c>
      <c r="P184">
        <v>2023</v>
      </c>
      <c r="Q184" t="s">
        <v>3639</v>
      </c>
      <c r="R184">
        <v>247.554</v>
      </c>
      <c r="S184">
        <v>0.37700865265760197</v>
      </c>
      <c r="T184" t="s">
        <v>3632</v>
      </c>
      <c r="U184" t="s">
        <v>3633</v>
      </c>
    </row>
    <row r="185" spans="1:21" x14ac:dyDescent="0.25">
      <c r="A185" t="s">
        <v>456</v>
      </c>
      <c r="B185" s="1">
        <v>45035</v>
      </c>
      <c r="C185" t="s">
        <v>457</v>
      </c>
      <c r="D185" t="s">
        <v>17</v>
      </c>
      <c r="E185" t="s">
        <v>18</v>
      </c>
      <c r="F185" t="s">
        <v>19</v>
      </c>
      <c r="G185" t="s">
        <v>20</v>
      </c>
      <c r="H185" t="s">
        <v>21</v>
      </c>
      <c r="I185">
        <v>3</v>
      </c>
      <c r="J185">
        <v>82.93</v>
      </c>
      <c r="K185">
        <v>20</v>
      </c>
      <c r="L185">
        <v>199.03</v>
      </c>
      <c r="M185">
        <v>12.36</v>
      </c>
      <c r="N185">
        <v>49.84</v>
      </c>
      <c r="O185" t="s">
        <v>39</v>
      </c>
      <c r="P185">
        <v>2023</v>
      </c>
      <c r="Q185" t="s">
        <v>3639</v>
      </c>
      <c r="R185">
        <v>159.22399999999999</v>
      </c>
      <c r="S185">
        <v>0.31301813796915001</v>
      </c>
      <c r="T185" t="s">
        <v>3632</v>
      </c>
      <c r="U185" t="s">
        <v>3633</v>
      </c>
    </row>
    <row r="186" spans="1:21" x14ac:dyDescent="0.25">
      <c r="A186" t="s">
        <v>458</v>
      </c>
      <c r="B186" s="1">
        <v>45036</v>
      </c>
      <c r="C186" t="s">
        <v>459</v>
      </c>
      <c r="D186" t="s">
        <v>17</v>
      </c>
      <c r="E186" t="s">
        <v>85</v>
      </c>
      <c r="F186" t="s">
        <v>60</v>
      </c>
      <c r="G186" t="s">
        <v>20</v>
      </c>
      <c r="H186" t="s">
        <v>38</v>
      </c>
      <c r="I186">
        <v>4</v>
      </c>
      <c r="J186">
        <v>57.09</v>
      </c>
      <c r="K186">
        <v>15</v>
      </c>
      <c r="L186">
        <v>194.11</v>
      </c>
      <c r="M186">
        <v>11.38</v>
      </c>
      <c r="N186">
        <v>57.13</v>
      </c>
      <c r="O186" t="s">
        <v>34</v>
      </c>
      <c r="P186">
        <v>2023</v>
      </c>
      <c r="Q186" t="s">
        <v>3639</v>
      </c>
      <c r="R186">
        <v>164.99350000000001</v>
      </c>
      <c r="S186">
        <v>0.34625606463284903</v>
      </c>
      <c r="T186" t="s">
        <v>3632</v>
      </c>
      <c r="U186" t="s">
        <v>3633</v>
      </c>
    </row>
    <row r="187" spans="1:21" x14ac:dyDescent="0.25">
      <c r="A187" t="s">
        <v>460</v>
      </c>
      <c r="B187" s="1">
        <v>45037</v>
      </c>
      <c r="C187" t="s">
        <v>461</v>
      </c>
      <c r="D187" t="s">
        <v>30</v>
      </c>
      <c r="E187" t="s">
        <v>148</v>
      </c>
      <c r="F187" t="s">
        <v>60</v>
      </c>
      <c r="G187" t="s">
        <v>69</v>
      </c>
      <c r="H187" t="s">
        <v>139</v>
      </c>
      <c r="I187">
        <v>1</v>
      </c>
      <c r="J187">
        <v>54.74</v>
      </c>
      <c r="K187">
        <v>0</v>
      </c>
      <c r="L187">
        <v>54.74</v>
      </c>
      <c r="M187">
        <v>10.89</v>
      </c>
      <c r="N187">
        <v>16.48</v>
      </c>
      <c r="O187" t="s">
        <v>34</v>
      </c>
      <c r="P187">
        <v>2023</v>
      </c>
      <c r="Q187" t="s">
        <v>3639</v>
      </c>
      <c r="R187">
        <v>54.74</v>
      </c>
      <c r="S187">
        <v>0.30105955425648501</v>
      </c>
      <c r="T187" t="s">
        <v>3634</v>
      </c>
      <c r="U187" t="s">
        <v>3633</v>
      </c>
    </row>
    <row r="188" spans="1:21" x14ac:dyDescent="0.25">
      <c r="A188" t="s">
        <v>462</v>
      </c>
      <c r="B188" s="1">
        <v>45037</v>
      </c>
      <c r="C188" t="s">
        <v>463</v>
      </c>
      <c r="D188" t="s">
        <v>30</v>
      </c>
      <c r="E188" t="s">
        <v>135</v>
      </c>
      <c r="F188" t="s">
        <v>26</v>
      </c>
      <c r="G188" t="s">
        <v>42</v>
      </c>
      <c r="H188" t="s">
        <v>371</v>
      </c>
      <c r="I188">
        <v>10</v>
      </c>
      <c r="J188">
        <v>136.46</v>
      </c>
      <c r="K188">
        <v>15</v>
      </c>
      <c r="L188">
        <v>1159.9100000000001</v>
      </c>
      <c r="M188">
        <v>17.75</v>
      </c>
      <c r="N188">
        <v>323.39999999999998</v>
      </c>
      <c r="O188" t="s">
        <v>22</v>
      </c>
      <c r="P188">
        <v>2023</v>
      </c>
      <c r="Q188" t="s">
        <v>3639</v>
      </c>
      <c r="R188">
        <v>985.92349999999999</v>
      </c>
      <c r="S188">
        <v>0.32801733603063499</v>
      </c>
      <c r="T188" t="s">
        <v>3635</v>
      </c>
      <c r="U188" t="s">
        <v>3633</v>
      </c>
    </row>
    <row r="189" spans="1:21" x14ac:dyDescent="0.25">
      <c r="A189" t="s">
        <v>464</v>
      </c>
      <c r="B189" s="1">
        <v>45037</v>
      </c>
      <c r="C189" t="s">
        <v>465</v>
      </c>
      <c r="D189" t="s">
        <v>30</v>
      </c>
      <c r="E189" t="s">
        <v>129</v>
      </c>
      <c r="F189" t="s">
        <v>19</v>
      </c>
      <c r="G189" t="s">
        <v>42</v>
      </c>
      <c r="H189" t="s">
        <v>89</v>
      </c>
      <c r="I189">
        <v>2</v>
      </c>
      <c r="J189">
        <v>308.79000000000002</v>
      </c>
      <c r="K189">
        <v>0</v>
      </c>
      <c r="L189">
        <v>617.58000000000004</v>
      </c>
      <c r="M189">
        <v>7.21</v>
      </c>
      <c r="N189">
        <v>239.82</v>
      </c>
      <c r="O189" t="s">
        <v>34</v>
      </c>
      <c r="P189">
        <v>2023</v>
      </c>
      <c r="Q189" t="s">
        <v>3639</v>
      </c>
      <c r="R189">
        <v>617.58000000000004</v>
      </c>
      <c r="S189">
        <v>0.38832216069173198</v>
      </c>
      <c r="T189" t="s">
        <v>3635</v>
      </c>
      <c r="U189" t="s">
        <v>3633</v>
      </c>
    </row>
    <row r="190" spans="1:21" x14ac:dyDescent="0.25">
      <c r="A190" t="s">
        <v>466</v>
      </c>
      <c r="B190" s="1">
        <v>45038</v>
      </c>
      <c r="C190" t="s">
        <v>467</v>
      </c>
      <c r="D190" t="s">
        <v>17</v>
      </c>
      <c r="E190" t="s">
        <v>138</v>
      </c>
      <c r="F190" t="s">
        <v>54</v>
      </c>
      <c r="G190" t="s">
        <v>42</v>
      </c>
      <c r="H190" t="s">
        <v>46</v>
      </c>
      <c r="I190">
        <v>3</v>
      </c>
      <c r="J190">
        <v>180.81</v>
      </c>
      <c r="K190">
        <v>20</v>
      </c>
      <c r="L190">
        <v>433.94</v>
      </c>
      <c r="M190">
        <v>18.2</v>
      </c>
      <c r="N190">
        <v>90.28</v>
      </c>
      <c r="O190" t="s">
        <v>39</v>
      </c>
      <c r="P190">
        <v>2023</v>
      </c>
      <c r="Q190" t="s">
        <v>3639</v>
      </c>
      <c r="R190">
        <v>347.15199999999999</v>
      </c>
      <c r="S190">
        <v>0.26005899433101398</v>
      </c>
      <c r="T190" t="s">
        <v>3632</v>
      </c>
      <c r="U190" t="s">
        <v>3633</v>
      </c>
    </row>
    <row r="191" spans="1:21" x14ac:dyDescent="0.25">
      <c r="A191" t="s">
        <v>468</v>
      </c>
      <c r="B191" s="1">
        <v>45039</v>
      </c>
      <c r="C191" t="s">
        <v>469</v>
      </c>
      <c r="D191" t="s">
        <v>17</v>
      </c>
      <c r="E191" t="s">
        <v>166</v>
      </c>
      <c r="F191" t="s">
        <v>60</v>
      </c>
      <c r="G191" t="s">
        <v>42</v>
      </c>
      <c r="H191" t="s">
        <v>255</v>
      </c>
      <c r="I191">
        <v>1</v>
      </c>
      <c r="J191">
        <v>54.96</v>
      </c>
      <c r="K191">
        <v>10</v>
      </c>
      <c r="L191">
        <v>49.46</v>
      </c>
      <c r="M191">
        <v>10.74</v>
      </c>
      <c r="N191">
        <v>5.74</v>
      </c>
      <c r="O191" t="s">
        <v>34</v>
      </c>
      <c r="P191">
        <v>2023</v>
      </c>
      <c r="Q191" t="s">
        <v>3639</v>
      </c>
      <c r="R191">
        <v>44.514000000000003</v>
      </c>
      <c r="S191">
        <v>0.128948196073146</v>
      </c>
      <c r="T191" t="s">
        <v>3634</v>
      </c>
      <c r="U191" t="s">
        <v>3633</v>
      </c>
    </row>
    <row r="192" spans="1:21" x14ac:dyDescent="0.25">
      <c r="A192" t="s">
        <v>470</v>
      </c>
      <c r="B192" s="1">
        <v>45040</v>
      </c>
      <c r="C192" t="s">
        <v>471</v>
      </c>
      <c r="D192" t="s">
        <v>49</v>
      </c>
      <c r="E192" t="s">
        <v>135</v>
      </c>
      <c r="F192" t="s">
        <v>26</v>
      </c>
      <c r="G192" t="s">
        <v>42</v>
      </c>
      <c r="H192" t="s">
        <v>371</v>
      </c>
      <c r="I192">
        <v>1</v>
      </c>
      <c r="J192">
        <v>137.26</v>
      </c>
      <c r="K192">
        <v>10</v>
      </c>
      <c r="L192">
        <v>123.53</v>
      </c>
      <c r="M192">
        <v>8.4700000000000006</v>
      </c>
      <c r="N192">
        <v>32.700000000000003</v>
      </c>
      <c r="O192" t="s">
        <v>39</v>
      </c>
      <c r="P192">
        <v>2023</v>
      </c>
      <c r="Q192" t="s">
        <v>3639</v>
      </c>
      <c r="R192">
        <v>111.17700000000001</v>
      </c>
      <c r="S192">
        <v>0.29412558352896701</v>
      </c>
      <c r="T192" t="s">
        <v>3632</v>
      </c>
      <c r="U192" t="s">
        <v>3633</v>
      </c>
    </row>
    <row r="193" spans="1:21" x14ac:dyDescent="0.25">
      <c r="A193" t="s">
        <v>472</v>
      </c>
      <c r="B193" s="1">
        <v>45041</v>
      </c>
      <c r="C193" t="s">
        <v>473</v>
      </c>
      <c r="D193" t="s">
        <v>17</v>
      </c>
      <c r="E193" t="s">
        <v>85</v>
      </c>
      <c r="F193" t="s">
        <v>60</v>
      </c>
      <c r="G193" t="s">
        <v>69</v>
      </c>
      <c r="H193" t="s">
        <v>98</v>
      </c>
      <c r="I193">
        <v>6</v>
      </c>
      <c r="J193">
        <v>30.66</v>
      </c>
      <c r="K193">
        <v>10</v>
      </c>
      <c r="L193">
        <v>165.56</v>
      </c>
      <c r="M193">
        <v>22.41</v>
      </c>
      <c r="N193">
        <v>51.17</v>
      </c>
      <c r="O193" t="s">
        <v>22</v>
      </c>
      <c r="P193">
        <v>2023</v>
      </c>
      <c r="Q193" t="s">
        <v>3639</v>
      </c>
      <c r="R193">
        <v>149.00399999999999</v>
      </c>
      <c r="S193">
        <v>0.34341359963490897</v>
      </c>
      <c r="T193" t="s">
        <v>3632</v>
      </c>
      <c r="U193" t="s">
        <v>3633</v>
      </c>
    </row>
    <row r="194" spans="1:21" x14ac:dyDescent="0.25">
      <c r="A194" t="s">
        <v>474</v>
      </c>
      <c r="B194" s="1">
        <v>45041</v>
      </c>
      <c r="C194" t="s">
        <v>475</v>
      </c>
      <c r="D194" t="s">
        <v>30</v>
      </c>
      <c r="E194" t="s">
        <v>59</v>
      </c>
      <c r="F194" t="s">
        <v>60</v>
      </c>
      <c r="G194" t="s">
        <v>69</v>
      </c>
      <c r="H194" t="s">
        <v>243</v>
      </c>
      <c r="I194">
        <v>1</v>
      </c>
      <c r="J194">
        <v>46.16</v>
      </c>
      <c r="K194">
        <v>5</v>
      </c>
      <c r="L194">
        <v>43.85</v>
      </c>
      <c r="M194">
        <v>11.08</v>
      </c>
      <c r="N194">
        <v>9.69</v>
      </c>
      <c r="O194" t="s">
        <v>34</v>
      </c>
      <c r="P194">
        <v>2023</v>
      </c>
      <c r="Q194" t="s">
        <v>3639</v>
      </c>
      <c r="R194">
        <v>41.657499999999999</v>
      </c>
      <c r="S194">
        <v>0.232611174458381</v>
      </c>
      <c r="T194" t="s">
        <v>3634</v>
      </c>
      <c r="U194" t="s">
        <v>3633</v>
      </c>
    </row>
    <row r="195" spans="1:21" x14ac:dyDescent="0.25">
      <c r="A195" t="s">
        <v>476</v>
      </c>
      <c r="B195" s="1">
        <v>45041</v>
      </c>
      <c r="C195" t="s">
        <v>477</v>
      </c>
      <c r="D195" t="s">
        <v>30</v>
      </c>
      <c r="E195" t="s">
        <v>135</v>
      </c>
      <c r="F195" t="s">
        <v>26</v>
      </c>
      <c r="G195" t="s">
        <v>69</v>
      </c>
      <c r="H195" t="s">
        <v>139</v>
      </c>
      <c r="I195">
        <v>4</v>
      </c>
      <c r="J195">
        <v>45.58</v>
      </c>
      <c r="K195">
        <v>5</v>
      </c>
      <c r="L195">
        <v>173.2</v>
      </c>
      <c r="M195">
        <v>12.2</v>
      </c>
      <c r="N195">
        <v>69.84</v>
      </c>
      <c r="O195" t="s">
        <v>56</v>
      </c>
      <c r="P195">
        <v>2023</v>
      </c>
      <c r="Q195" t="s">
        <v>3639</v>
      </c>
      <c r="R195">
        <v>164.54</v>
      </c>
      <c r="S195">
        <v>0.42445605931688302</v>
      </c>
      <c r="T195" t="s">
        <v>3632</v>
      </c>
      <c r="U195" t="s">
        <v>3633</v>
      </c>
    </row>
    <row r="196" spans="1:21" x14ac:dyDescent="0.25">
      <c r="A196" t="s">
        <v>478</v>
      </c>
      <c r="B196" s="1">
        <v>45042</v>
      </c>
      <c r="C196" t="s">
        <v>479</v>
      </c>
      <c r="D196" t="s">
        <v>30</v>
      </c>
      <c r="E196" t="s">
        <v>166</v>
      </c>
      <c r="F196" t="s">
        <v>60</v>
      </c>
      <c r="G196" t="s">
        <v>42</v>
      </c>
      <c r="H196" t="s">
        <v>43</v>
      </c>
      <c r="I196">
        <v>2</v>
      </c>
      <c r="J196">
        <v>177.6</v>
      </c>
      <c r="K196">
        <v>0</v>
      </c>
      <c r="L196">
        <v>355.2</v>
      </c>
      <c r="M196">
        <v>13.33</v>
      </c>
      <c r="N196">
        <v>128.75</v>
      </c>
      <c r="O196" t="s">
        <v>34</v>
      </c>
      <c r="P196">
        <v>2023</v>
      </c>
      <c r="Q196" t="s">
        <v>3639</v>
      </c>
      <c r="R196">
        <v>355.2</v>
      </c>
      <c r="S196">
        <v>0.36247184684684702</v>
      </c>
      <c r="T196" t="s">
        <v>3632</v>
      </c>
      <c r="U196" t="s">
        <v>3633</v>
      </c>
    </row>
    <row r="197" spans="1:21" x14ac:dyDescent="0.25">
      <c r="A197" t="s">
        <v>480</v>
      </c>
      <c r="B197" s="1">
        <v>45042</v>
      </c>
      <c r="C197" t="s">
        <v>481</v>
      </c>
      <c r="D197" t="s">
        <v>30</v>
      </c>
      <c r="E197" t="s">
        <v>31</v>
      </c>
      <c r="F197" t="s">
        <v>19</v>
      </c>
      <c r="G197" t="s">
        <v>42</v>
      </c>
      <c r="H197" t="s">
        <v>46</v>
      </c>
      <c r="I197">
        <v>3</v>
      </c>
      <c r="J197">
        <v>192.55</v>
      </c>
      <c r="K197">
        <v>0</v>
      </c>
      <c r="L197">
        <v>577.65</v>
      </c>
      <c r="M197">
        <v>10.26</v>
      </c>
      <c r="N197">
        <v>220.8</v>
      </c>
      <c r="O197" t="s">
        <v>34</v>
      </c>
      <c r="P197">
        <v>2023</v>
      </c>
      <c r="Q197" t="s">
        <v>3639</v>
      </c>
      <c r="R197">
        <v>577.65</v>
      </c>
      <c r="S197">
        <v>0.38223837964165203</v>
      </c>
      <c r="T197" t="s">
        <v>3635</v>
      </c>
      <c r="U197" t="s">
        <v>3633</v>
      </c>
    </row>
    <row r="198" spans="1:21" x14ac:dyDescent="0.25">
      <c r="A198" t="s">
        <v>482</v>
      </c>
      <c r="B198" s="1">
        <v>45045</v>
      </c>
      <c r="C198" t="s">
        <v>483</v>
      </c>
      <c r="D198" t="s">
        <v>30</v>
      </c>
      <c r="E198" t="s">
        <v>59</v>
      </c>
      <c r="F198" t="s">
        <v>60</v>
      </c>
      <c r="G198" t="s">
        <v>20</v>
      </c>
      <c r="H198" t="s">
        <v>175</v>
      </c>
      <c r="I198">
        <v>1</v>
      </c>
      <c r="J198">
        <v>17.84</v>
      </c>
      <c r="K198">
        <v>5</v>
      </c>
      <c r="L198">
        <v>16.95</v>
      </c>
      <c r="M198">
        <v>11.04</v>
      </c>
      <c r="N198">
        <v>-3.9</v>
      </c>
      <c r="O198" t="s">
        <v>34</v>
      </c>
      <c r="P198">
        <v>2023</v>
      </c>
      <c r="Q198" t="s">
        <v>3639</v>
      </c>
      <c r="R198">
        <v>16.102499999999999</v>
      </c>
      <c r="S198">
        <v>-0.24219841639497</v>
      </c>
      <c r="T198" t="s">
        <v>3634</v>
      </c>
      <c r="U198" t="s">
        <v>3636</v>
      </c>
    </row>
    <row r="199" spans="1:21" x14ac:dyDescent="0.25">
      <c r="A199" t="s">
        <v>484</v>
      </c>
      <c r="B199" s="1">
        <v>45046</v>
      </c>
      <c r="C199" t="s">
        <v>485</v>
      </c>
      <c r="D199" t="s">
        <v>17</v>
      </c>
      <c r="E199" t="s">
        <v>92</v>
      </c>
      <c r="F199" t="s">
        <v>60</v>
      </c>
      <c r="G199" t="s">
        <v>32</v>
      </c>
      <c r="H199" t="s">
        <v>149</v>
      </c>
      <c r="I199">
        <v>4</v>
      </c>
      <c r="J199">
        <v>8.59</v>
      </c>
      <c r="K199">
        <v>5</v>
      </c>
      <c r="L199">
        <v>32.64</v>
      </c>
      <c r="M199">
        <v>11.51</v>
      </c>
      <c r="N199">
        <v>5.67</v>
      </c>
      <c r="O199" t="s">
        <v>34</v>
      </c>
      <c r="P199">
        <v>2023</v>
      </c>
      <c r="Q199" t="s">
        <v>3639</v>
      </c>
      <c r="R199">
        <v>31.007999999999999</v>
      </c>
      <c r="S199">
        <v>0.18285603715170301</v>
      </c>
      <c r="T199" t="s">
        <v>3634</v>
      </c>
      <c r="U199" t="s">
        <v>3633</v>
      </c>
    </row>
    <row r="200" spans="1:21" x14ac:dyDescent="0.25">
      <c r="A200" t="s">
        <v>486</v>
      </c>
      <c r="B200" s="1">
        <v>45047</v>
      </c>
      <c r="C200" t="s">
        <v>487</v>
      </c>
      <c r="D200" t="s">
        <v>30</v>
      </c>
      <c r="E200" t="s">
        <v>129</v>
      </c>
      <c r="F200" t="s">
        <v>19</v>
      </c>
      <c r="G200" t="s">
        <v>20</v>
      </c>
      <c r="H200" t="s">
        <v>175</v>
      </c>
      <c r="I200">
        <v>1</v>
      </c>
      <c r="J200">
        <v>29.87</v>
      </c>
      <c r="K200">
        <v>0</v>
      </c>
      <c r="L200">
        <v>29.87</v>
      </c>
      <c r="M200">
        <v>6.43</v>
      </c>
      <c r="N200">
        <v>7.01</v>
      </c>
      <c r="O200" t="s">
        <v>56</v>
      </c>
      <c r="P200">
        <v>2023</v>
      </c>
      <c r="Q200" t="s">
        <v>3640</v>
      </c>
      <c r="R200">
        <v>29.87</v>
      </c>
      <c r="S200">
        <v>0.23468362905925699</v>
      </c>
      <c r="T200" t="s">
        <v>3634</v>
      </c>
      <c r="U200" t="s">
        <v>3633</v>
      </c>
    </row>
    <row r="201" spans="1:21" x14ac:dyDescent="0.25">
      <c r="A201" t="s">
        <v>488</v>
      </c>
      <c r="B201" s="1">
        <v>45048</v>
      </c>
      <c r="C201" t="s">
        <v>489</v>
      </c>
      <c r="D201" t="s">
        <v>17</v>
      </c>
      <c r="E201" t="s">
        <v>59</v>
      </c>
      <c r="F201" t="s">
        <v>60</v>
      </c>
      <c r="G201" t="s">
        <v>32</v>
      </c>
      <c r="H201" t="s">
        <v>82</v>
      </c>
      <c r="I201">
        <v>3</v>
      </c>
      <c r="J201">
        <v>12.78</v>
      </c>
      <c r="K201">
        <v>5</v>
      </c>
      <c r="L201">
        <v>36.42</v>
      </c>
      <c r="M201">
        <v>14.72</v>
      </c>
      <c r="N201">
        <v>4.45</v>
      </c>
      <c r="O201" t="s">
        <v>34</v>
      </c>
      <c r="P201">
        <v>2023</v>
      </c>
      <c r="Q201" t="s">
        <v>3640</v>
      </c>
      <c r="R201">
        <v>34.598999999999997</v>
      </c>
      <c r="S201">
        <v>0.12861643400098299</v>
      </c>
      <c r="T201" t="s">
        <v>3634</v>
      </c>
      <c r="U201" t="s">
        <v>3633</v>
      </c>
    </row>
    <row r="202" spans="1:21" x14ac:dyDescent="0.25">
      <c r="A202" t="s">
        <v>490</v>
      </c>
      <c r="B202" s="1">
        <v>45049</v>
      </c>
      <c r="C202" t="s">
        <v>491</v>
      </c>
      <c r="D202" t="s">
        <v>30</v>
      </c>
      <c r="E202" t="s">
        <v>31</v>
      </c>
      <c r="F202" t="s">
        <v>19</v>
      </c>
      <c r="G202" t="s">
        <v>20</v>
      </c>
      <c r="H202" t="s">
        <v>55</v>
      </c>
      <c r="I202">
        <v>3</v>
      </c>
      <c r="J202">
        <v>71.84</v>
      </c>
      <c r="K202">
        <v>0</v>
      </c>
      <c r="L202">
        <v>215.52</v>
      </c>
      <c r="M202">
        <v>8.56</v>
      </c>
      <c r="N202">
        <v>88.42</v>
      </c>
      <c r="O202" t="s">
        <v>22</v>
      </c>
      <c r="P202">
        <v>2023</v>
      </c>
      <c r="Q202" t="s">
        <v>3640</v>
      </c>
      <c r="R202">
        <v>215.52</v>
      </c>
      <c r="S202">
        <v>0.41026354862657799</v>
      </c>
      <c r="T202" t="s">
        <v>3632</v>
      </c>
      <c r="U202" t="s">
        <v>3633</v>
      </c>
    </row>
    <row r="203" spans="1:21" x14ac:dyDescent="0.25">
      <c r="A203" t="s">
        <v>492</v>
      </c>
      <c r="B203" s="1">
        <v>45050</v>
      </c>
      <c r="C203" t="s">
        <v>95</v>
      </c>
      <c r="D203" t="s">
        <v>49</v>
      </c>
      <c r="E203" t="s">
        <v>148</v>
      </c>
      <c r="F203" t="s">
        <v>60</v>
      </c>
      <c r="G203" t="s">
        <v>32</v>
      </c>
      <c r="H203" t="s">
        <v>101</v>
      </c>
      <c r="I203">
        <v>2</v>
      </c>
      <c r="J203">
        <v>6.24</v>
      </c>
      <c r="K203">
        <v>20</v>
      </c>
      <c r="L203">
        <v>9.98</v>
      </c>
      <c r="M203">
        <v>13.23</v>
      </c>
      <c r="N203">
        <v>-8.8699999999999992</v>
      </c>
      <c r="O203" t="s">
        <v>34</v>
      </c>
      <c r="P203">
        <v>2023</v>
      </c>
      <c r="Q203" t="s">
        <v>3640</v>
      </c>
      <c r="R203">
        <v>7.984</v>
      </c>
      <c r="S203">
        <v>-1.1109719438877801</v>
      </c>
      <c r="T203" t="s">
        <v>3634</v>
      </c>
      <c r="U203" t="s">
        <v>3636</v>
      </c>
    </row>
    <row r="204" spans="1:21" x14ac:dyDescent="0.25">
      <c r="A204" t="s">
        <v>493</v>
      </c>
      <c r="B204" s="1">
        <v>45051</v>
      </c>
      <c r="C204" t="s">
        <v>494</v>
      </c>
      <c r="D204" t="s">
        <v>49</v>
      </c>
      <c r="E204" t="s">
        <v>31</v>
      </c>
      <c r="F204" t="s">
        <v>19</v>
      </c>
      <c r="G204" t="s">
        <v>32</v>
      </c>
      <c r="H204" t="s">
        <v>110</v>
      </c>
      <c r="I204">
        <v>2</v>
      </c>
      <c r="J204">
        <v>12.15</v>
      </c>
      <c r="K204">
        <v>10</v>
      </c>
      <c r="L204">
        <v>21.87</v>
      </c>
      <c r="M204">
        <v>9.48</v>
      </c>
      <c r="N204">
        <v>1.46</v>
      </c>
      <c r="O204" t="s">
        <v>22</v>
      </c>
      <c r="P204">
        <v>2023</v>
      </c>
      <c r="Q204" t="s">
        <v>3640</v>
      </c>
      <c r="R204">
        <v>19.683</v>
      </c>
      <c r="S204">
        <v>7.4175684600924593E-2</v>
      </c>
      <c r="T204" t="s">
        <v>3634</v>
      </c>
      <c r="U204" t="s">
        <v>3633</v>
      </c>
    </row>
    <row r="205" spans="1:21" x14ac:dyDescent="0.25">
      <c r="A205" t="s">
        <v>495</v>
      </c>
      <c r="B205" s="1">
        <v>45051</v>
      </c>
      <c r="C205" t="s">
        <v>496</v>
      </c>
      <c r="D205" t="s">
        <v>30</v>
      </c>
      <c r="E205" t="s">
        <v>59</v>
      </c>
      <c r="F205" t="s">
        <v>60</v>
      </c>
      <c r="G205" t="s">
        <v>69</v>
      </c>
      <c r="H205" t="s">
        <v>139</v>
      </c>
      <c r="I205">
        <v>1</v>
      </c>
      <c r="J205">
        <v>88.39</v>
      </c>
      <c r="K205">
        <v>15</v>
      </c>
      <c r="L205">
        <v>75.13</v>
      </c>
      <c r="M205">
        <v>11.2</v>
      </c>
      <c r="N205">
        <v>19.73</v>
      </c>
      <c r="O205" t="s">
        <v>39</v>
      </c>
      <c r="P205">
        <v>2023</v>
      </c>
      <c r="Q205" t="s">
        <v>3640</v>
      </c>
      <c r="R205">
        <v>63.860500000000002</v>
      </c>
      <c r="S205">
        <v>0.30895467464238502</v>
      </c>
      <c r="T205" t="s">
        <v>3634</v>
      </c>
      <c r="U205" t="s">
        <v>3633</v>
      </c>
    </row>
    <row r="206" spans="1:21" x14ac:dyDescent="0.25">
      <c r="A206" t="s">
        <v>497</v>
      </c>
      <c r="B206" s="1">
        <v>45052</v>
      </c>
      <c r="C206" t="s">
        <v>498</v>
      </c>
      <c r="D206" t="s">
        <v>30</v>
      </c>
      <c r="E206" t="s">
        <v>85</v>
      </c>
      <c r="F206" t="s">
        <v>60</v>
      </c>
      <c r="G206" t="s">
        <v>20</v>
      </c>
      <c r="H206" t="s">
        <v>21</v>
      </c>
      <c r="I206">
        <v>5</v>
      </c>
      <c r="J206">
        <v>181.39</v>
      </c>
      <c r="K206">
        <v>0</v>
      </c>
      <c r="L206">
        <v>906.95</v>
      </c>
      <c r="M206">
        <v>13.61</v>
      </c>
      <c r="N206">
        <v>394.52</v>
      </c>
      <c r="O206" t="s">
        <v>56</v>
      </c>
      <c r="P206">
        <v>2023</v>
      </c>
      <c r="Q206" t="s">
        <v>3640</v>
      </c>
      <c r="R206">
        <v>906.95</v>
      </c>
      <c r="S206">
        <v>0.43499641656100102</v>
      </c>
      <c r="T206" t="s">
        <v>3635</v>
      </c>
      <c r="U206" t="s">
        <v>3633</v>
      </c>
    </row>
    <row r="207" spans="1:21" x14ac:dyDescent="0.25">
      <c r="A207" t="s">
        <v>499</v>
      </c>
      <c r="B207" s="1">
        <v>45052</v>
      </c>
      <c r="C207" t="s">
        <v>500</v>
      </c>
      <c r="D207" t="s">
        <v>30</v>
      </c>
      <c r="E207" t="s">
        <v>31</v>
      </c>
      <c r="F207" t="s">
        <v>19</v>
      </c>
      <c r="G207" t="s">
        <v>32</v>
      </c>
      <c r="H207" t="s">
        <v>132</v>
      </c>
      <c r="I207">
        <v>1</v>
      </c>
      <c r="J207">
        <v>16.13</v>
      </c>
      <c r="K207">
        <v>15</v>
      </c>
      <c r="L207">
        <v>13.71</v>
      </c>
      <c r="M207">
        <v>6.12</v>
      </c>
      <c r="N207">
        <v>0.33</v>
      </c>
      <c r="O207" t="s">
        <v>22</v>
      </c>
      <c r="P207">
        <v>2023</v>
      </c>
      <c r="Q207" t="s">
        <v>3640</v>
      </c>
      <c r="R207">
        <v>11.653499999999999</v>
      </c>
      <c r="S207">
        <v>2.8317672802162401E-2</v>
      </c>
      <c r="T207" t="s">
        <v>3634</v>
      </c>
      <c r="U207" t="s">
        <v>3633</v>
      </c>
    </row>
    <row r="208" spans="1:21" x14ac:dyDescent="0.25">
      <c r="A208" t="s">
        <v>501</v>
      </c>
      <c r="B208" s="1">
        <v>45052</v>
      </c>
      <c r="C208" t="s">
        <v>502</v>
      </c>
      <c r="D208" t="s">
        <v>30</v>
      </c>
      <c r="E208" t="s">
        <v>129</v>
      </c>
      <c r="F208" t="s">
        <v>19</v>
      </c>
      <c r="G208" t="s">
        <v>20</v>
      </c>
      <c r="H208" t="s">
        <v>55</v>
      </c>
      <c r="I208">
        <v>2</v>
      </c>
      <c r="J208">
        <v>44.17</v>
      </c>
      <c r="K208">
        <v>5</v>
      </c>
      <c r="L208">
        <v>83.92</v>
      </c>
      <c r="M208">
        <v>6.3</v>
      </c>
      <c r="N208">
        <v>29.03</v>
      </c>
      <c r="O208" t="s">
        <v>34</v>
      </c>
      <c r="P208">
        <v>2023</v>
      </c>
      <c r="Q208" t="s">
        <v>3640</v>
      </c>
      <c r="R208">
        <v>79.724000000000004</v>
      </c>
      <c r="S208">
        <v>0.36413125282223702</v>
      </c>
      <c r="T208" t="s">
        <v>3634</v>
      </c>
      <c r="U208" t="s">
        <v>3633</v>
      </c>
    </row>
    <row r="209" spans="1:21" x14ac:dyDescent="0.25">
      <c r="A209" t="s">
        <v>503</v>
      </c>
      <c r="B209" s="1">
        <v>45054</v>
      </c>
      <c r="C209" t="s">
        <v>504</v>
      </c>
      <c r="D209" t="s">
        <v>17</v>
      </c>
      <c r="E209" t="s">
        <v>92</v>
      </c>
      <c r="F209" t="s">
        <v>60</v>
      </c>
      <c r="G209" t="s">
        <v>32</v>
      </c>
      <c r="H209" t="s">
        <v>82</v>
      </c>
      <c r="I209">
        <v>2</v>
      </c>
      <c r="J209">
        <v>11.52</v>
      </c>
      <c r="K209">
        <v>15</v>
      </c>
      <c r="L209">
        <v>19.579999999999998</v>
      </c>
      <c r="M209">
        <v>12.1</v>
      </c>
      <c r="N209">
        <v>-2.89</v>
      </c>
      <c r="O209" t="s">
        <v>34</v>
      </c>
      <c r="P209">
        <v>2023</v>
      </c>
      <c r="Q209" t="s">
        <v>3640</v>
      </c>
      <c r="R209">
        <v>16.643000000000001</v>
      </c>
      <c r="S209">
        <v>-0.17364657814095999</v>
      </c>
      <c r="T209" t="s">
        <v>3634</v>
      </c>
      <c r="U209" t="s">
        <v>3636</v>
      </c>
    </row>
    <row r="210" spans="1:21" x14ac:dyDescent="0.25">
      <c r="A210" t="s">
        <v>505</v>
      </c>
      <c r="B210" s="1">
        <v>45056</v>
      </c>
      <c r="C210" t="s">
        <v>506</v>
      </c>
      <c r="D210" t="s">
        <v>17</v>
      </c>
      <c r="E210" t="s">
        <v>248</v>
      </c>
      <c r="F210" t="s">
        <v>26</v>
      </c>
      <c r="G210" t="s">
        <v>32</v>
      </c>
      <c r="H210" t="s">
        <v>82</v>
      </c>
      <c r="I210">
        <v>3</v>
      </c>
      <c r="J210">
        <v>11.58</v>
      </c>
      <c r="K210">
        <v>30</v>
      </c>
      <c r="L210">
        <v>24.32</v>
      </c>
      <c r="M210">
        <v>13.53</v>
      </c>
      <c r="N210">
        <v>-4.84</v>
      </c>
      <c r="O210" t="s">
        <v>34</v>
      </c>
      <c r="P210">
        <v>2023</v>
      </c>
      <c r="Q210" t="s">
        <v>3640</v>
      </c>
      <c r="R210">
        <v>17.024000000000001</v>
      </c>
      <c r="S210">
        <v>-0.284304511278195</v>
      </c>
      <c r="T210" t="s">
        <v>3634</v>
      </c>
      <c r="U210" t="s">
        <v>3636</v>
      </c>
    </row>
    <row r="211" spans="1:21" x14ac:dyDescent="0.25">
      <c r="A211" t="s">
        <v>507</v>
      </c>
      <c r="B211" s="1">
        <v>45057</v>
      </c>
      <c r="C211" t="s">
        <v>508</v>
      </c>
      <c r="D211" t="s">
        <v>17</v>
      </c>
      <c r="E211" t="s">
        <v>135</v>
      </c>
      <c r="F211" t="s">
        <v>26</v>
      </c>
      <c r="G211" t="s">
        <v>69</v>
      </c>
      <c r="H211" t="s">
        <v>163</v>
      </c>
      <c r="I211">
        <v>3</v>
      </c>
      <c r="J211">
        <v>25.71</v>
      </c>
      <c r="K211">
        <v>15</v>
      </c>
      <c r="L211">
        <v>65.56</v>
      </c>
      <c r="M211">
        <v>8.8800000000000008</v>
      </c>
      <c r="N211">
        <v>18.12</v>
      </c>
      <c r="O211" t="s">
        <v>34</v>
      </c>
      <c r="P211">
        <v>2023</v>
      </c>
      <c r="Q211" t="s">
        <v>3640</v>
      </c>
      <c r="R211">
        <v>55.725999999999999</v>
      </c>
      <c r="S211">
        <v>0.32516240175142702</v>
      </c>
      <c r="T211" t="s">
        <v>3634</v>
      </c>
      <c r="U211" t="s">
        <v>3633</v>
      </c>
    </row>
    <row r="212" spans="1:21" x14ac:dyDescent="0.25">
      <c r="A212" t="s">
        <v>509</v>
      </c>
      <c r="B212" s="1">
        <v>45057</v>
      </c>
      <c r="C212" t="s">
        <v>510</v>
      </c>
      <c r="D212" t="s">
        <v>30</v>
      </c>
      <c r="E212" t="s">
        <v>129</v>
      </c>
      <c r="F212" t="s">
        <v>19</v>
      </c>
      <c r="G212" t="s">
        <v>20</v>
      </c>
      <c r="H212" t="s">
        <v>170</v>
      </c>
      <c r="I212">
        <v>3</v>
      </c>
      <c r="J212">
        <v>47.53</v>
      </c>
      <c r="K212">
        <v>15</v>
      </c>
      <c r="L212">
        <v>121.2</v>
      </c>
      <c r="M212">
        <v>7.18</v>
      </c>
      <c r="N212">
        <v>35.6</v>
      </c>
      <c r="O212" t="s">
        <v>56</v>
      </c>
      <c r="P212">
        <v>2023</v>
      </c>
      <c r="Q212" t="s">
        <v>3640</v>
      </c>
      <c r="R212">
        <v>103.02</v>
      </c>
      <c r="S212">
        <v>0.34556396816152202</v>
      </c>
      <c r="T212" t="s">
        <v>3632</v>
      </c>
      <c r="U212" t="s">
        <v>3633</v>
      </c>
    </row>
    <row r="213" spans="1:21" x14ac:dyDescent="0.25">
      <c r="A213" t="s">
        <v>511</v>
      </c>
      <c r="B213" s="1">
        <v>45058</v>
      </c>
      <c r="C213" t="s">
        <v>512</v>
      </c>
      <c r="D213" t="s">
        <v>30</v>
      </c>
      <c r="E213" t="s">
        <v>121</v>
      </c>
      <c r="F213" t="s">
        <v>68</v>
      </c>
      <c r="G213" t="s">
        <v>69</v>
      </c>
      <c r="H213" t="s">
        <v>79</v>
      </c>
      <c r="I213">
        <v>3</v>
      </c>
      <c r="J213">
        <v>94.61</v>
      </c>
      <c r="K213">
        <v>20</v>
      </c>
      <c r="L213">
        <v>227.06</v>
      </c>
      <c r="M213">
        <v>16.78</v>
      </c>
      <c r="N213">
        <v>68.37</v>
      </c>
      <c r="O213" t="s">
        <v>39</v>
      </c>
      <c r="P213">
        <v>2023</v>
      </c>
      <c r="Q213" t="s">
        <v>3640</v>
      </c>
      <c r="R213">
        <v>181.648</v>
      </c>
      <c r="S213">
        <v>0.37638729851140701</v>
      </c>
      <c r="T213" t="s">
        <v>3632</v>
      </c>
      <c r="U213" t="s">
        <v>3633</v>
      </c>
    </row>
    <row r="214" spans="1:21" x14ac:dyDescent="0.25">
      <c r="A214" t="s">
        <v>513</v>
      </c>
      <c r="B214" s="1">
        <v>45058</v>
      </c>
      <c r="C214" t="s">
        <v>514</v>
      </c>
      <c r="D214" t="s">
        <v>17</v>
      </c>
      <c r="E214" t="s">
        <v>248</v>
      </c>
      <c r="F214" t="s">
        <v>26</v>
      </c>
      <c r="G214" t="s">
        <v>42</v>
      </c>
      <c r="H214" t="s">
        <v>371</v>
      </c>
      <c r="I214">
        <v>2</v>
      </c>
      <c r="J214">
        <v>248.9</v>
      </c>
      <c r="K214">
        <v>20</v>
      </c>
      <c r="L214">
        <v>398.24</v>
      </c>
      <c r="M214">
        <v>8.23</v>
      </c>
      <c r="N214">
        <v>91.33</v>
      </c>
      <c r="O214" t="s">
        <v>34</v>
      </c>
      <c r="P214">
        <v>2023</v>
      </c>
      <c r="Q214" t="s">
        <v>3640</v>
      </c>
      <c r="R214">
        <v>318.59199999999998</v>
      </c>
      <c r="S214">
        <v>0.286667587384492</v>
      </c>
      <c r="T214" t="s">
        <v>3632</v>
      </c>
      <c r="U214" t="s">
        <v>3633</v>
      </c>
    </row>
    <row r="215" spans="1:21" x14ac:dyDescent="0.25">
      <c r="A215" t="s">
        <v>515</v>
      </c>
      <c r="B215" s="1">
        <v>45059</v>
      </c>
      <c r="C215" t="s">
        <v>516</v>
      </c>
      <c r="D215" t="s">
        <v>17</v>
      </c>
      <c r="E215" t="s">
        <v>148</v>
      </c>
      <c r="F215" t="s">
        <v>60</v>
      </c>
      <c r="G215" t="s">
        <v>20</v>
      </c>
      <c r="H215" t="s">
        <v>106</v>
      </c>
      <c r="I215">
        <v>4</v>
      </c>
      <c r="J215">
        <v>62.57</v>
      </c>
      <c r="K215">
        <v>10</v>
      </c>
      <c r="L215">
        <v>225.25</v>
      </c>
      <c r="M215">
        <v>14.99</v>
      </c>
      <c r="N215">
        <v>72.61</v>
      </c>
      <c r="O215" t="s">
        <v>39</v>
      </c>
      <c r="P215">
        <v>2023</v>
      </c>
      <c r="Q215" t="s">
        <v>3640</v>
      </c>
      <c r="R215">
        <v>202.72499999999999</v>
      </c>
      <c r="S215">
        <v>0.35816993464052299</v>
      </c>
      <c r="T215" t="s">
        <v>3632</v>
      </c>
      <c r="U215" t="s">
        <v>3633</v>
      </c>
    </row>
    <row r="216" spans="1:21" x14ac:dyDescent="0.25">
      <c r="A216" t="s">
        <v>517</v>
      </c>
      <c r="B216" s="1">
        <v>45059</v>
      </c>
      <c r="C216" t="s">
        <v>518</v>
      </c>
      <c r="D216" t="s">
        <v>30</v>
      </c>
      <c r="E216" t="s">
        <v>148</v>
      </c>
      <c r="F216" t="s">
        <v>60</v>
      </c>
      <c r="G216" t="s">
        <v>42</v>
      </c>
      <c r="H216" t="s">
        <v>64</v>
      </c>
      <c r="I216">
        <v>15</v>
      </c>
      <c r="J216">
        <v>100.94</v>
      </c>
      <c r="K216">
        <v>5</v>
      </c>
      <c r="L216">
        <v>1438.39</v>
      </c>
      <c r="M216">
        <v>29.26</v>
      </c>
      <c r="N216">
        <v>500.67</v>
      </c>
      <c r="O216" t="s">
        <v>34</v>
      </c>
      <c r="P216">
        <v>2023</v>
      </c>
      <c r="Q216" t="s">
        <v>3640</v>
      </c>
      <c r="R216">
        <v>1366.4704999999999</v>
      </c>
      <c r="S216">
        <v>0.36639649374062599</v>
      </c>
      <c r="T216" t="s">
        <v>3635</v>
      </c>
      <c r="U216" t="s">
        <v>3633</v>
      </c>
    </row>
    <row r="217" spans="1:21" x14ac:dyDescent="0.25">
      <c r="A217" t="s">
        <v>519</v>
      </c>
      <c r="B217" s="1">
        <v>45060</v>
      </c>
      <c r="C217" t="s">
        <v>520</v>
      </c>
      <c r="D217" t="s">
        <v>49</v>
      </c>
      <c r="E217" t="s">
        <v>121</v>
      </c>
      <c r="F217" t="s">
        <v>68</v>
      </c>
      <c r="G217" t="s">
        <v>20</v>
      </c>
      <c r="H217" t="s">
        <v>170</v>
      </c>
      <c r="I217">
        <v>1</v>
      </c>
      <c r="J217">
        <v>55.77</v>
      </c>
      <c r="K217">
        <v>5</v>
      </c>
      <c r="L217">
        <v>52.98</v>
      </c>
      <c r="M217">
        <v>11.25</v>
      </c>
      <c r="N217">
        <v>11.06</v>
      </c>
      <c r="O217" t="s">
        <v>39</v>
      </c>
      <c r="P217">
        <v>2023</v>
      </c>
      <c r="Q217" t="s">
        <v>3640</v>
      </c>
      <c r="R217">
        <v>50.331000000000003</v>
      </c>
      <c r="S217">
        <v>0.21974528620532099</v>
      </c>
      <c r="T217" t="s">
        <v>3634</v>
      </c>
      <c r="U217" t="s">
        <v>3633</v>
      </c>
    </row>
    <row r="218" spans="1:21" x14ac:dyDescent="0.25">
      <c r="A218" t="s">
        <v>521</v>
      </c>
      <c r="B218" s="1">
        <v>45061</v>
      </c>
      <c r="C218" t="s">
        <v>522</v>
      </c>
      <c r="D218" t="s">
        <v>17</v>
      </c>
      <c r="E218" t="s">
        <v>166</v>
      </c>
      <c r="F218" t="s">
        <v>60</v>
      </c>
      <c r="G218" t="s">
        <v>42</v>
      </c>
      <c r="H218" t="s">
        <v>118</v>
      </c>
      <c r="I218">
        <v>2</v>
      </c>
      <c r="J218">
        <v>77.489999999999995</v>
      </c>
      <c r="K218">
        <v>15</v>
      </c>
      <c r="L218">
        <v>131.72999999999999</v>
      </c>
      <c r="M218">
        <v>12.63</v>
      </c>
      <c r="N218">
        <v>26.11</v>
      </c>
      <c r="O218" t="s">
        <v>22</v>
      </c>
      <c r="P218">
        <v>2023</v>
      </c>
      <c r="Q218" t="s">
        <v>3640</v>
      </c>
      <c r="R218">
        <v>111.9705</v>
      </c>
      <c r="S218">
        <v>0.23318641963731501</v>
      </c>
      <c r="T218" t="s">
        <v>3632</v>
      </c>
      <c r="U218" t="s">
        <v>3633</v>
      </c>
    </row>
    <row r="219" spans="1:21" x14ac:dyDescent="0.25">
      <c r="A219" t="s">
        <v>523</v>
      </c>
      <c r="B219" s="1">
        <v>45061</v>
      </c>
      <c r="C219" t="s">
        <v>524</v>
      </c>
      <c r="D219" t="s">
        <v>30</v>
      </c>
      <c r="E219" t="s">
        <v>31</v>
      </c>
      <c r="F219" t="s">
        <v>19</v>
      </c>
      <c r="G219" t="s">
        <v>42</v>
      </c>
      <c r="H219" t="s">
        <v>46</v>
      </c>
      <c r="I219">
        <v>4</v>
      </c>
      <c r="J219">
        <v>65.92</v>
      </c>
      <c r="K219">
        <v>5</v>
      </c>
      <c r="L219">
        <v>250.5</v>
      </c>
      <c r="M219">
        <v>13.46</v>
      </c>
      <c r="N219">
        <v>78.83</v>
      </c>
      <c r="O219" t="s">
        <v>34</v>
      </c>
      <c r="P219">
        <v>2023</v>
      </c>
      <c r="Q219" t="s">
        <v>3640</v>
      </c>
      <c r="R219">
        <v>237.97499999999999</v>
      </c>
      <c r="S219">
        <v>0.33125328290786799</v>
      </c>
      <c r="T219" t="s">
        <v>3632</v>
      </c>
      <c r="U219" t="s">
        <v>3633</v>
      </c>
    </row>
    <row r="220" spans="1:21" x14ac:dyDescent="0.25">
      <c r="A220" t="s">
        <v>525</v>
      </c>
      <c r="B220" s="1">
        <v>45061</v>
      </c>
      <c r="C220" t="s">
        <v>526</v>
      </c>
      <c r="D220" t="s">
        <v>17</v>
      </c>
      <c r="E220" t="s">
        <v>31</v>
      </c>
      <c r="F220" t="s">
        <v>19</v>
      </c>
      <c r="G220" t="s">
        <v>42</v>
      </c>
      <c r="H220" t="s">
        <v>294</v>
      </c>
      <c r="I220">
        <v>1</v>
      </c>
      <c r="J220">
        <v>121.55</v>
      </c>
      <c r="K220">
        <v>25</v>
      </c>
      <c r="L220">
        <v>91.16</v>
      </c>
      <c r="M220">
        <v>6.6</v>
      </c>
      <c r="N220">
        <v>11.63</v>
      </c>
      <c r="O220" t="s">
        <v>39</v>
      </c>
      <c r="P220">
        <v>2023</v>
      </c>
      <c r="Q220" t="s">
        <v>3640</v>
      </c>
      <c r="R220">
        <v>68.37</v>
      </c>
      <c r="S220">
        <v>0.170103846716396</v>
      </c>
      <c r="T220" t="s">
        <v>3634</v>
      </c>
      <c r="U220" t="s">
        <v>3633</v>
      </c>
    </row>
    <row r="221" spans="1:21" x14ac:dyDescent="0.25">
      <c r="A221" t="s">
        <v>527</v>
      </c>
      <c r="B221" s="1">
        <v>45062</v>
      </c>
      <c r="C221" t="s">
        <v>528</v>
      </c>
      <c r="D221" t="s">
        <v>17</v>
      </c>
      <c r="E221" t="s">
        <v>248</v>
      </c>
      <c r="F221" t="s">
        <v>26</v>
      </c>
      <c r="G221" t="s">
        <v>69</v>
      </c>
      <c r="H221" t="s">
        <v>139</v>
      </c>
      <c r="I221">
        <v>2</v>
      </c>
      <c r="J221">
        <v>79.650000000000006</v>
      </c>
      <c r="K221">
        <v>10</v>
      </c>
      <c r="L221">
        <v>143.37</v>
      </c>
      <c r="M221">
        <v>10.14</v>
      </c>
      <c r="N221">
        <v>53.58</v>
      </c>
      <c r="O221" t="s">
        <v>34</v>
      </c>
      <c r="P221">
        <v>2023</v>
      </c>
      <c r="Q221" t="s">
        <v>3640</v>
      </c>
      <c r="R221">
        <v>129.03299999999999</v>
      </c>
      <c r="S221">
        <v>0.415242612354979</v>
      </c>
      <c r="T221" t="s">
        <v>3632</v>
      </c>
      <c r="U221" t="s">
        <v>3633</v>
      </c>
    </row>
    <row r="222" spans="1:21" x14ac:dyDescent="0.25">
      <c r="A222" t="s">
        <v>529</v>
      </c>
      <c r="B222" s="1">
        <v>45062</v>
      </c>
      <c r="C222" t="s">
        <v>530</v>
      </c>
      <c r="D222" t="s">
        <v>30</v>
      </c>
      <c r="E222" t="s">
        <v>31</v>
      </c>
      <c r="F222" t="s">
        <v>19</v>
      </c>
      <c r="G222" t="s">
        <v>42</v>
      </c>
      <c r="H222" t="s">
        <v>43</v>
      </c>
      <c r="I222">
        <v>3</v>
      </c>
      <c r="J222">
        <v>180.1</v>
      </c>
      <c r="K222">
        <v>10</v>
      </c>
      <c r="L222">
        <v>486.27</v>
      </c>
      <c r="M222">
        <v>8.31</v>
      </c>
      <c r="N222">
        <v>153.78</v>
      </c>
      <c r="O222" t="s">
        <v>39</v>
      </c>
      <c r="P222">
        <v>2023</v>
      </c>
      <c r="Q222" t="s">
        <v>3640</v>
      </c>
      <c r="R222">
        <v>437.64299999999997</v>
      </c>
      <c r="S222">
        <v>0.351382291045441</v>
      </c>
      <c r="T222" t="s">
        <v>3632</v>
      </c>
      <c r="U222" t="s">
        <v>3633</v>
      </c>
    </row>
    <row r="223" spans="1:21" x14ac:dyDescent="0.25">
      <c r="A223" t="s">
        <v>531</v>
      </c>
      <c r="B223" s="1">
        <v>45062</v>
      </c>
      <c r="C223" t="s">
        <v>532</v>
      </c>
      <c r="D223" t="s">
        <v>49</v>
      </c>
      <c r="E223" t="s">
        <v>169</v>
      </c>
      <c r="F223" t="s">
        <v>68</v>
      </c>
      <c r="G223" t="s">
        <v>42</v>
      </c>
      <c r="H223" t="s">
        <v>46</v>
      </c>
      <c r="I223">
        <v>3</v>
      </c>
      <c r="J223">
        <v>145.84</v>
      </c>
      <c r="K223">
        <v>15</v>
      </c>
      <c r="L223">
        <v>371.89</v>
      </c>
      <c r="M223">
        <v>14.54</v>
      </c>
      <c r="N223">
        <v>94.84</v>
      </c>
      <c r="O223" t="s">
        <v>34</v>
      </c>
      <c r="P223">
        <v>2023</v>
      </c>
      <c r="Q223" t="s">
        <v>3640</v>
      </c>
      <c r="R223">
        <v>316.10649999999998</v>
      </c>
      <c r="S223">
        <v>0.30002546610082398</v>
      </c>
      <c r="T223" t="s">
        <v>3632</v>
      </c>
      <c r="U223" t="s">
        <v>3633</v>
      </c>
    </row>
    <row r="224" spans="1:21" x14ac:dyDescent="0.25">
      <c r="A224" t="s">
        <v>533</v>
      </c>
      <c r="B224" s="1">
        <v>45063</v>
      </c>
      <c r="C224" t="s">
        <v>534</v>
      </c>
      <c r="D224" t="s">
        <v>49</v>
      </c>
      <c r="E224" t="s">
        <v>148</v>
      </c>
      <c r="F224" t="s">
        <v>60</v>
      </c>
      <c r="G224" t="s">
        <v>32</v>
      </c>
      <c r="H224" t="s">
        <v>73</v>
      </c>
      <c r="I224">
        <v>9</v>
      </c>
      <c r="J224">
        <v>3.16</v>
      </c>
      <c r="K224">
        <v>10</v>
      </c>
      <c r="L224">
        <v>25.6</v>
      </c>
      <c r="M224">
        <v>18.23</v>
      </c>
      <c r="N224">
        <v>-5.43</v>
      </c>
      <c r="O224" t="s">
        <v>22</v>
      </c>
      <c r="P224">
        <v>2023</v>
      </c>
      <c r="Q224" t="s">
        <v>3640</v>
      </c>
      <c r="R224">
        <v>23.04</v>
      </c>
      <c r="S224">
        <v>-0.23567708333333301</v>
      </c>
      <c r="T224" t="s">
        <v>3634</v>
      </c>
      <c r="U224" t="s">
        <v>3636</v>
      </c>
    </row>
    <row r="225" spans="1:21" x14ac:dyDescent="0.25">
      <c r="A225" t="s">
        <v>535</v>
      </c>
      <c r="B225" s="1">
        <v>45064</v>
      </c>
      <c r="C225" t="s">
        <v>536</v>
      </c>
      <c r="D225" t="s">
        <v>17</v>
      </c>
      <c r="E225" t="s">
        <v>129</v>
      </c>
      <c r="F225" t="s">
        <v>19</v>
      </c>
      <c r="G225" t="s">
        <v>32</v>
      </c>
      <c r="H225" t="s">
        <v>132</v>
      </c>
      <c r="I225">
        <v>3</v>
      </c>
      <c r="J225">
        <v>8.1999999999999993</v>
      </c>
      <c r="K225">
        <v>0</v>
      </c>
      <c r="L225">
        <v>24.6</v>
      </c>
      <c r="M225">
        <v>7.45</v>
      </c>
      <c r="N225">
        <v>6.08</v>
      </c>
      <c r="O225" t="s">
        <v>39</v>
      </c>
      <c r="P225">
        <v>2023</v>
      </c>
      <c r="Q225" t="s">
        <v>3640</v>
      </c>
      <c r="R225">
        <v>24.6</v>
      </c>
      <c r="S225">
        <v>0.24715447154471501</v>
      </c>
      <c r="T225" t="s">
        <v>3634</v>
      </c>
      <c r="U225" t="s">
        <v>3633</v>
      </c>
    </row>
    <row r="226" spans="1:21" x14ac:dyDescent="0.25">
      <c r="A226" t="s">
        <v>537</v>
      </c>
      <c r="B226" s="1">
        <v>45064</v>
      </c>
      <c r="C226" t="s">
        <v>538</v>
      </c>
      <c r="D226" t="s">
        <v>17</v>
      </c>
      <c r="E226" t="s">
        <v>138</v>
      </c>
      <c r="F226" t="s">
        <v>54</v>
      </c>
      <c r="G226" t="s">
        <v>42</v>
      </c>
      <c r="H226" t="s">
        <v>371</v>
      </c>
      <c r="I226">
        <v>2</v>
      </c>
      <c r="J226">
        <v>214.52</v>
      </c>
      <c r="K226">
        <v>0</v>
      </c>
      <c r="L226">
        <v>429.04</v>
      </c>
      <c r="M226">
        <v>15.39</v>
      </c>
      <c r="N226">
        <v>156.22999999999999</v>
      </c>
      <c r="O226" t="s">
        <v>34</v>
      </c>
      <c r="P226">
        <v>2023</v>
      </c>
      <c r="Q226" t="s">
        <v>3640</v>
      </c>
      <c r="R226">
        <v>429.04</v>
      </c>
      <c r="S226">
        <v>0.364138541860899</v>
      </c>
      <c r="T226" t="s">
        <v>3632</v>
      </c>
      <c r="U226" t="s">
        <v>3633</v>
      </c>
    </row>
    <row r="227" spans="1:21" x14ac:dyDescent="0.25">
      <c r="A227" t="s">
        <v>539</v>
      </c>
      <c r="B227" s="1">
        <v>45064</v>
      </c>
      <c r="C227" t="s">
        <v>540</v>
      </c>
      <c r="D227" t="s">
        <v>30</v>
      </c>
      <c r="E227" t="s">
        <v>92</v>
      </c>
      <c r="F227" t="s">
        <v>60</v>
      </c>
      <c r="G227" t="s">
        <v>69</v>
      </c>
      <c r="H227" t="s">
        <v>160</v>
      </c>
      <c r="I227">
        <v>8</v>
      </c>
      <c r="J227">
        <v>43.71</v>
      </c>
      <c r="K227">
        <v>15</v>
      </c>
      <c r="L227">
        <v>297.23</v>
      </c>
      <c r="M227">
        <v>21.92</v>
      </c>
      <c r="N227">
        <v>100.47</v>
      </c>
      <c r="O227" t="s">
        <v>39</v>
      </c>
      <c r="P227">
        <v>2023</v>
      </c>
      <c r="Q227" t="s">
        <v>3640</v>
      </c>
      <c r="R227">
        <v>252.6455</v>
      </c>
      <c r="S227">
        <v>0.39767183662483602</v>
      </c>
      <c r="T227" t="s">
        <v>3632</v>
      </c>
      <c r="U227" t="s">
        <v>3633</v>
      </c>
    </row>
    <row r="228" spans="1:21" x14ac:dyDescent="0.25">
      <c r="A228" t="s">
        <v>541</v>
      </c>
      <c r="B228" s="1">
        <v>45064</v>
      </c>
      <c r="C228" t="s">
        <v>542</v>
      </c>
      <c r="D228" t="s">
        <v>30</v>
      </c>
      <c r="E228" t="s">
        <v>148</v>
      </c>
      <c r="F228" t="s">
        <v>60</v>
      </c>
      <c r="G228" t="s">
        <v>42</v>
      </c>
      <c r="H228" t="s">
        <v>43</v>
      </c>
      <c r="I228">
        <v>2</v>
      </c>
      <c r="J228">
        <v>119.77</v>
      </c>
      <c r="K228">
        <v>25</v>
      </c>
      <c r="L228">
        <v>179.66</v>
      </c>
      <c r="M228">
        <v>10.37</v>
      </c>
      <c r="N228">
        <v>25.57</v>
      </c>
      <c r="O228" t="s">
        <v>22</v>
      </c>
      <c r="P228">
        <v>2023</v>
      </c>
      <c r="Q228" t="s">
        <v>3640</v>
      </c>
      <c r="R228">
        <v>134.745</v>
      </c>
      <c r="S228">
        <v>0.18976585402055701</v>
      </c>
      <c r="T228" t="s">
        <v>3632</v>
      </c>
      <c r="U228" t="s">
        <v>3633</v>
      </c>
    </row>
    <row r="229" spans="1:21" x14ac:dyDescent="0.25">
      <c r="A229" t="s">
        <v>543</v>
      </c>
      <c r="B229" s="1">
        <v>45064</v>
      </c>
      <c r="C229" t="s">
        <v>498</v>
      </c>
      <c r="D229" t="s">
        <v>17</v>
      </c>
      <c r="E229" t="s">
        <v>63</v>
      </c>
      <c r="F229" t="s">
        <v>54</v>
      </c>
      <c r="G229" t="s">
        <v>42</v>
      </c>
      <c r="H229" t="s">
        <v>294</v>
      </c>
      <c r="I229">
        <v>1</v>
      </c>
      <c r="J229">
        <v>217.82</v>
      </c>
      <c r="K229">
        <v>25</v>
      </c>
      <c r="L229">
        <v>163.37</v>
      </c>
      <c r="M229">
        <v>12.46</v>
      </c>
      <c r="N229">
        <v>20.22</v>
      </c>
      <c r="O229" t="s">
        <v>34</v>
      </c>
      <c r="P229">
        <v>2023</v>
      </c>
      <c r="Q229" t="s">
        <v>3640</v>
      </c>
      <c r="R229">
        <v>122.5275</v>
      </c>
      <c r="S229">
        <v>0.16502417824570001</v>
      </c>
      <c r="T229" t="s">
        <v>3632</v>
      </c>
      <c r="U229" t="s">
        <v>3633</v>
      </c>
    </row>
    <row r="230" spans="1:21" x14ac:dyDescent="0.25">
      <c r="A230" t="s">
        <v>544</v>
      </c>
      <c r="B230" s="1">
        <v>45064</v>
      </c>
      <c r="C230" t="s">
        <v>545</v>
      </c>
      <c r="D230" t="s">
        <v>30</v>
      </c>
      <c r="E230" t="s">
        <v>18</v>
      </c>
      <c r="F230" t="s">
        <v>19</v>
      </c>
      <c r="G230" t="s">
        <v>42</v>
      </c>
      <c r="H230" t="s">
        <v>294</v>
      </c>
      <c r="I230">
        <v>2</v>
      </c>
      <c r="J230">
        <v>295.24</v>
      </c>
      <c r="K230">
        <v>0</v>
      </c>
      <c r="L230">
        <v>590.48</v>
      </c>
      <c r="M230">
        <v>9.07</v>
      </c>
      <c r="N230">
        <v>227.12</v>
      </c>
      <c r="O230" t="s">
        <v>39</v>
      </c>
      <c r="P230">
        <v>2023</v>
      </c>
      <c r="Q230" t="s">
        <v>3640</v>
      </c>
      <c r="R230">
        <v>590.48</v>
      </c>
      <c r="S230">
        <v>0.38463622815336701</v>
      </c>
      <c r="T230" t="s">
        <v>3635</v>
      </c>
      <c r="U230" t="s">
        <v>3633</v>
      </c>
    </row>
    <row r="231" spans="1:21" x14ac:dyDescent="0.25">
      <c r="A231" t="s">
        <v>546</v>
      </c>
      <c r="B231" s="1">
        <v>45065</v>
      </c>
      <c r="C231" t="s">
        <v>547</v>
      </c>
      <c r="D231" t="s">
        <v>49</v>
      </c>
      <c r="E231" t="s">
        <v>248</v>
      </c>
      <c r="F231" t="s">
        <v>26</v>
      </c>
      <c r="G231" t="s">
        <v>42</v>
      </c>
      <c r="H231" t="s">
        <v>371</v>
      </c>
      <c r="I231">
        <v>1</v>
      </c>
      <c r="J231">
        <v>195.08</v>
      </c>
      <c r="K231">
        <v>5</v>
      </c>
      <c r="L231">
        <v>185.33</v>
      </c>
      <c r="M231">
        <v>9.41</v>
      </c>
      <c r="N231">
        <v>58.87</v>
      </c>
      <c r="O231" t="s">
        <v>39</v>
      </c>
      <c r="P231">
        <v>2023</v>
      </c>
      <c r="Q231" t="s">
        <v>3640</v>
      </c>
      <c r="R231">
        <v>176.0635</v>
      </c>
      <c r="S231">
        <v>0.33436799790984501</v>
      </c>
      <c r="T231" t="s">
        <v>3632</v>
      </c>
      <c r="U231" t="s">
        <v>3633</v>
      </c>
    </row>
    <row r="232" spans="1:21" x14ac:dyDescent="0.25">
      <c r="A232" t="s">
        <v>548</v>
      </c>
      <c r="B232" s="1">
        <v>45066</v>
      </c>
      <c r="C232" t="s">
        <v>549</v>
      </c>
      <c r="D232" t="s">
        <v>30</v>
      </c>
      <c r="E232" t="s">
        <v>18</v>
      </c>
      <c r="F232" t="s">
        <v>19</v>
      </c>
      <c r="G232" t="s">
        <v>69</v>
      </c>
      <c r="H232" t="s">
        <v>70</v>
      </c>
      <c r="I232">
        <v>5</v>
      </c>
      <c r="J232">
        <v>26.84</v>
      </c>
      <c r="K232">
        <v>0</v>
      </c>
      <c r="L232">
        <v>134.19999999999999</v>
      </c>
      <c r="M232">
        <v>17.2</v>
      </c>
      <c r="N232">
        <v>49.9</v>
      </c>
      <c r="O232" t="s">
        <v>39</v>
      </c>
      <c r="P232">
        <v>2023</v>
      </c>
      <c r="Q232" t="s">
        <v>3640</v>
      </c>
      <c r="R232">
        <v>134.19999999999999</v>
      </c>
      <c r="S232">
        <v>0.37183308494783901</v>
      </c>
      <c r="T232" t="s">
        <v>3632</v>
      </c>
      <c r="U232" t="s">
        <v>3633</v>
      </c>
    </row>
    <row r="233" spans="1:21" x14ac:dyDescent="0.25">
      <c r="A233" t="s">
        <v>550</v>
      </c>
      <c r="B233" s="1">
        <v>45068</v>
      </c>
      <c r="C233" t="s">
        <v>259</v>
      </c>
      <c r="D233" t="s">
        <v>49</v>
      </c>
      <c r="E233" t="s">
        <v>166</v>
      </c>
      <c r="F233" t="s">
        <v>60</v>
      </c>
      <c r="G233" t="s">
        <v>20</v>
      </c>
      <c r="H233" t="s">
        <v>175</v>
      </c>
      <c r="I233">
        <v>5</v>
      </c>
      <c r="J233">
        <v>15.48</v>
      </c>
      <c r="K233">
        <v>10</v>
      </c>
      <c r="L233">
        <v>69.66</v>
      </c>
      <c r="M233">
        <v>19.739999999999998</v>
      </c>
      <c r="N233">
        <v>7.35</v>
      </c>
      <c r="O233" t="s">
        <v>39</v>
      </c>
      <c r="P233">
        <v>2023</v>
      </c>
      <c r="Q233" t="s">
        <v>3640</v>
      </c>
      <c r="R233">
        <v>62.694000000000003</v>
      </c>
      <c r="S233">
        <v>0.117236099148244</v>
      </c>
      <c r="T233" t="s">
        <v>3634</v>
      </c>
      <c r="U233" t="s">
        <v>3633</v>
      </c>
    </row>
    <row r="234" spans="1:21" x14ac:dyDescent="0.25">
      <c r="A234" t="s">
        <v>551</v>
      </c>
      <c r="B234" s="1">
        <v>45069</v>
      </c>
      <c r="C234" t="s">
        <v>225</v>
      </c>
      <c r="D234" t="s">
        <v>30</v>
      </c>
      <c r="E234" t="s">
        <v>31</v>
      </c>
      <c r="F234" t="s">
        <v>19</v>
      </c>
      <c r="G234" t="s">
        <v>20</v>
      </c>
      <c r="H234" t="s">
        <v>38</v>
      </c>
      <c r="I234">
        <v>5</v>
      </c>
      <c r="J234">
        <v>54.1</v>
      </c>
      <c r="K234">
        <v>5</v>
      </c>
      <c r="L234">
        <v>256.97000000000003</v>
      </c>
      <c r="M234">
        <v>11.43</v>
      </c>
      <c r="N234">
        <v>96.77</v>
      </c>
      <c r="O234" t="s">
        <v>34</v>
      </c>
      <c r="P234">
        <v>2023</v>
      </c>
      <c r="Q234" t="s">
        <v>3640</v>
      </c>
      <c r="R234">
        <v>244.1215</v>
      </c>
      <c r="S234">
        <v>0.39640097246657902</v>
      </c>
      <c r="T234" t="s">
        <v>3632</v>
      </c>
      <c r="U234" t="s">
        <v>3633</v>
      </c>
    </row>
    <row r="235" spans="1:21" x14ac:dyDescent="0.25">
      <c r="A235" t="s">
        <v>552</v>
      </c>
      <c r="B235" s="1">
        <v>45069</v>
      </c>
      <c r="C235" t="s">
        <v>553</v>
      </c>
      <c r="D235" t="s">
        <v>49</v>
      </c>
      <c r="E235" t="s">
        <v>59</v>
      </c>
      <c r="F235" t="s">
        <v>60</v>
      </c>
      <c r="G235" t="s">
        <v>20</v>
      </c>
      <c r="H235" t="s">
        <v>106</v>
      </c>
      <c r="I235">
        <v>8</v>
      </c>
      <c r="J235">
        <v>37.26</v>
      </c>
      <c r="K235">
        <v>20</v>
      </c>
      <c r="L235">
        <v>238.46</v>
      </c>
      <c r="M235">
        <v>14.6</v>
      </c>
      <c r="N235">
        <v>59.92</v>
      </c>
      <c r="O235" t="s">
        <v>39</v>
      </c>
      <c r="P235">
        <v>2023</v>
      </c>
      <c r="Q235" t="s">
        <v>3640</v>
      </c>
      <c r="R235">
        <v>190.768</v>
      </c>
      <c r="S235">
        <v>0.31409880063742301</v>
      </c>
      <c r="T235" t="s">
        <v>3632</v>
      </c>
      <c r="U235" t="s">
        <v>3633</v>
      </c>
    </row>
    <row r="236" spans="1:21" x14ac:dyDescent="0.25">
      <c r="A236" t="s">
        <v>554</v>
      </c>
      <c r="B236" s="1">
        <v>45071</v>
      </c>
      <c r="C236" t="s">
        <v>555</v>
      </c>
      <c r="D236" t="s">
        <v>30</v>
      </c>
      <c r="E236" t="s">
        <v>31</v>
      </c>
      <c r="F236" t="s">
        <v>19</v>
      </c>
      <c r="G236" t="s">
        <v>32</v>
      </c>
      <c r="H236" t="s">
        <v>82</v>
      </c>
      <c r="I236">
        <v>4</v>
      </c>
      <c r="J236">
        <v>10.54</v>
      </c>
      <c r="K236">
        <v>15</v>
      </c>
      <c r="L236">
        <v>35.840000000000003</v>
      </c>
      <c r="M236">
        <v>10.87</v>
      </c>
      <c r="N236">
        <v>6</v>
      </c>
      <c r="O236" t="s">
        <v>56</v>
      </c>
      <c r="P236">
        <v>2023</v>
      </c>
      <c r="Q236" t="s">
        <v>3640</v>
      </c>
      <c r="R236">
        <v>30.463999999999999</v>
      </c>
      <c r="S236">
        <v>0.19695378151260501</v>
      </c>
      <c r="T236" t="s">
        <v>3634</v>
      </c>
      <c r="U236" t="s">
        <v>3633</v>
      </c>
    </row>
    <row r="237" spans="1:21" x14ac:dyDescent="0.25">
      <c r="A237" t="s">
        <v>556</v>
      </c>
      <c r="B237" s="1">
        <v>45072</v>
      </c>
      <c r="C237" t="s">
        <v>557</v>
      </c>
      <c r="D237" t="s">
        <v>17</v>
      </c>
      <c r="E237" t="s">
        <v>31</v>
      </c>
      <c r="F237" t="s">
        <v>19</v>
      </c>
      <c r="G237" t="s">
        <v>32</v>
      </c>
      <c r="H237" t="s">
        <v>82</v>
      </c>
      <c r="I237">
        <v>3</v>
      </c>
      <c r="J237">
        <v>15.84</v>
      </c>
      <c r="K237">
        <v>5</v>
      </c>
      <c r="L237">
        <v>45.14</v>
      </c>
      <c r="M237">
        <v>7.96</v>
      </c>
      <c r="N237">
        <v>15.8</v>
      </c>
      <c r="O237" t="s">
        <v>34</v>
      </c>
      <c r="P237">
        <v>2023</v>
      </c>
      <c r="Q237" t="s">
        <v>3640</v>
      </c>
      <c r="R237">
        <v>42.883000000000003</v>
      </c>
      <c r="S237">
        <v>0.36844437189562301</v>
      </c>
      <c r="T237" t="s">
        <v>3634</v>
      </c>
      <c r="U237" t="s">
        <v>3633</v>
      </c>
    </row>
    <row r="238" spans="1:21" x14ac:dyDescent="0.25">
      <c r="A238" t="s">
        <v>558</v>
      </c>
      <c r="B238" s="1">
        <v>45075</v>
      </c>
      <c r="C238" t="s">
        <v>559</v>
      </c>
      <c r="D238" t="s">
        <v>30</v>
      </c>
      <c r="E238" t="s">
        <v>76</v>
      </c>
      <c r="F238" t="s">
        <v>26</v>
      </c>
      <c r="G238" t="s">
        <v>69</v>
      </c>
      <c r="H238" t="s">
        <v>79</v>
      </c>
      <c r="I238">
        <v>2</v>
      </c>
      <c r="J238">
        <v>33.159999999999997</v>
      </c>
      <c r="K238">
        <v>0</v>
      </c>
      <c r="L238">
        <v>66.319999999999993</v>
      </c>
      <c r="M238">
        <v>11.38</v>
      </c>
      <c r="N238">
        <v>21.78</v>
      </c>
      <c r="O238" t="s">
        <v>34</v>
      </c>
      <c r="P238">
        <v>2023</v>
      </c>
      <c r="Q238" t="s">
        <v>3640</v>
      </c>
      <c r="R238">
        <v>66.319999999999993</v>
      </c>
      <c r="S238">
        <v>0.328407720144753</v>
      </c>
      <c r="T238" t="s">
        <v>3634</v>
      </c>
      <c r="U238" t="s">
        <v>3633</v>
      </c>
    </row>
    <row r="239" spans="1:21" x14ac:dyDescent="0.25">
      <c r="A239" t="s">
        <v>560</v>
      </c>
      <c r="B239" s="1">
        <v>45076</v>
      </c>
      <c r="C239" t="s">
        <v>561</v>
      </c>
      <c r="D239" t="s">
        <v>49</v>
      </c>
      <c r="E239" t="s">
        <v>59</v>
      </c>
      <c r="F239" t="s">
        <v>60</v>
      </c>
      <c r="G239" t="s">
        <v>32</v>
      </c>
      <c r="H239" t="s">
        <v>33</v>
      </c>
      <c r="I239">
        <v>3</v>
      </c>
      <c r="J239">
        <v>14</v>
      </c>
      <c r="K239">
        <v>15</v>
      </c>
      <c r="L239">
        <v>35.700000000000003</v>
      </c>
      <c r="M239">
        <v>16.47</v>
      </c>
      <c r="N239">
        <v>0.33</v>
      </c>
      <c r="O239" t="s">
        <v>34</v>
      </c>
      <c r="P239">
        <v>2023</v>
      </c>
      <c r="Q239" t="s">
        <v>3640</v>
      </c>
      <c r="R239">
        <v>30.344999999999999</v>
      </c>
      <c r="S239">
        <v>1.0874938210578401E-2</v>
      </c>
      <c r="T239" t="s">
        <v>3634</v>
      </c>
      <c r="U239" t="s">
        <v>3633</v>
      </c>
    </row>
    <row r="240" spans="1:21" x14ac:dyDescent="0.25">
      <c r="A240" t="s">
        <v>562</v>
      </c>
      <c r="B240" s="1">
        <v>45078</v>
      </c>
      <c r="C240" t="s">
        <v>563</v>
      </c>
      <c r="D240" t="s">
        <v>17</v>
      </c>
      <c r="E240" t="s">
        <v>129</v>
      </c>
      <c r="F240" t="s">
        <v>19</v>
      </c>
      <c r="G240" t="s">
        <v>42</v>
      </c>
      <c r="H240" t="s">
        <v>118</v>
      </c>
      <c r="I240">
        <v>7</v>
      </c>
      <c r="J240">
        <v>54.12</v>
      </c>
      <c r="K240">
        <v>15</v>
      </c>
      <c r="L240">
        <v>322.01</v>
      </c>
      <c r="M240">
        <v>17.46</v>
      </c>
      <c r="N240">
        <v>77.25</v>
      </c>
      <c r="O240" t="s">
        <v>34</v>
      </c>
      <c r="P240">
        <v>2023</v>
      </c>
      <c r="Q240" t="s">
        <v>3641</v>
      </c>
      <c r="R240">
        <v>273.70850000000002</v>
      </c>
      <c r="S240">
        <v>0.28223456706678801</v>
      </c>
      <c r="T240" t="s">
        <v>3632</v>
      </c>
      <c r="U240" t="s">
        <v>3633</v>
      </c>
    </row>
    <row r="241" spans="1:21" x14ac:dyDescent="0.25">
      <c r="A241" t="s">
        <v>564</v>
      </c>
      <c r="B241" s="1">
        <v>45078</v>
      </c>
      <c r="C241" t="s">
        <v>565</v>
      </c>
      <c r="D241" t="s">
        <v>49</v>
      </c>
      <c r="E241" t="s">
        <v>76</v>
      </c>
      <c r="F241" t="s">
        <v>26</v>
      </c>
      <c r="G241" t="s">
        <v>42</v>
      </c>
      <c r="H241" t="s">
        <v>64</v>
      </c>
      <c r="I241">
        <v>1</v>
      </c>
      <c r="J241">
        <v>118.34</v>
      </c>
      <c r="K241">
        <v>5</v>
      </c>
      <c r="L241">
        <v>112.42</v>
      </c>
      <c r="M241">
        <v>7.66</v>
      </c>
      <c r="N241">
        <v>33.76</v>
      </c>
      <c r="O241" t="s">
        <v>34</v>
      </c>
      <c r="P241">
        <v>2023</v>
      </c>
      <c r="Q241" t="s">
        <v>3641</v>
      </c>
      <c r="R241">
        <v>106.79900000000001</v>
      </c>
      <c r="S241">
        <v>0.31610782872498799</v>
      </c>
      <c r="T241" t="s">
        <v>3632</v>
      </c>
      <c r="U241" t="s">
        <v>3633</v>
      </c>
    </row>
    <row r="242" spans="1:21" x14ac:dyDescent="0.25">
      <c r="A242" t="s">
        <v>566</v>
      </c>
      <c r="B242" s="1">
        <v>45078</v>
      </c>
      <c r="C242" t="s">
        <v>567</v>
      </c>
      <c r="D242" t="s">
        <v>30</v>
      </c>
      <c r="E242" t="s">
        <v>25</v>
      </c>
      <c r="F242" t="s">
        <v>26</v>
      </c>
      <c r="G242" t="s">
        <v>32</v>
      </c>
      <c r="H242" t="s">
        <v>101</v>
      </c>
      <c r="I242">
        <v>1</v>
      </c>
      <c r="J242">
        <v>20.28</v>
      </c>
      <c r="K242">
        <v>0</v>
      </c>
      <c r="L242">
        <v>20.28</v>
      </c>
      <c r="M242">
        <v>8.91</v>
      </c>
      <c r="N242">
        <v>2.2400000000000002</v>
      </c>
      <c r="O242" t="s">
        <v>39</v>
      </c>
      <c r="P242">
        <v>2023</v>
      </c>
      <c r="Q242" t="s">
        <v>3641</v>
      </c>
      <c r="R242">
        <v>20.28</v>
      </c>
      <c r="S242">
        <v>0.110453648915187</v>
      </c>
      <c r="T242" t="s">
        <v>3634</v>
      </c>
      <c r="U242" t="s">
        <v>3633</v>
      </c>
    </row>
    <row r="243" spans="1:21" x14ac:dyDescent="0.25">
      <c r="A243" t="s">
        <v>568</v>
      </c>
      <c r="B243" s="1">
        <v>45078</v>
      </c>
      <c r="C243" t="s">
        <v>569</v>
      </c>
      <c r="D243" t="s">
        <v>30</v>
      </c>
      <c r="E243" t="s">
        <v>31</v>
      </c>
      <c r="F243" t="s">
        <v>19</v>
      </c>
      <c r="G243" t="s">
        <v>42</v>
      </c>
      <c r="H243" t="s">
        <v>294</v>
      </c>
      <c r="I243">
        <v>7</v>
      </c>
      <c r="J243">
        <v>263.11</v>
      </c>
      <c r="K243">
        <v>10</v>
      </c>
      <c r="L243">
        <v>1657.59</v>
      </c>
      <c r="M243">
        <v>16.54</v>
      </c>
      <c r="N243">
        <v>535.99</v>
      </c>
      <c r="O243" t="s">
        <v>39</v>
      </c>
      <c r="P243">
        <v>2023</v>
      </c>
      <c r="Q243" t="s">
        <v>3641</v>
      </c>
      <c r="R243">
        <v>1491.8309999999999</v>
      </c>
      <c r="S243">
        <v>0.35928332364725002</v>
      </c>
      <c r="T243" t="s">
        <v>3635</v>
      </c>
      <c r="U243" t="s">
        <v>3633</v>
      </c>
    </row>
    <row r="244" spans="1:21" x14ac:dyDescent="0.25">
      <c r="A244" t="s">
        <v>570</v>
      </c>
      <c r="B244" s="1">
        <v>45078</v>
      </c>
      <c r="C244" t="s">
        <v>571</v>
      </c>
      <c r="D244" t="s">
        <v>30</v>
      </c>
      <c r="E244" t="s">
        <v>92</v>
      </c>
      <c r="F244" t="s">
        <v>60</v>
      </c>
      <c r="G244" t="s">
        <v>42</v>
      </c>
      <c r="H244" t="s">
        <v>294</v>
      </c>
      <c r="I244">
        <v>1</v>
      </c>
      <c r="J244">
        <v>271.69</v>
      </c>
      <c r="K244">
        <v>20</v>
      </c>
      <c r="L244">
        <v>217.35</v>
      </c>
      <c r="M244">
        <v>10.66</v>
      </c>
      <c r="N244">
        <v>43.68</v>
      </c>
      <c r="O244" t="s">
        <v>22</v>
      </c>
      <c r="P244">
        <v>2023</v>
      </c>
      <c r="Q244" t="s">
        <v>3641</v>
      </c>
      <c r="R244">
        <v>173.88</v>
      </c>
      <c r="S244">
        <v>0.25120772946859898</v>
      </c>
      <c r="T244" t="s">
        <v>3632</v>
      </c>
      <c r="U244" t="s">
        <v>3633</v>
      </c>
    </row>
    <row r="245" spans="1:21" x14ac:dyDescent="0.25">
      <c r="A245" t="s">
        <v>572</v>
      </c>
      <c r="B245" s="1">
        <v>45080</v>
      </c>
      <c r="C245" t="s">
        <v>573</v>
      </c>
      <c r="D245" t="s">
        <v>17</v>
      </c>
      <c r="E245" t="s">
        <v>135</v>
      </c>
      <c r="F245" t="s">
        <v>26</v>
      </c>
      <c r="G245" t="s">
        <v>42</v>
      </c>
      <c r="H245" t="s">
        <v>234</v>
      </c>
      <c r="I245">
        <v>4</v>
      </c>
      <c r="J245">
        <v>43.62</v>
      </c>
      <c r="K245">
        <v>15</v>
      </c>
      <c r="L245">
        <v>148.31</v>
      </c>
      <c r="M245">
        <v>15.81</v>
      </c>
      <c r="N245">
        <v>27.81</v>
      </c>
      <c r="O245" t="s">
        <v>22</v>
      </c>
      <c r="P245">
        <v>2023</v>
      </c>
      <c r="Q245" t="s">
        <v>3641</v>
      </c>
      <c r="R245">
        <v>126.0635</v>
      </c>
      <c r="S245">
        <v>0.22060310875074901</v>
      </c>
      <c r="T245" t="s">
        <v>3632</v>
      </c>
      <c r="U245" t="s">
        <v>3633</v>
      </c>
    </row>
    <row r="246" spans="1:21" x14ac:dyDescent="0.25">
      <c r="A246" t="s">
        <v>574</v>
      </c>
      <c r="B246" s="1">
        <v>45081</v>
      </c>
      <c r="C246" t="s">
        <v>575</v>
      </c>
      <c r="D246" t="s">
        <v>17</v>
      </c>
      <c r="E246" t="s">
        <v>85</v>
      </c>
      <c r="F246" t="s">
        <v>60</v>
      </c>
      <c r="G246" t="s">
        <v>69</v>
      </c>
      <c r="H246" t="s">
        <v>243</v>
      </c>
      <c r="I246">
        <v>6</v>
      </c>
      <c r="J246">
        <v>36.82</v>
      </c>
      <c r="K246">
        <v>10</v>
      </c>
      <c r="L246">
        <v>198.83</v>
      </c>
      <c r="M246">
        <v>13.78</v>
      </c>
      <c r="N246">
        <v>74.59</v>
      </c>
      <c r="O246" t="s">
        <v>34</v>
      </c>
      <c r="P246">
        <v>2023</v>
      </c>
      <c r="Q246" t="s">
        <v>3641</v>
      </c>
      <c r="R246">
        <v>178.947</v>
      </c>
      <c r="S246">
        <v>0.41682732876214701</v>
      </c>
      <c r="T246" t="s">
        <v>3632</v>
      </c>
      <c r="U246" t="s">
        <v>3633</v>
      </c>
    </row>
    <row r="247" spans="1:21" x14ac:dyDescent="0.25">
      <c r="A247" t="s">
        <v>576</v>
      </c>
      <c r="B247" s="1">
        <v>45081</v>
      </c>
      <c r="C247" t="s">
        <v>577</v>
      </c>
      <c r="D247" t="s">
        <v>30</v>
      </c>
      <c r="E247" t="s">
        <v>25</v>
      </c>
      <c r="F247" t="s">
        <v>26</v>
      </c>
      <c r="G247" t="s">
        <v>32</v>
      </c>
      <c r="H247" t="s">
        <v>110</v>
      </c>
      <c r="I247">
        <v>1</v>
      </c>
      <c r="J247">
        <v>10.08</v>
      </c>
      <c r="K247">
        <v>15</v>
      </c>
      <c r="L247">
        <v>8.57</v>
      </c>
      <c r="M247">
        <v>8.15</v>
      </c>
      <c r="N247">
        <v>-4.12</v>
      </c>
      <c r="O247" t="s">
        <v>34</v>
      </c>
      <c r="P247">
        <v>2023</v>
      </c>
      <c r="Q247" t="s">
        <v>3641</v>
      </c>
      <c r="R247">
        <v>7.2845000000000004</v>
      </c>
      <c r="S247">
        <v>-0.56558446015512398</v>
      </c>
      <c r="T247" t="s">
        <v>3634</v>
      </c>
      <c r="U247" t="s">
        <v>3636</v>
      </c>
    </row>
    <row r="248" spans="1:21" x14ac:dyDescent="0.25">
      <c r="A248" t="s">
        <v>578</v>
      </c>
      <c r="B248" s="1">
        <v>45081</v>
      </c>
      <c r="C248" t="s">
        <v>579</v>
      </c>
      <c r="D248" t="s">
        <v>30</v>
      </c>
      <c r="E248" t="s">
        <v>37</v>
      </c>
      <c r="F248" t="s">
        <v>26</v>
      </c>
      <c r="G248" t="s">
        <v>32</v>
      </c>
      <c r="H248" t="s">
        <v>348</v>
      </c>
      <c r="I248">
        <v>3</v>
      </c>
      <c r="J248">
        <v>6.18</v>
      </c>
      <c r="K248">
        <v>15</v>
      </c>
      <c r="L248">
        <v>15.76</v>
      </c>
      <c r="M248">
        <v>9.18</v>
      </c>
      <c r="N248">
        <v>-1.76</v>
      </c>
      <c r="O248" t="s">
        <v>34</v>
      </c>
      <c r="P248">
        <v>2023</v>
      </c>
      <c r="Q248" t="s">
        <v>3641</v>
      </c>
      <c r="R248">
        <v>13.396000000000001</v>
      </c>
      <c r="S248">
        <v>-0.13138250223947401</v>
      </c>
      <c r="T248" t="s">
        <v>3634</v>
      </c>
      <c r="U248" t="s">
        <v>3636</v>
      </c>
    </row>
    <row r="249" spans="1:21" x14ac:dyDescent="0.25">
      <c r="A249" t="s">
        <v>580</v>
      </c>
      <c r="B249" s="1">
        <v>45082</v>
      </c>
      <c r="C249" t="s">
        <v>581</v>
      </c>
      <c r="D249" t="s">
        <v>17</v>
      </c>
      <c r="E249" t="s">
        <v>31</v>
      </c>
      <c r="F249" t="s">
        <v>19</v>
      </c>
      <c r="G249" t="s">
        <v>20</v>
      </c>
      <c r="H249" t="s">
        <v>55</v>
      </c>
      <c r="I249">
        <v>8</v>
      </c>
      <c r="J249">
        <v>64.14</v>
      </c>
      <c r="K249">
        <v>15</v>
      </c>
      <c r="L249">
        <v>436.15</v>
      </c>
      <c r="M249">
        <v>22.64</v>
      </c>
      <c r="N249">
        <v>131.29</v>
      </c>
      <c r="O249" t="s">
        <v>34</v>
      </c>
      <c r="P249">
        <v>2023</v>
      </c>
      <c r="Q249" t="s">
        <v>3641</v>
      </c>
      <c r="R249">
        <v>370.72750000000002</v>
      </c>
      <c r="S249">
        <v>0.35414151904026497</v>
      </c>
      <c r="T249" t="s">
        <v>3632</v>
      </c>
      <c r="U249" t="s">
        <v>3633</v>
      </c>
    </row>
    <row r="250" spans="1:21" x14ac:dyDescent="0.25">
      <c r="A250" t="s">
        <v>582</v>
      </c>
      <c r="B250" s="1">
        <v>45083</v>
      </c>
      <c r="C250" t="s">
        <v>583</v>
      </c>
      <c r="D250" t="s">
        <v>30</v>
      </c>
      <c r="E250" t="s">
        <v>85</v>
      </c>
      <c r="F250" t="s">
        <v>60</v>
      </c>
      <c r="G250" t="s">
        <v>20</v>
      </c>
      <c r="H250" t="s">
        <v>264</v>
      </c>
      <c r="I250">
        <v>1</v>
      </c>
      <c r="J250">
        <v>29.03</v>
      </c>
      <c r="K250">
        <v>5</v>
      </c>
      <c r="L250">
        <v>27.58</v>
      </c>
      <c r="M250">
        <v>10.81</v>
      </c>
      <c r="N250">
        <v>0.8</v>
      </c>
      <c r="O250" t="s">
        <v>34</v>
      </c>
      <c r="P250">
        <v>2023</v>
      </c>
      <c r="Q250" t="s">
        <v>3641</v>
      </c>
      <c r="R250">
        <v>26.201000000000001</v>
      </c>
      <c r="S250">
        <v>3.0533185756268798E-2</v>
      </c>
      <c r="T250" t="s">
        <v>3634</v>
      </c>
      <c r="U250" t="s">
        <v>3633</v>
      </c>
    </row>
    <row r="251" spans="1:21" x14ac:dyDescent="0.25">
      <c r="A251" t="s">
        <v>584</v>
      </c>
      <c r="B251" s="1">
        <v>45083</v>
      </c>
      <c r="C251" t="s">
        <v>585</v>
      </c>
      <c r="D251" t="s">
        <v>30</v>
      </c>
      <c r="E251" t="s">
        <v>92</v>
      </c>
      <c r="F251" t="s">
        <v>60</v>
      </c>
      <c r="G251" t="s">
        <v>32</v>
      </c>
      <c r="H251" t="s">
        <v>149</v>
      </c>
      <c r="I251">
        <v>1</v>
      </c>
      <c r="J251">
        <v>6.69</v>
      </c>
      <c r="K251">
        <v>0</v>
      </c>
      <c r="L251">
        <v>6.69</v>
      </c>
      <c r="M251">
        <v>10.56</v>
      </c>
      <c r="N251">
        <v>-6.88</v>
      </c>
      <c r="O251" t="s">
        <v>22</v>
      </c>
      <c r="P251">
        <v>2023</v>
      </c>
      <c r="Q251" t="s">
        <v>3641</v>
      </c>
      <c r="R251">
        <v>6.69</v>
      </c>
      <c r="S251">
        <v>-1.0284005979073201</v>
      </c>
      <c r="T251" t="s">
        <v>3634</v>
      </c>
      <c r="U251" t="s">
        <v>3636</v>
      </c>
    </row>
    <row r="252" spans="1:21" x14ac:dyDescent="0.25">
      <c r="A252" t="s">
        <v>586</v>
      </c>
      <c r="B252" s="1">
        <v>45083</v>
      </c>
      <c r="C252" t="s">
        <v>587</v>
      </c>
      <c r="D252" t="s">
        <v>30</v>
      </c>
      <c r="E252" t="s">
        <v>92</v>
      </c>
      <c r="F252" t="s">
        <v>60</v>
      </c>
      <c r="G252" t="s">
        <v>20</v>
      </c>
      <c r="H252" t="s">
        <v>55</v>
      </c>
      <c r="I252">
        <v>4</v>
      </c>
      <c r="J252">
        <v>59.29</v>
      </c>
      <c r="K252">
        <v>20</v>
      </c>
      <c r="L252">
        <v>189.73</v>
      </c>
      <c r="M252">
        <v>13.59</v>
      </c>
      <c r="N252">
        <v>45.7</v>
      </c>
      <c r="O252" t="s">
        <v>22</v>
      </c>
      <c r="P252">
        <v>2023</v>
      </c>
      <c r="Q252" t="s">
        <v>3641</v>
      </c>
      <c r="R252">
        <v>151.78399999999999</v>
      </c>
      <c r="S252">
        <v>0.30108575343909799</v>
      </c>
      <c r="T252" t="s">
        <v>3632</v>
      </c>
      <c r="U252" t="s">
        <v>3633</v>
      </c>
    </row>
    <row r="253" spans="1:21" x14ac:dyDescent="0.25">
      <c r="A253" t="s">
        <v>588</v>
      </c>
      <c r="B253" s="1">
        <v>45083</v>
      </c>
      <c r="C253" t="s">
        <v>589</v>
      </c>
      <c r="D253" t="s">
        <v>17</v>
      </c>
      <c r="E253" t="s">
        <v>63</v>
      </c>
      <c r="F253" t="s">
        <v>54</v>
      </c>
      <c r="G253" t="s">
        <v>69</v>
      </c>
      <c r="H253" t="s">
        <v>70</v>
      </c>
      <c r="I253">
        <v>1</v>
      </c>
      <c r="J253">
        <v>31.48</v>
      </c>
      <c r="K253">
        <v>5</v>
      </c>
      <c r="L253">
        <v>29.91</v>
      </c>
      <c r="M253">
        <v>12.24</v>
      </c>
      <c r="N253">
        <v>1.93</v>
      </c>
      <c r="O253" t="s">
        <v>39</v>
      </c>
      <c r="P253">
        <v>2023</v>
      </c>
      <c r="Q253" t="s">
        <v>3641</v>
      </c>
      <c r="R253">
        <v>28.4145</v>
      </c>
      <c r="S253">
        <v>6.7923067447957897E-2</v>
      </c>
      <c r="T253" t="s">
        <v>3634</v>
      </c>
      <c r="U253" t="s">
        <v>3633</v>
      </c>
    </row>
    <row r="254" spans="1:21" x14ac:dyDescent="0.25">
      <c r="A254" t="s">
        <v>590</v>
      </c>
      <c r="B254" s="1">
        <v>45083</v>
      </c>
      <c r="C254" t="s">
        <v>591</v>
      </c>
      <c r="D254" t="s">
        <v>17</v>
      </c>
      <c r="E254" t="s">
        <v>248</v>
      </c>
      <c r="F254" t="s">
        <v>26</v>
      </c>
      <c r="G254" t="s">
        <v>32</v>
      </c>
      <c r="H254" t="s">
        <v>132</v>
      </c>
      <c r="I254">
        <v>3</v>
      </c>
      <c r="J254">
        <v>7.93</v>
      </c>
      <c r="K254">
        <v>0</v>
      </c>
      <c r="L254">
        <v>23.79</v>
      </c>
      <c r="M254">
        <v>14.01</v>
      </c>
      <c r="N254">
        <v>-0.93</v>
      </c>
      <c r="O254" t="s">
        <v>39</v>
      </c>
      <c r="P254">
        <v>2023</v>
      </c>
      <c r="Q254" t="s">
        <v>3641</v>
      </c>
      <c r="R254">
        <v>23.79</v>
      </c>
      <c r="S254">
        <v>-3.9092055485498101E-2</v>
      </c>
      <c r="T254" t="s">
        <v>3634</v>
      </c>
      <c r="U254" t="s">
        <v>3636</v>
      </c>
    </row>
    <row r="255" spans="1:21" x14ac:dyDescent="0.25">
      <c r="A255" t="s">
        <v>592</v>
      </c>
      <c r="B255" s="1">
        <v>45084</v>
      </c>
      <c r="C255" t="s">
        <v>593</v>
      </c>
      <c r="D255" t="s">
        <v>30</v>
      </c>
      <c r="E255" t="s">
        <v>53</v>
      </c>
      <c r="F255" t="s">
        <v>54</v>
      </c>
      <c r="G255" t="s">
        <v>20</v>
      </c>
      <c r="H255" t="s">
        <v>175</v>
      </c>
      <c r="I255">
        <v>6</v>
      </c>
      <c r="J255">
        <v>24.62</v>
      </c>
      <c r="K255">
        <v>5</v>
      </c>
      <c r="L255">
        <v>140.33000000000001</v>
      </c>
      <c r="M255">
        <v>24.76</v>
      </c>
      <c r="N255">
        <v>34.32</v>
      </c>
      <c r="O255" t="s">
        <v>34</v>
      </c>
      <c r="P255">
        <v>2023</v>
      </c>
      <c r="Q255" t="s">
        <v>3641</v>
      </c>
      <c r="R255">
        <v>133.3135</v>
      </c>
      <c r="S255">
        <v>0.25743829394622397</v>
      </c>
      <c r="T255" t="s">
        <v>3632</v>
      </c>
      <c r="U255" t="s">
        <v>3633</v>
      </c>
    </row>
    <row r="256" spans="1:21" x14ac:dyDescent="0.25">
      <c r="A256" t="s">
        <v>594</v>
      </c>
      <c r="B256" s="1">
        <v>45084</v>
      </c>
      <c r="C256" t="s">
        <v>555</v>
      </c>
      <c r="D256" t="s">
        <v>17</v>
      </c>
      <c r="E256" t="s">
        <v>76</v>
      </c>
      <c r="F256" t="s">
        <v>26</v>
      </c>
      <c r="G256" t="s">
        <v>20</v>
      </c>
      <c r="H256" t="s">
        <v>199</v>
      </c>
      <c r="I256">
        <v>4</v>
      </c>
      <c r="J256">
        <v>72.94</v>
      </c>
      <c r="K256">
        <v>20</v>
      </c>
      <c r="L256">
        <v>233.41</v>
      </c>
      <c r="M256">
        <v>16.18</v>
      </c>
      <c r="N256">
        <v>56.76</v>
      </c>
      <c r="O256" t="s">
        <v>22</v>
      </c>
      <c r="P256">
        <v>2023</v>
      </c>
      <c r="Q256" t="s">
        <v>3641</v>
      </c>
      <c r="R256">
        <v>186.72800000000001</v>
      </c>
      <c r="S256">
        <v>0.30397155220427602</v>
      </c>
      <c r="T256" t="s">
        <v>3632</v>
      </c>
      <c r="U256" t="s">
        <v>3633</v>
      </c>
    </row>
    <row r="257" spans="1:21" x14ac:dyDescent="0.25">
      <c r="A257" t="s">
        <v>595</v>
      </c>
      <c r="B257" s="1">
        <v>45084</v>
      </c>
      <c r="C257" t="s">
        <v>596</v>
      </c>
      <c r="D257" t="s">
        <v>30</v>
      </c>
      <c r="E257" t="s">
        <v>18</v>
      </c>
      <c r="F257" t="s">
        <v>19</v>
      </c>
      <c r="G257" t="s">
        <v>20</v>
      </c>
      <c r="H257" t="s">
        <v>264</v>
      </c>
      <c r="I257">
        <v>2</v>
      </c>
      <c r="J257">
        <v>32.450000000000003</v>
      </c>
      <c r="K257">
        <v>10</v>
      </c>
      <c r="L257">
        <v>58.41</v>
      </c>
      <c r="M257">
        <v>8.6199999999999992</v>
      </c>
      <c r="N257">
        <v>14.09</v>
      </c>
      <c r="O257" t="s">
        <v>34</v>
      </c>
      <c r="P257">
        <v>2023</v>
      </c>
      <c r="Q257" t="s">
        <v>3641</v>
      </c>
      <c r="R257">
        <v>52.569000000000003</v>
      </c>
      <c r="S257">
        <v>0.26802868610778202</v>
      </c>
      <c r="T257" t="s">
        <v>3634</v>
      </c>
      <c r="U257" t="s">
        <v>3633</v>
      </c>
    </row>
    <row r="258" spans="1:21" x14ac:dyDescent="0.25">
      <c r="A258" t="s">
        <v>597</v>
      </c>
      <c r="B258" s="1">
        <v>45085</v>
      </c>
      <c r="C258" t="s">
        <v>307</v>
      </c>
      <c r="D258" t="s">
        <v>17</v>
      </c>
      <c r="E258" t="s">
        <v>59</v>
      </c>
      <c r="F258" t="s">
        <v>60</v>
      </c>
      <c r="G258" t="s">
        <v>32</v>
      </c>
      <c r="H258" t="s">
        <v>348</v>
      </c>
      <c r="I258">
        <v>6</v>
      </c>
      <c r="J258">
        <v>5.73</v>
      </c>
      <c r="K258">
        <v>15</v>
      </c>
      <c r="L258">
        <v>29.22</v>
      </c>
      <c r="M258">
        <v>18.91</v>
      </c>
      <c r="N258">
        <v>-5.16</v>
      </c>
      <c r="O258" t="s">
        <v>22</v>
      </c>
      <c r="P258">
        <v>2023</v>
      </c>
      <c r="Q258" t="s">
        <v>3641</v>
      </c>
      <c r="R258">
        <v>24.837</v>
      </c>
      <c r="S258">
        <v>-0.20775455972943599</v>
      </c>
      <c r="T258" t="s">
        <v>3634</v>
      </c>
      <c r="U258" t="s">
        <v>3636</v>
      </c>
    </row>
    <row r="259" spans="1:21" x14ac:dyDescent="0.25">
      <c r="A259" t="s">
        <v>598</v>
      </c>
      <c r="B259" s="1">
        <v>45085</v>
      </c>
      <c r="C259" t="s">
        <v>599</v>
      </c>
      <c r="D259" t="s">
        <v>30</v>
      </c>
      <c r="E259" t="s">
        <v>148</v>
      </c>
      <c r="F259" t="s">
        <v>60</v>
      </c>
      <c r="G259" t="s">
        <v>69</v>
      </c>
      <c r="H259" t="s">
        <v>70</v>
      </c>
      <c r="I259">
        <v>4</v>
      </c>
      <c r="J259">
        <v>38.869999999999997</v>
      </c>
      <c r="K259">
        <v>5</v>
      </c>
      <c r="L259">
        <v>147.71</v>
      </c>
      <c r="M259">
        <v>14.04</v>
      </c>
      <c r="N259">
        <v>55.93</v>
      </c>
      <c r="O259" t="s">
        <v>34</v>
      </c>
      <c r="P259">
        <v>2023</v>
      </c>
      <c r="Q259" t="s">
        <v>3641</v>
      </c>
      <c r="R259">
        <v>140.3245</v>
      </c>
      <c r="S259">
        <v>0.39857615740658298</v>
      </c>
      <c r="T259" t="s">
        <v>3632</v>
      </c>
      <c r="U259" t="s">
        <v>3633</v>
      </c>
    </row>
    <row r="260" spans="1:21" x14ac:dyDescent="0.25">
      <c r="A260" t="s">
        <v>600</v>
      </c>
      <c r="B260" s="1">
        <v>45085</v>
      </c>
      <c r="C260" t="s">
        <v>601</v>
      </c>
      <c r="D260" t="s">
        <v>30</v>
      </c>
      <c r="E260" t="s">
        <v>18</v>
      </c>
      <c r="F260" t="s">
        <v>19</v>
      </c>
      <c r="G260" t="s">
        <v>32</v>
      </c>
      <c r="H260" t="s">
        <v>33</v>
      </c>
      <c r="I260">
        <v>2</v>
      </c>
      <c r="J260">
        <v>6.85</v>
      </c>
      <c r="K260">
        <v>0</v>
      </c>
      <c r="L260">
        <v>13.7</v>
      </c>
      <c r="M260">
        <v>7.41</v>
      </c>
      <c r="N260">
        <v>0.12</v>
      </c>
      <c r="O260" t="s">
        <v>34</v>
      </c>
      <c r="P260">
        <v>2023</v>
      </c>
      <c r="Q260" t="s">
        <v>3641</v>
      </c>
      <c r="R260">
        <v>13.7</v>
      </c>
      <c r="S260">
        <v>8.7591240875912399E-3</v>
      </c>
      <c r="T260" t="s">
        <v>3634</v>
      </c>
      <c r="U260" t="s">
        <v>3633</v>
      </c>
    </row>
    <row r="261" spans="1:21" x14ac:dyDescent="0.25">
      <c r="A261" t="s">
        <v>602</v>
      </c>
      <c r="B261" s="1">
        <v>45086</v>
      </c>
      <c r="C261" t="s">
        <v>603</v>
      </c>
      <c r="D261" t="s">
        <v>30</v>
      </c>
      <c r="E261" t="s">
        <v>18</v>
      </c>
      <c r="F261" t="s">
        <v>19</v>
      </c>
      <c r="G261" t="s">
        <v>42</v>
      </c>
      <c r="H261" t="s">
        <v>255</v>
      </c>
      <c r="I261">
        <v>2</v>
      </c>
      <c r="J261">
        <v>16.260000000000002</v>
      </c>
      <c r="K261">
        <v>5</v>
      </c>
      <c r="L261">
        <v>30.89</v>
      </c>
      <c r="M261">
        <v>6.26</v>
      </c>
      <c r="N261">
        <v>5.12</v>
      </c>
      <c r="O261" t="s">
        <v>39</v>
      </c>
      <c r="P261">
        <v>2023</v>
      </c>
      <c r="Q261" t="s">
        <v>3641</v>
      </c>
      <c r="R261">
        <v>29.345500000000001</v>
      </c>
      <c r="S261">
        <v>0.174473087866964</v>
      </c>
      <c r="T261" t="s">
        <v>3634</v>
      </c>
      <c r="U261" t="s">
        <v>3633</v>
      </c>
    </row>
    <row r="262" spans="1:21" x14ac:dyDescent="0.25">
      <c r="A262" t="s">
        <v>604</v>
      </c>
      <c r="B262" s="1">
        <v>45086</v>
      </c>
      <c r="C262" t="s">
        <v>605</v>
      </c>
      <c r="D262" t="s">
        <v>17</v>
      </c>
      <c r="E262" t="s">
        <v>63</v>
      </c>
      <c r="F262" t="s">
        <v>54</v>
      </c>
      <c r="G262" t="s">
        <v>20</v>
      </c>
      <c r="H262" t="s">
        <v>264</v>
      </c>
      <c r="I262">
        <v>1</v>
      </c>
      <c r="J262">
        <v>23.01</v>
      </c>
      <c r="K262">
        <v>5</v>
      </c>
      <c r="L262">
        <v>21.86</v>
      </c>
      <c r="M262">
        <v>13.14</v>
      </c>
      <c r="N262">
        <v>-3.94</v>
      </c>
      <c r="O262" t="s">
        <v>34</v>
      </c>
      <c r="P262">
        <v>2023</v>
      </c>
      <c r="Q262" t="s">
        <v>3641</v>
      </c>
      <c r="R262">
        <v>20.766999999999999</v>
      </c>
      <c r="S262">
        <v>-0.189724081475418</v>
      </c>
      <c r="T262" t="s">
        <v>3634</v>
      </c>
      <c r="U262" t="s">
        <v>3636</v>
      </c>
    </row>
    <row r="263" spans="1:21" x14ac:dyDescent="0.25">
      <c r="A263" t="s">
        <v>606</v>
      </c>
      <c r="B263" s="1">
        <v>45086</v>
      </c>
      <c r="C263" t="s">
        <v>607</v>
      </c>
      <c r="D263" t="s">
        <v>49</v>
      </c>
      <c r="E263" t="s">
        <v>63</v>
      </c>
      <c r="F263" t="s">
        <v>54</v>
      </c>
      <c r="G263" t="s">
        <v>32</v>
      </c>
      <c r="H263" t="s">
        <v>50</v>
      </c>
      <c r="I263">
        <v>4</v>
      </c>
      <c r="J263">
        <v>22.5</v>
      </c>
      <c r="K263">
        <v>15</v>
      </c>
      <c r="L263">
        <v>76.5</v>
      </c>
      <c r="M263">
        <v>20.57</v>
      </c>
      <c r="N263">
        <v>15.43</v>
      </c>
      <c r="O263" t="s">
        <v>22</v>
      </c>
      <c r="P263">
        <v>2023</v>
      </c>
      <c r="Q263" t="s">
        <v>3641</v>
      </c>
      <c r="R263">
        <v>65.025000000000006</v>
      </c>
      <c r="S263">
        <v>0.237293348712034</v>
      </c>
      <c r="T263" t="s">
        <v>3634</v>
      </c>
      <c r="U263" t="s">
        <v>3633</v>
      </c>
    </row>
    <row r="264" spans="1:21" x14ac:dyDescent="0.25">
      <c r="A264" t="s">
        <v>608</v>
      </c>
      <c r="B264" s="1">
        <v>45087</v>
      </c>
      <c r="C264" t="s">
        <v>609</v>
      </c>
      <c r="D264" t="s">
        <v>30</v>
      </c>
      <c r="E264" t="s">
        <v>129</v>
      </c>
      <c r="F264" t="s">
        <v>19</v>
      </c>
      <c r="G264" t="s">
        <v>42</v>
      </c>
      <c r="H264" t="s">
        <v>93</v>
      </c>
      <c r="I264">
        <v>3</v>
      </c>
      <c r="J264">
        <v>229.47</v>
      </c>
      <c r="K264">
        <v>15</v>
      </c>
      <c r="L264">
        <v>585.15</v>
      </c>
      <c r="M264">
        <v>9.83</v>
      </c>
      <c r="N264">
        <v>162.27000000000001</v>
      </c>
      <c r="O264" t="s">
        <v>34</v>
      </c>
      <c r="P264">
        <v>2023</v>
      </c>
      <c r="Q264" t="s">
        <v>3641</v>
      </c>
      <c r="R264">
        <v>497.3775</v>
      </c>
      <c r="S264">
        <v>0.32625118747832399</v>
      </c>
      <c r="T264" t="s">
        <v>3635</v>
      </c>
      <c r="U264" t="s">
        <v>3633</v>
      </c>
    </row>
    <row r="265" spans="1:21" x14ac:dyDescent="0.25">
      <c r="A265" t="s">
        <v>610</v>
      </c>
      <c r="B265" s="1">
        <v>45088</v>
      </c>
      <c r="C265" t="s">
        <v>611</v>
      </c>
      <c r="D265" t="s">
        <v>49</v>
      </c>
      <c r="E265" t="s">
        <v>129</v>
      </c>
      <c r="F265" t="s">
        <v>19</v>
      </c>
      <c r="G265" t="s">
        <v>42</v>
      </c>
      <c r="H265" t="s">
        <v>89</v>
      </c>
      <c r="I265">
        <v>5</v>
      </c>
      <c r="J265">
        <v>336.47</v>
      </c>
      <c r="K265">
        <v>0</v>
      </c>
      <c r="L265">
        <v>1682.35</v>
      </c>
      <c r="M265">
        <v>15.78</v>
      </c>
      <c r="N265">
        <v>657.16</v>
      </c>
      <c r="O265" t="s">
        <v>34</v>
      </c>
      <c r="P265">
        <v>2023</v>
      </c>
      <c r="Q265" t="s">
        <v>3641</v>
      </c>
      <c r="R265">
        <v>1682.35</v>
      </c>
      <c r="S265">
        <v>0.39062026332213901</v>
      </c>
      <c r="T265" t="s">
        <v>3635</v>
      </c>
      <c r="U265" t="s">
        <v>3633</v>
      </c>
    </row>
    <row r="266" spans="1:21" x14ac:dyDescent="0.25">
      <c r="A266" t="s">
        <v>612</v>
      </c>
      <c r="B266" s="1">
        <v>45088</v>
      </c>
      <c r="C266" t="s">
        <v>613</v>
      </c>
      <c r="D266" t="s">
        <v>30</v>
      </c>
      <c r="E266" t="s">
        <v>92</v>
      </c>
      <c r="F266" t="s">
        <v>60</v>
      </c>
      <c r="G266" t="s">
        <v>42</v>
      </c>
      <c r="H266" t="s">
        <v>46</v>
      </c>
      <c r="I266">
        <v>2</v>
      </c>
      <c r="J266">
        <v>122.54</v>
      </c>
      <c r="K266">
        <v>0</v>
      </c>
      <c r="L266">
        <v>245.08</v>
      </c>
      <c r="M266">
        <v>11.78</v>
      </c>
      <c r="N266">
        <v>86.25</v>
      </c>
      <c r="O266" t="s">
        <v>34</v>
      </c>
      <c r="P266">
        <v>2023</v>
      </c>
      <c r="Q266" t="s">
        <v>3641</v>
      </c>
      <c r="R266">
        <v>245.08</v>
      </c>
      <c r="S266">
        <v>0.35192590174636801</v>
      </c>
      <c r="T266" t="s">
        <v>3632</v>
      </c>
      <c r="U266" t="s">
        <v>3633</v>
      </c>
    </row>
    <row r="267" spans="1:21" x14ac:dyDescent="0.25">
      <c r="A267" t="s">
        <v>614</v>
      </c>
      <c r="B267" s="1">
        <v>45088</v>
      </c>
      <c r="C267" t="s">
        <v>615</v>
      </c>
      <c r="D267" t="s">
        <v>49</v>
      </c>
      <c r="E267" t="s">
        <v>18</v>
      </c>
      <c r="F267" t="s">
        <v>19</v>
      </c>
      <c r="G267" t="s">
        <v>20</v>
      </c>
      <c r="H267" t="s">
        <v>122</v>
      </c>
      <c r="I267">
        <v>5</v>
      </c>
      <c r="J267">
        <v>88.03</v>
      </c>
      <c r="K267">
        <v>15</v>
      </c>
      <c r="L267">
        <v>374.13</v>
      </c>
      <c r="M267">
        <v>16.63</v>
      </c>
      <c r="N267">
        <v>115.42</v>
      </c>
      <c r="O267" t="s">
        <v>34</v>
      </c>
      <c r="P267">
        <v>2023</v>
      </c>
      <c r="Q267" t="s">
        <v>3641</v>
      </c>
      <c r="R267">
        <v>318.01049999999998</v>
      </c>
      <c r="S267">
        <v>0.36294399084307</v>
      </c>
      <c r="T267" t="s">
        <v>3632</v>
      </c>
      <c r="U267" t="s">
        <v>3633</v>
      </c>
    </row>
    <row r="268" spans="1:21" x14ac:dyDescent="0.25">
      <c r="A268" t="s">
        <v>616</v>
      </c>
      <c r="B268" s="1">
        <v>45088</v>
      </c>
      <c r="C268" t="s">
        <v>617</v>
      </c>
      <c r="D268" t="s">
        <v>30</v>
      </c>
      <c r="E268" t="s">
        <v>76</v>
      </c>
      <c r="F268" t="s">
        <v>26</v>
      </c>
      <c r="G268" t="s">
        <v>42</v>
      </c>
      <c r="H268" t="s">
        <v>255</v>
      </c>
      <c r="I268">
        <v>4</v>
      </c>
      <c r="J268">
        <v>24.66</v>
      </c>
      <c r="K268">
        <v>0</v>
      </c>
      <c r="L268">
        <v>98.64</v>
      </c>
      <c r="M268">
        <v>16.03</v>
      </c>
      <c r="N268">
        <v>23.43</v>
      </c>
      <c r="O268" t="s">
        <v>22</v>
      </c>
      <c r="P268">
        <v>2023</v>
      </c>
      <c r="Q268" t="s">
        <v>3641</v>
      </c>
      <c r="R268">
        <v>98.64</v>
      </c>
      <c r="S268">
        <v>0.237530413625304</v>
      </c>
      <c r="T268" t="s">
        <v>3634</v>
      </c>
      <c r="U268" t="s">
        <v>3633</v>
      </c>
    </row>
    <row r="269" spans="1:21" x14ac:dyDescent="0.25">
      <c r="A269" t="s">
        <v>618</v>
      </c>
      <c r="B269" s="1">
        <v>45088</v>
      </c>
      <c r="C269" t="s">
        <v>619</v>
      </c>
      <c r="D269" t="s">
        <v>30</v>
      </c>
      <c r="E269" t="s">
        <v>37</v>
      </c>
      <c r="F269" t="s">
        <v>26</v>
      </c>
      <c r="G269" t="s">
        <v>20</v>
      </c>
      <c r="H269" t="s">
        <v>38</v>
      </c>
      <c r="I269">
        <v>3</v>
      </c>
      <c r="J269">
        <v>60.58</v>
      </c>
      <c r="K269">
        <v>10</v>
      </c>
      <c r="L269">
        <v>163.57</v>
      </c>
      <c r="M269">
        <v>9.75</v>
      </c>
      <c r="N269">
        <v>53.86</v>
      </c>
      <c r="O269" t="s">
        <v>34</v>
      </c>
      <c r="P269">
        <v>2023</v>
      </c>
      <c r="Q269" t="s">
        <v>3641</v>
      </c>
      <c r="R269">
        <v>147.21299999999999</v>
      </c>
      <c r="S269">
        <v>0.36586442773396399</v>
      </c>
      <c r="T269" t="s">
        <v>3632</v>
      </c>
      <c r="U269" t="s">
        <v>3633</v>
      </c>
    </row>
    <row r="270" spans="1:21" x14ac:dyDescent="0.25">
      <c r="A270" t="s">
        <v>620</v>
      </c>
      <c r="B270" s="1">
        <v>45089</v>
      </c>
      <c r="C270" t="s">
        <v>621</v>
      </c>
      <c r="D270" t="s">
        <v>17</v>
      </c>
      <c r="E270" t="s">
        <v>76</v>
      </c>
      <c r="F270" t="s">
        <v>26</v>
      </c>
      <c r="G270" t="s">
        <v>20</v>
      </c>
      <c r="H270" t="s">
        <v>27</v>
      </c>
      <c r="I270">
        <v>3</v>
      </c>
      <c r="J270">
        <v>158.55000000000001</v>
      </c>
      <c r="K270">
        <v>15</v>
      </c>
      <c r="L270">
        <v>404.3</v>
      </c>
      <c r="M270">
        <v>11.67</v>
      </c>
      <c r="N270">
        <v>131.02000000000001</v>
      </c>
      <c r="O270" t="s">
        <v>34</v>
      </c>
      <c r="P270">
        <v>2023</v>
      </c>
      <c r="Q270" t="s">
        <v>3641</v>
      </c>
      <c r="R270">
        <v>343.65499999999997</v>
      </c>
      <c r="S270">
        <v>0.38125445577686901</v>
      </c>
      <c r="T270" t="s">
        <v>3632</v>
      </c>
      <c r="U270" t="s">
        <v>3633</v>
      </c>
    </row>
    <row r="271" spans="1:21" x14ac:dyDescent="0.25">
      <c r="A271" t="s">
        <v>622</v>
      </c>
      <c r="B271" s="1">
        <v>45089</v>
      </c>
      <c r="C271" t="s">
        <v>623</v>
      </c>
      <c r="D271" t="s">
        <v>17</v>
      </c>
      <c r="E271" t="s">
        <v>18</v>
      </c>
      <c r="F271" t="s">
        <v>19</v>
      </c>
      <c r="G271" t="s">
        <v>42</v>
      </c>
      <c r="H271" t="s">
        <v>118</v>
      </c>
      <c r="I271">
        <v>6</v>
      </c>
      <c r="J271">
        <v>43.48</v>
      </c>
      <c r="K271">
        <v>15</v>
      </c>
      <c r="L271">
        <v>221.75</v>
      </c>
      <c r="M271">
        <v>13.94</v>
      </c>
      <c r="N271">
        <v>51.28</v>
      </c>
      <c r="O271" t="s">
        <v>56</v>
      </c>
      <c r="P271">
        <v>2023</v>
      </c>
      <c r="Q271" t="s">
        <v>3641</v>
      </c>
      <c r="R271">
        <v>188.48750000000001</v>
      </c>
      <c r="S271">
        <v>0.27206048146428802</v>
      </c>
      <c r="T271" t="s">
        <v>3632</v>
      </c>
      <c r="U271" t="s">
        <v>3633</v>
      </c>
    </row>
    <row r="272" spans="1:21" x14ac:dyDescent="0.25">
      <c r="A272" t="s">
        <v>624</v>
      </c>
      <c r="B272" s="1">
        <v>45089</v>
      </c>
      <c r="C272" t="s">
        <v>625</v>
      </c>
      <c r="D272" t="s">
        <v>30</v>
      </c>
      <c r="E272" t="s">
        <v>85</v>
      </c>
      <c r="F272" t="s">
        <v>60</v>
      </c>
      <c r="G272" t="s">
        <v>20</v>
      </c>
      <c r="H272" t="s">
        <v>55</v>
      </c>
      <c r="I272">
        <v>15</v>
      </c>
      <c r="J272">
        <v>33.119999999999997</v>
      </c>
      <c r="K272">
        <v>0</v>
      </c>
      <c r="L272">
        <v>496.8</v>
      </c>
      <c r="M272">
        <v>38.18</v>
      </c>
      <c r="N272">
        <v>185.38</v>
      </c>
      <c r="O272" t="s">
        <v>34</v>
      </c>
      <c r="P272">
        <v>2023</v>
      </c>
      <c r="Q272" t="s">
        <v>3641</v>
      </c>
      <c r="R272">
        <v>496.8</v>
      </c>
      <c r="S272">
        <v>0.37314814814814801</v>
      </c>
      <c r="T272" t="s">
        <v>3632</v>
      </c>
      <c r="U272" t="s">
        <v>3633</v>
      </c>
    </row>
    <row r="273" spans="1:21" x14ac:dyDescent="0.25">
      <c r="A273" t="s">
        <v>626</v>
      </c>
      <c r="B273" s="1">
        <v>45090</v>
      </c>
      <c r="C273" t="s">
        <v>627</v>
      </c>
      <c r="D273" t="s">
        <v>30</v>
      </c>
      <c r="E273" t="s">
        <v>31</v>
      </c>
      <c r="F273" t="s">
        <v>19</v>
      </c>
      <c r="G273" t="s">
        <v>20</v>
      </c>
      <c r="H273" t="s">
        <v>106</v>
      </c>
      <c r="I273">
        <v>1</v>
      </c>
      <c r="J273">
        <v>30.15</v>
      </c>
      <c r="K273">
        <v>15</v>
      </c>
      <c r="L273">
        <v>25.63</v>
      </c>
      <c r="M273">
        <v>6.6</v>
      </c>
      <c r="N273">
        <v>2.4500000000000002</v>
      </c>
      <c r="O273" t="s">
        <v>34</v>
      </c>
      <c r="P273">
        <v>2023</v>
      </c>
      <c r="Q273" t="s">
        <v>3641</v>
      </c>
      <c r="R273">
        <v>21.785499999999999</v>
      </c>
      <c r="S273">
        <v>0.112460122558583</v>
      </c>
      <c r="T273" t="s">
        <v>3634</v>
      </c>
      <c r="U273" t="s">
        <v>3633</v>
      </c>
    </row>
    <row r="274" spans="1:21" x14ac:dyDescent="0.25">
      <c r="A274" t="s">
        <v>628</v>
      </c>
      <c r="B274" s="1">
        <v>45090</v>
      </c>
      <c r="C274" t="s">
        <v>629</v>
      </c>
      <c r="D274" t="s">
        <v>17</v>
      </c>
      <c r="E274" t="s">
        <v>31</v>
      </c>
      <c r="F274" t="s">
        <v>19</v>
      </c>
      <c r="G274" t="s">
        <v>32</v>
      </c>
      <c r="H274" t="s">
        <v>82</v>
      </c>
      <c r="I274">
        <v>3</v>
      </c>
      <c r="J274">
        <v>18.829999999999998</v>
      </c>
      <c r="K274">
        <v>10</v>
      </c>
      <c r="L274">
        <v>50.84</v>
      </c>
      <c r="M274">
        <v>10.96</v>
      </c>
      <c r="N274">
        <v>14.46</v>
      </c>
      <c r="O274" t="s">
        <v>34</v>
      </c>
      <c r="P274">
        <v>2023</v>
      </c>
      <c r="Q274" t="s">
        <v>3641</v>
      </c>
      <c r="R274">
        <v>45.756</v>
      </c>
      <c r="S274">
        <v>0.316024127983215</v>
      </c>
      <c r="T274" t="s">
        <v>3634</v>
      </c>
      <c r="U274" t="s">
        <v>3633</v>
      </c>
    </row>
    <row r="275" spans="1:21" x14ac:dyDescent="0.25">
      <c r="A275" t="s">
        <v>630</v>
      </c>
      <c r="B275" s="1">
        <v>45091</v>
      </c>
      <c r="C275" t="s">
        <v>631</v>
      </c>
      <c r="D275" t="s">
        <v>30</v>
      </c>
      <c r="E275" t="s">
        <v>166</v>
      </c>
      <c r="F275" t="s">
        <v>60</v>
      </c>
      <c r="G275" t="s">
        <v>69</v>
      </c>
      <c r="H275" t="s">
        <v>243</v>
      </c>
      <c r="I275">
        <v>5</v>
      </c>
      <c r="J275">
        <v>17.239999999999998</v>
      </c>
      <c r="K275">
        <v>0</v>
      </c>
      <c r="L275">
        <v>86.2</v>
      </c>
      <c r="M275">
        <v>16.2</v>
      </c>
      <c r="N275">
        <v>26.9</v>
      </c>
      <c r="O275" t="s">
        <v>34</v>
      </c>
      <c r="P275">
        <v>2023</v>
      </c>
      <c r="Q275" t="s">
        <v>3641</v>
      </c>
      <c r="R275">
        <v>86.2</v>
      </c>
      <c r="S275">
        <v>0.31206496519721599</v>
      </c>
      <c r="T275" t="s">
        <v>3634</v>
      </c>
      <c r="U275" t="s">
        <v>3633</v>
      </c>
    </row>
    <row r="276" spans="1:21" x14ac:dyDescent="0.25">
      <c r="A276" t="s">
        <v>632</v>
      </c>
      <c r="B276" s="1">
        <v>45091</v>
      </c>
      <c r="C276" t="s">
        <v>633</v>
      </c>
      <c r="D276" t="s">
        <v>49</v>
      </c>
      <c r="E276" t="s">
        <v>37</v>
      </c>
      <c r="F276" t="s">
        <v>26</v>
      </c>
      <c r="G276" t="s">
        <v>32</v>
      </c>
      <c r="H276" t="s">
        <v>73</v>
      </c>
      <c r="I276">
        <v>1</v>
      </c>
      <c r="J276">
        <v>6.68</v>
      </c>
      <c r="K276">
        <v>15</v>
      </c>
      <c r="L276">
        <v>5.68</v>
      </c>
      <c r="M276">
        <v>8.2200000000000006</v>
      </c>
      <c r="N276">
        <v>-5.55</v>
      </c>
      <c r="O276" t="s">
        <v>34</v>
      </c>
      <c r="P276">
        <v>2023</v>
      </c>
      <c r="Q276" t="s">
        <v>3641</v>
      </c>
      <c r="R276">
        <v>4.8280000000000003</v>
      </c>
      <c r="S276">
        <v>-1.14954432477216</v>
      </c>
      <c r="T276" t="s">
        <v>3634</v>
      </c>
      <c r="U276" t="s">
        <v>3636</v>
      </c>
    </row>
    <row r="277" spans="1:21" x14ac:dyDescent="0.25">
      <c r="A277" t="s">
        <v>634</v>
      </c>
      <c r="B277" s="1">
        <v>45094</v>
      </c>
      <c r="C277" t="s">
        <v>635</v>
      </c>
      <c r="D277" t="s">
        <v>17</v>
      </c>
      <c r="E277" t="s">
        <v>138</v>
      </c>
      <c r="F277" t="s">
        <v>54</v>
      </c>
      <c r="G277" t="s">
        <v>42</v>
      </c>
      <c r="H277" t="s">
        <v>118</v>
      </c>
      <c r="I277">
        <v>9</v>
      </c>
      <c r="J277">
        <v>33.65</v>
      </c>
      <c r="K277">
        <v>5</v>
      </c>
      <c r="L277">
        <v>287.70999999999998</v>
      </c>
      <c r="M277">
        <v>16.739999999999998</v>
      </c>
      <c r="N277">
        <v>89.26</v>
      </c>
      <c r="O277" t="s">
        <v>22</v>
      </c>
      <c r="P277">
        <v>2023</v>
      </c>
      <c r="Q277" t="s">
        <v>3641</v>
      </c>
      <c r="R277">
        <v>273.3245</v>
      </c>
      <c r="S277">
        <v>0.326571529445769</v>
      </c>
      <c r="T277" t="s">
        <v>3632</v>
      </c>
      <c r="U277" t="s">
        <v>3633</v>
      </c>
    </row>
    <row r="278" spans="1:21" x14ac:dyDescent="0.25">
      <c r="A278" t="s">
        <v>636</v>
      </c>
      <c r="B278" s="1">
        <v>45094</v>
      </c>
      <c r="C278" t="s">
        <v>637</v>
      </c>
      <c r="D278" t="s">
        <v>30</v>
      </c>
      <c r="E278" t="s">
        <v>37</v>
      </c>
      <c r="F278" t="s">
        <v>26</v>
      </c>
      <c r="G278" t="s">
        <v>20</v>
      </c>
      <c r="H278" t="s">
        <v>106</v>
      </c>
      <c r="I278">
        <v>3</v>
      </c>
      <c r="J278">
        <v>69.430000000000007</v>
      </c>
      <c r="K278">
        <v>5</v>
      </c>
      <c r="L278">
        <v>197.88</v>
      </c>
      <c r="M278">
        <v>10.72</v>
      </c>
      <c r="N278">
        <v>72.599999999999994</v>
      </c>
      <c r="O278" t="s">
        <v>39</v>
      </c>
      <c r="P278">
        <v>2023</v>
      </c>
      <c r="Q278" t="s">
        <v>3641</v>
      </c>
      <c r="R278">
        <v>187.98599999999999</v>
      </c>
      <c r="S278">
        <v>0.38619897226389199</v>
      </c>
      <c r="T278" t="s">
        <v>3632</v>
      </c>
      <c r="U278" t="s">
        <v>3633</v>
      </c>
    </row>
    <row r="279" spans="1:21" x14ac:dyDescent="0.25">
      <c r="A279" t="s">
        <v>638</v>
      </c>
      <c r="B279" s="1">
        <v>45095</v>
      </c>
      <c r="C279" t="s">
        <v>639</v>
      </c>
      <c r="D279" t="s">
        <v>30</v>
      </c>
      <c r="E279" t="s">
        <v>37</v>
      </c>
      <c r="F279" t="s">
        <v>26</v>
      </c>
      <c r="G279" t="s">
        <v>42</v>
      </c>
      <c r="H279" t="s">
        <v>89</v>
      </c>
      <c r="I279">
        <v>10</v>
      </c>
      <c r="J279">
        <v>398.27</v>
      </c>
      <c r="K279">
        <v>5</v>
      </c>
      <c r="L279">
        <v>3783.56</v>
      </c>
      <c r="M279">
        <v>20.309999999999999</v>
      </c>
      <c r="N279">
        <v>1373.63</v>
      </c>
      <c r="O279" t="s">
        <v>22</v>
      </c>
      <c r="P279">
        <v>2023</v>
      </c>
      <c r="Q279" t="s">
        <v>3641</v>
      </c>
      <c r="R279">
        <v>3594.3820000000001</v>
      </c>
      <c r="S279">
        <v>0.38216027122325902</v>
      </c>
      <c r="T279" t="s">
        <v>3635</v>
      </c>
      <c r="U279" t="s">
        <v>3633</v>
      </c>
    </row>
    <row r="280" spans="1:21" x14ac:dyDescent="0.25">
      <c r="A280" t="s">
        <v>640</v>
      </c>
      <c r="B280" s="1">
        <v>45096</v>
      </c>
      <c r="C280" t="s">
        <v>641</v>
      </c>
      <c r="D280" t="s">
        <v>17</v>
      </c>
      <c r="E280" t="s">
        <v>63</v>
      </c>
      <c r="F280" t="s">
        <v>54</v>
      </c>
      <c r="G280" t="s">
        <v>42</v>
      </c>
      <c r="H280" t="s">
        <v>43</v>
      </c>
      <c r="I280">
        <v>4</v>
      </c>
      <c r="J280">
        <v>114.01</v>
      </c>
      <c r="K280">
        <v>0</v>
      </c>
      <c r="L280">
        <v>456.04</v>
      </c>
      <c r="M280">
        <v>13.78</v>
      </c>
      <c r="N280">
        <v>168.64</v>
      </c>
      <c r="O280" t="s">
        <v>39</v>
      </c>
      <c r="P280">
        <v>2023</v>
      </c>
      <c r="Q280" t="s">
        <v>3641</v>
      </c>
      <c r="R280">
        <v>456.04</v>
      </c>
      <c r="S280">
        <v>0.369792123497939</v>
      </c>
      <c r="T280" t="s">
        <v>3632</v>
      </c>
      <c r="U280" t="s">
        <v>3633</v>
      </c>
    </row>
    <row r="281" spans="1:21" x14ac:dyDescent="0.25">
      <c r="A281" t="s">
        <v>642</v>
      </c>
      <c r="B281" s="1">
        <v>45096</v>
      </c>
      <c r="C281" t="s">
        <v>643</v>
      </c>
      <c r="D281" t="s">
        <v>30</v>
      </c>
      <c r="E281" t="s">
        <v>169</v>
      </c>
      <c r="F281" t="s">
        <v>68</v>
      </c>
      <c r="G281" t="s">
        <v>69</v>
      </c>
      <c r="H281" t="s">
        <v>305</v>
      </c>
      <c r="I281">
        <v>1</v>
      </c>
      <c r="J281">
        <v>79.09</v>
      </c>
      <c r="K281">
        <v>20</v>
      </c>
      <c r="L281">
        <v>63.27</v>
      </c>
      <c r="M281">
        <v>10.51</v>
      </c>
      <c r="N281">
        <v>13.22</v>
      </c>
      <c r="O281" t="s">
        <v>34</v>
      </c>
      <c r="P281">
        <v>2023</v>
      </c>
      <c r="Q281" t="s">
        <v>3641</v>
      </c>
      <c r="R281">
        <v>50.616</v>
      </c>
      <c r="S281">
        <v>0.26118223486644498</v>
      </c>
      <c r="T281" t="s">
        <v>3634</v>
      </c>
      <c r="U281" t="s">
        <v>3633</v>
      </c>
    </row>
    <row r="282" spans="1:21" x14ac:dyDescent="0.25">
      <c r="A282" t="s">
        <v>644</v>
      </c>
      <c r="B282" s="1">
        <v>45096</v>
      </c>
      <c r="C282" t="s">
        <v>645</v>
      </c>
      <c r="D282" t="s">
        <v>49</v>
      </c>
      <c r="E282" t="s">
        <v>85</v>
      </c>
      <c r="F282" t="s">
        <v>60</v>
      </c>
      <c r="G282" t="s">
        <v>32</v>
      </c>
      <c r="H282" t="s">
        <v>115</v>
      </c>
      <c r="I282">
        <v>2</v>
      </c>
      <c r="J282">
        <v>12.13</v>
      </c>
      <c r="K282">
        <v>15</v>
      </c>
      <c r="L282">
        <v>20.62</v>
      </c>
      <c r="M282">
        <v>12.26</v>
      </c>
      <c r="N282">
        <v>-2.56</v>
      </c>
      <c r="O282" t="s">
        <v>22</v>
      </c>
      <c r="P282">
        <v>2023</v>
      </c>
      <c r="Q282" t="s">
        <v>3641</v>
      </c>
      <c r="R282">
        <v>17.527000000000001</v>
      </c>
      <c r="S282">
        <v>-0.14606036400981301</v>
      </c>
      <c r="T282" t="s">
        <v>3634</v>
      </c>
      <c r="U282" t="s">
        <v>3636</v>
      </c>
    </row>
    <row r="283" spans="1:21" x14ac:dyDescent="0.25">
      <c r="A283" t="s">
        <v>646</v>
      </c>
      <c r="B283" s="1">
        <v>45097</v>
      </c>
      <c r="C283" t="s">
        <v>647</v>
      </c>
      <c r="D283" t="s">
        <v>17</v>
      </c>
      <c r="E283" t="s">
        <v>109</v>
      </c>
      <c r="F283" t="s">
        <v>54</v>
      </c>
      <c r="G283" t="s">
        <v>42</v>
      </c>
      <c r="H283" t="s">
        <v>234</v>
      </c>
      <c r="I283">
        <v>4</v>
      </c>
      <c r="J283">
        <v>42.27</v>
      </c>
      <c r="K283">
        <v>15</v>
      </c>
      <c r="L283">
        <v>143.72</v>
      </c>
      <c r="M283">
        <v>16.600000000000001</v>
      </c>
      <c r="N283">
        <v>25.67</v>
      </c>
      <c r="O283" t="s">
        <v>56</v>
      </c>
      <c r="P283">
        <v>2023</v>
      </c>
      <c r="Q283" t="s">
        <v>3641</v>
      </c>
      <c r="R283">
        <v>122.16200000000001</v>
      </c>
      <c r="S283">
        <v>0.210130809908155</v>
      </c>
      <c r="T283" t="s">
        <v>3632</v>
      </c>
      <c r="U283" t="s">
        <v>3633</v>
      </c>
    </row>
    <row r="284" spans="1:21" x14ac:dyDescent="0.25">
      <c r="A284" t="s">
        <v>648</v>
      </c>
      <c r="B284" s="1">
        <v>45098</v>
      </c>
      <c r="C284" t="s">
        <v>649</v>
      </c>
      <c r="D284" t="s">
        <v>49</v>
      </c>
      <c r="E284" t="s">
        <v>135</v>
      </c>
      <c r="F284" t="s">
        <v>26</v>
      </c>
      <c r="G284" t="s">
        <v>20</v>
      </c>
      <c r="H284" t="s">
        <v>175</v>
      </c>
      <c r="I284">
        <v>3</v>
      </c>
      <c r="J284">
        <v>48.52</v>
      </c>
      <c r="K284">
        <v>15</v>
      </c>
      <c r="L284">
        <v>123.73</v>
      </c>
      <c r="M284">
        <v>13.06</v>
      </c>
      <c r="N284">
        <v>30.61</v>
      </c>
      <c r="O284" t="s">
        <v>34</v>
      </c>
      <c r="P284">
        <v>2023</v>
      </c>
      <c r="Q284" t="s">
        <v>3641</v>
      </c>
      <c r="R284">
        <v>105.1705</v>
      </c>
      <c r="S284">
        <v>0.29105119781687799</v>
      </c>
      <c r="T284" t="s">
        <v>3632</v>
      </c>
      <c r="U284" t="s">
        <v>3633</v>
      </c>
    </row>
    <row r="285" spans="1:21" x14ac:dyDescent="0.25">
      <c r="A285" t="s">
        <v>650</v>
      </c>
      <c r="B285" s="1">
        <v>45099</v>
      </c>
      <c r="C285" t="s">
        <v>651</v>
      </c>
      <c r="D285" t="s">
        <v>17</v>
      </c>
      <c r="E285" t="s">
        <v>31</v>
      </c>
      <c r="F285" t="s">
        <v>19</v>
      </c>
      <c r="G285" t="s">
        <v>69</v>
      </c>
      <c r="H285" t="s">
        <v>196</v>
      </c>
      <c r="I285">
        <v>4</v>
      </c>
      <c r="J285">
        <v>27.6</v>
      </c>
      <c r="K285">
        <v>10</v>
      </c>
      <c r="L285">
        <v>99.36</v>
      </c>
      <c r="M285">
        <v>13.33</v>
      </c>
      <c r="N285">
        <v>30.83</v>
      </c>
      <c r="O285" t="s">
        <v>39</v>
      </c>
      <c r="P285">
        <v>2023</v>
      </c>
      <c r="Q285" t="s">
        <v>3641</v>
      </c>
      <c r="R285">
        <v>89.424000000000007</v>
      </c>
      <c r="S285">
        <v>0.34476203256396498</v>
      </c>
      <c r="T285" t="s">
        <v>3634</v>
      </c>
      <c r="U285" t="s">
        <v>3633</v>
      </c>
    </row>
    <row r="286" spans="1:21" x14ac:dyDescent="0.25">
      <c r="A286" t="s">
        <v>652</v>
      </c>
      <c r="B286" s="1">
        <v>45100</v>
      </c>
      <c r="C286" t="s">
        <v>373</v>
      </c>
      <c r="D286" t="s">
        <v>30</v>
      </c>
      <c r="E286" t="s">
        <v>129</v>
      </c>
      <c r="F286" t="s">
        <v>19</v>
      </c>
      <c r="G286" t="s">
        <v>32</v>
      </c>
      <c r="H286" t="s">
        <v>82</v>
      </c>
      <c r="I286">
        <v>11</v>
      </c>
      <c r="J286">
        <v>23.39</v>
      </c>
      <c r="K286">
        <v>10</v>
      </c>
      <c r="L286">
        <v>231.56</v>
      </c>
      <c r="M286">
        <v>14.23</v>
      </c>
      <c r="N286">
        <v>101.55</v>
      </c>
      <c r="O286" t="s">
        <v>34</v>
      </c>
      <c r="P286">
        <v>2023</v>
      </c>
      <c r="Q286" t="s">
        <v>3641</v>
      </c>
      <c r="R286">
        <v>208.404</v>
      </c>
      <c r="S286">
        <v>0.48727471641619202</v>
      </c>
      <c r="T286" t="s">
        <v>3632</v>
      </c>
      <c r="U286" t="s">
        <v>3633</v>
      </c>
    </row>
    <row r="287" spans="1:21" x14ac:dyDescent="0.25">
      <c r="A287" t="s">
        <v>653</v>
      </c>
      <c r="B287" s="1">
        <v>45100</v>
      </c>
      <c r="C287" t="s">
        <v>165</v>
      </c>
      <c r="D287" t="s">
        <v>17</v>
      </c>
      <c r="E287" t="s">
        <v>109</v>
      </c>
      <c r="F287" t="s">
        <v>54</v>
      </c>
      <c r="G287" t="s">
        <v>69</v>
      </c>
      <c r="H287" t="s">
        <v>196</v>
      </c>
      <c r="I287">
        <v>10</v>
      </c>
      <c r="J287">
        <v>14.57</v>
      </c>
      <c r="K287">
        <v>5</v>
      </c>
      <c r="L287">
        <v>138.41</v>
      </c>
      <c r="M287">
        <v>35.54</v>
      </c>
      <c r="N287">
        <v>30.02</v>
      </c>
      <c r="O287" t="s">
        <v>39</v>
      </c>
      <c r="P287">
        <v>2023</v>
      </c>
      <c r="Q287" t="s">
        <v>3641</v>
      </c>
      <c r="R287">
        <v>131.48949999999999</v>
      </c>
      <c r="S287">
        <v>0.22830720323675999</v>
      </c>
      <c r="T287" t="s">
        <v>3632</v>
      </c>
      <c r="U287" t="s">
        <v>3633</v>
      </c>
    </row>
    <row r="288" spans="1:21" x14ac:dyDescent="0.25">
      <c r="A288" t="s">
        <v>654</v>
      </c>
      <c r="B288" s="1">
        <v>45100</v>
      </c>
      <c r="C288" t="s">
        <v>655</v>
      </c>
      <c r="D288" t="s">
        <v>17</v>
      </c>
      <c r="E288" t="s">
        <v>92</v>
      </c>
      <c r="F288" t="s">
        <v>60</v>
      </c>
      <c r="G288" t="s">
        <v>42</v>
      </c>
      <c r="H288" t="s">
        <v>294</v>
      </c>
      <c r="I288">
        <v>1</v>
      </c>
      <c r="J288">
        <v>250.47</v>
      </c>
      <c r="K288">
        <v>5</v>
      </c>
      <c r="L288">
        <v>237.95</v>
      </c>
      <c r="M288">
        <v>10.78</v>
      </c>
      <c r="N288">
        <v>76.89</v>
      </c>
      <c r="O288" t="s">
        <v>56</v>
      </c>
      <c r="P288">
        <v>2023</v>
      </c>
      <c r="Q288" t="s">
        <v>3641</v>
      </c>
      <c r="R288">
        <v>226.05250000000001</v>
      </c>
      <c r="S288">
        <v>0.34014222359849999</v>
      </c>
      <c r="T288" t="s">
        <v>3632</v>
      </c>
      <c r="U288" t="s">
        <v>3633</v>
      </c>
    </row>
    <row r="289" spans="1:21" x14ac:dyDescent="0.25">
      <c r="A289" t="s">
        <v>656</v>
      </c>
      <c r="B289" s="1">
        <v>45101</v>
      </c>
      <c r="C289" t="s">
        <v>657</v>
      </c>
      <c r="D289" t="s">
        <v>30</v>
      </c>
      <c r="E289" t="s">
        <v>166</v>
      </c>
      <c r="F289" t="s">
        <v>60</v>
      </c>
      <c r="G289" t="s">
        <v>20</v>
      </c>
      <c r="H289" t="s">
        <v>264</v>
      </c>
      <c r="I289">
        <v>7</v>
      </c>
      <c r="J289">
        <v>57.98</v>
      </c>
      <c r="K289">
        <v>15</v>
      </c>
      <c r="L289">
        <v>344.98</v>
      </c>
      <c r="M289">
        <v>16.8</v>
      </c>
      <c r="N289">
        <v>104.96</v>
      </c>
      <c r="O289" t="s">
        <v>39</v>
      </c>
      <c r="P289">
        <v>2023</v>
      </c>
      <c r="Q289" t="s">
        <v>3641</v>
      </c>
      <c r="R289">
        <v>293.233</v>
      </c>
      <c r="S289">
        <v>0.35794061377812197</v>
      </c>
      <c r="T289" t="s">
        <v>3632</v>
      </c>
      <c r="U289" t="s">
        <v>3633</v>
      </c>
    </row>
    <row r="290" spans="1:21" x14ac:dyDescent="0.25">
      <c r="A290" t="s">
        <v>658</v>
      </c>
      <c r="B290" s="1">
        <v>45103</v>
      </c>
      <c r="C290" t="s">
        <v>659</v>
      </c>
      <c r="D290" t="s">
        <v>30</v>
      </c>
      <c r="E290" t="s">
        <v>63</v>
      </c>
      <c r="F290" t="s">
        <v>54</v>
      </c>
      <c r="G290" t="s">
        <v>32</v>
      </c>
      <c r="H290" t="s">
        <v>115</v>
      </c>
      <c r="I290">
        <v>1</v>
      </c>
      <c r="J290">
        <v>19.940000000000001</v>
      </c>
      <c r="K290">
        <v>10</v>
      </c>
      <c r="L290">
        <v>17.95</v>
      </c>
      <c r="M290">
        <v>11.66</v>
      </c>
      <c r="N290">
        <v>-2.68</v>
      </c>
      <c r="O290" t="s">
        <v>34</v>
      </c>
      <c r="P290">
        <v>2023</v>
      </c>
      <c r="Q290" t="s">
        <v>3641</v>
      </c>
      <c r="R290">
        <v>16.155000000000001</v>
      </c>
      <c r="S290">
        <v>-0.165892912411018</v>
      </c>
      <c r="T290" t="s">
        <v>3634</v>
      </c>
      <c r="U290" t="s">
        <v>3636</v>
      </c>
    </row>
    <row r="291" spans="1:21" x14ac:dyDescent="0.25">
      <c r="A291" t="s">
        <v>660</v>
      </c>
      <c r="B291" s="1">
        <v>45104</v>
      </c>
      <c r="C291" t="s">
        <v>661</v>
      </c>
      <c r="D291" t="s">
        <v>17</v>
      </c>
      <c r="E291" t="s">
        <v>135</v>
      </c>
      <c r="F291" t="s">
        <v>26</v>
      </c>
      <c r="G291" t="s">
        <v>69</v>
      </c>
      <c r="H291" t="s">
        <v>243</v>
      </c>
      <c r="I291">
        <v>3</v>
      </c>
      <c r="J291">
        <v>45.1</v>
      </c>
      <c r="K291">
        <v>10</v>
      </c>
      <c r="L291">
        <v>121.77</v>
      </c>
      <c r="M291">
        <v>14.28</v>
      </c>
      <c r="N291">
        <v>39.840000000000003</v>
      </c>
      <c r="O291" t="s">
        <v>34</v>
      </c>
      <c r="P291">
        <v>2023</v>
      </c>
      <c r="Q291" t="s">
        <v>3641</v>
      </c>
      <c r="R291">
        <v>109.593</v>
      </c>
      <c r="S291">
        <v>0.363526867591908</v>
      </c>
      <c r="T291" t="s">
        <v>3632</v>
      </c>
      <c r="U291" t="s">
        <v>3633</v>
      </c>
    </row>
    <row r="292" spans="1:21" x14ac:dyDescent="0.25">
      <c r="A292" t="s">
        <v>662</v>
      </c>
      <c r="B292" s="1">
        <v>45104</v>
      </c>
      <c r="C292" t="s">
        <v>663</v>
      </c>
      <c r="D292" t="s">
        <v>17</v>
      </c>
      <c r="E292" t="s">
        <v>37</v>
      </c>
      <c r="F292" t="s">
        <v>26</v>
      </c>
      <c r="G292" t="s">
        <v>32</v>
      </c>
      <c r="H292" t="s">
        <v>115</v>
      </c>
      <c r="I292">
        <v>2</v>
      </c>
      <c r="J292">
        <v>10.66</v>
      </c>
      <c r="K292">
        <v>10</v>
      </c>
      <c r="L292">
        <v>19.190000000000001</v>
      </c>
      <c r="M292">
        <v>11.01</v>
      </c>
      <c r="N292">
        <v>-1.41</v>
      </c>
      <c r="O292" t="s">
        <v>22</v>
      </c>
      <c r="P292">
        <v>2023</v>
      </c>
      <c r="Q292" t="s">
        <v>3641</v>
      </c>
      <c r="R292">
        <v>17.271000000000001</v>
      </c>
      <c r="S292">
        <v>-8.1639742921660596E-2</v>
      </c>
      <c r="T292" t="s">
        <v>3634</v>
      </c>
      <c r="U292" t="s">
        <v>3636</v>
      </c>
    </row>
    <row r="293" spans="1:21" x14ac:dyDescent="0.25">
      <c r="A293" t="s">
        <v>664</v>
      </c>
      <c r="B293" s="1">
        <v>45104</v>
      </c>
      <c r="C293" t="s">
        <v>665</v>
      </c>
      <c r="D293" t="s">
        <v>30</v>
      </c>
      <c r="E293" t="s">
        <v>109</v>
      </c>
      <c r="F293" t="s">
        <v>54</v>
      </c>
      <c r="G293" t="s">
        <v>69</v>
      </c>
      <c r="H293" t="s">
        <v>160</v>
      </c>
      <c r="I293">
        <v>1</v>
      </c>
      <c r="J293">
        <v>26.53</v>
      </c>
      <c r="K293">
        <v>0</v>
      </c>
      <c r="L293">
        <v>26.53</v>
      </c>
      <c r="M293">
        <v>13.43</v>
      </c>
      <c r="N293">
        <v>-0.16</v>
      </c>
      <c r="O293" t="s">
        <v>22</v>
      </c>
      <c r="P293">
        <v>2023</v>
      </c>
      <c r="Q293" t="s">
        <v>3641</v>
      </c>
      <c r="R293">
        <v>26.53</v>
      </c>
      <c r="S293">
        <v>-6.0309084055785904E-3</v>
      </c>
      <c r="T293" t="s">
        <v>3634</v>
      </c>
      <c r="U293" t="s">
        <v>3636</v>
      </c>
    </row>
    <row r="294" spans="1:21" x14ac:dyDescent="0.25">
      <c r="A294" t="s">
        <v>666</v>
      </c>
      <c r="B294" s="1">
        <v>45104</v>
      </c>
      <c r="C294" t="s">
        <v>667</v>
      </c>
      <c r="D294" t="s">
        <v>30</v>
      </c>
      <c r="E294" t="s">
        <v>63</v>
      </c>
      <c r="F294" t="s">
        <v>54</v>
      </c>
      <c r="G294" t="s">
        <v>42</v>
      </c>
      <c r="H294" t="s">
        <v>118</v>
      </c>
      <c r="I294">
        <v>5</v>
      </c>
      <c r="J294">
        <v>94.63</v>
      </c>
      <c r="K294">
        <v>0</v>
      </c>
      <c r="L294">
        <v>473.15</v>
      </c>
      <c r="M294">
        <v>18.91</v>
      </c>
      <c r="N294">
        <v>170.35</v>
      </c>
      <c r="O294" t="s">
        <v>34</v>
      </c>
      <c r="P294">
        <v>2023</v>
      </c>
      <c r="Q294" t="s">
        <v>3641</v>
      </c>
      <c r="R294">
        <v>473.15</v>
      </c>
      <c r="S294">
        <v>0.36003381591461497</v>
      </c>
      <c r="T294" t="s">
        <v>3632</v>
      </c>
      <c r="U294" t="s">
        <v>3633</v>
      </c>
    </row>
    <row r="295" spans="1:21" x14ac:dyDescent="0.25">
      <c r="A295" t="s">
        <v>668</v>
      </c>
      <c r="B295" s="1">
        <v>45105</v>
      </c>
      <c r="C295" t="s">
        <v>669</v>
      </c>
      <c r="D295" t="s">
        <v>30</v>
      </c>
      <c r="E295" t="s">
        <v>37</v>
      </c>
      <c r="F295" t="s">
        <v>26</v>
      </c>
      <c r="G295" t="s">
        <v>69</v>
      </c>
      <c r="H295" t="s">
        <v>305</v>
      </c>
      <c r="I295">
        <v>2</v>
      </c>
      <c r="J295">
        <v>30.06</v>
      </c>
      <c r="K295">
        <v>10</v>
      </c>
      <c r="L295">
        <v>54.11</v>
      </c>
      <c r="M295">
        <v>11.77</v>
      </c>
      <c r="N295">
        <v>12.28</v>
      </c>
      <c r="O295" t="s">
        <v>22</v>
      </c>
      <c r="P295">
        <v>2023</v>
      </c>
      <c r="Q295" t="s">
        <v>3641</v>
      </c>
      <c r="R295">
        <v>48.698999999999998</v>
      </c>
      <c r="S295">
        <v>0.25216123534364199</v>
      </c>
      <c r="T295" t="s">
        <v>3634</v>
      </c>
      <c r="U295" t="s">
        <v>3633</v>
      </c>
    </row>
    <row r="296" spans="1:21" x14ac:dyDescent="0.25">
      <c r="A296" t="s">
        <v>670</v>
      </c>
      <c r="B296" s="1">
        <v>45105</v>
      </c>
      <c r="C296" t="s">
        <v>277</v>
      </c>
      <c r="D296" t="s">
        <v>17</v>
      </c>
      <c r="E296" t="s">
        <v>129</v>
      </c>
      <c r="F296" t="s">
        <v>19</v>
      </c>
      <c r="G296" t="s">
        <v>69</v>
      </c>
      <c r="H296" t="s">
        <v>243</v>
      </c>
      <c r="I296">
        <v>3</v>
      </c>
      <c r="J296">
        <v>40.18</v>
      </c>
      <c r="K296">
        <v>0</v>
      </c>
      <c r="L296">
        <v>120.54</v>
      </c>
      <c r="M296">
        <v>12.31</v>
      </c>
      <c r="N296">
        <v>47.96</v>
      </c>
      <c r="O296" t="s">
        <v>22</v>
      </c>
      <c r="P296">
        <v>2023</v>
      </c>
      <c r="Q296" t="s">
        <v>3641</v>
      </c>
      <c r="R296">
        <v>120.54</v>
      </c>
      <c r="S296">
        <v>0.39787622366019598</v>
      </c>
      <c r="T296" t="s">
        <v>3632</v>
      </c>
      <c r="U296" t="s">
        <v>3633</v>
      </c>
    </row>
    <row r="297" spans="1:21" x14ac:dyDescent="0.25">
      <c r="A297" t="s">
        <v>671</v>
      </c>
      <c r="B297" s="1">
        <v>45106</v>
      </c>
      <c r="C297" t="s">
        <v>672</v>
      </c>
      <c r="D297" t="s">
        <v>30</v>
      </c>
      <c r="E297" t="s">
        <v>129</v>
      </c>
      <c r="F297" t="s">
        <v>19</v>
      </c>
      <c r="G297" t="s">
        <v>20</v>
      </c>
      <c r="H297" t="s">
        <v>38</v>
      </c>
      <c r="I297">
        <v>9</v>
      </c>
      <c r="J297">
        <v>74.430000000000007</v>
      </c>
      <c r="K297">
        <v>10</v>
      </c>
      <c r="L297">
        <v>602.88</v>
      </c>
      <c r="M297">
        <v>11.59</v>
      </c>
      <c r="N297">
        <v>222.86</v>
      </c>
      <c r="O297" t="s">
        <v>34</v>
      </c>
      <c r="P297">
        <v>2023</v>
      </c>
      <c r="Q297" t="s">
        <v>3641</v>
      </c>
      <c r="R297">
        <v>542.59199999999998</v>
      </c>
      <c r="S297">
        <v>0.41073218919556498</v>
      </c>
      <c r="T297" t="s">
        <v>3635</v>
      </c>
      <c r="U297" t="s">
        <v>3633</v>
      </c>
    </row>
    <row r="298" spans="1:21" x14ac:dyDescent="0.25">
      <c r="A298" t="s">
        <v>673</v>
      </c>
      <c r="B298" s="1">
        <v>45106</v>
      </c>
      <c r="C298" t="s">
        <v>674</v>
      </c>
      <c r="D298" t="s">
        <v>30</v>
      </c>
      <c r="E298" t="s">
        <v>85</v>
      </c>
      <c r="F298" t="s">
        <v>60</v>
      </c>
      <c r="G298" t="s">
        <v>69</v>
      </c>
      <c r="H298" t="s">
        <v>163</v>
      </c>
      <c r="I298">
        <v>1</v>
      </c>
      <c r="J298">
        <v>24.48</v>
      </c>
      <c r="K298">
        <v>20</v>
      </c>
      <c r="L298">
        <v>19.579999999999998</v>
      </c>
      <c r="M298">
        <v>9.7100000000000009</v>
      </c>
      <c r="N298">
        <v>-2.37</v>
      </c>
      <c r="O298" t="s">
        <v>56</v>
      </c>
      <c r="P298">
        <v>2023</v>
      </c>
      <c r="Q298" t="s">
        <v>3641</v>
      </c>
      <c r="R298">
        <v>15.664</v>
      </c>
      <c r="S298">
        <v>-0.15130234933605699</v>
      </c>
      <c r="T298" t="s">
        <v>3634</v>
      </c>
      <c r="U298" t="s">
        <v>3636</v>
      </c>
    </row>
    <row r="299" spans="1:21" x14ac:dyDescent="0.25">
      <c r="A299" t="s">
        <v>675</v>
      </c>
      <c r="B299" s="1">
        <v>45108</v>
      </c>
      <c r="C299" t="s">
        <v>676</v>
      </c>
      <c r="D299" t="s">
        <v>17</v>
      </c>
      <c r="E299" t="s">
        <v>25</v>
      </c>
      <c r="F299" t="s">
        <v>26</v>
      </c>
      <c r="G299" t="s">
        <v>20</v>
      </c>
      <c r="H299" t="s">
        <v>55</v>
      </c>
      <c r="I299">
        <v>3</v>
      </c>
      <c r="J299">
        <v>62.62</v>
      </c>
      <c r="K299">
        <v>10</v>
      </c>
      <c r="L299">
        <v>169.07</v>
      </c>
      <c r="M299">
        <v>12.18</v>
      </c>
      <c r="N299">
        <v>53.57</v>
      </c>
      <c r="O299" t="s">
        <v>22</v>
      </c>
      <c r="P299">
        <v>2023</v>
      </c>
      <c r="Q299" t="s">
        <v>3642</v>
      </c>
      <c r="R299">
        <v>152.16300000000001</v>
      </c>
      <c r="S299">
        <v>0.35205667606448299</v>
      </c>
      <c r="T299" t="s">
        <v>3632</v>
      </c>
      <c r="U299" t="s">
        <v>3633</v>
      </c>
    </row>
    <row r="300" spans="1:21" x14ac:dyDescent="0.25">
      <c r="A300" t="s">
        <v>677</v>
      </c>
      <c r="B300" s="1">
        <v>45108</v>
      </c>
      <c r="C300" t="s">
        <v>678</v>
      </c>
      <c r="D300" t="s">
        <v>49</v>
      </c>
      <c r="E300" t="s">
        <v>92</v>
      </c>
      <c r="F300" t="s">
        <v>60</v>
      </c>
      <c r="G300" t="s">
        <v>20</v>
      </c>
      <c r="H300" t="s">
        <v>122</v>
      </c>
      <c r="I300">
        <v>3</v>
      </c>
      <c r="J300">
        <v>97.31</v>
      </c>
      <c r="K300">
        <v>10</v>
      </c>
      <c r="L300">
        <v>262.74</v>
      </c>
      <c r="M300">
        <v>15.03</v>
      </c>
      <c r="N300">
        <v>87.15</v>
      </c>
      <c r="O300" t="s">
        <v>34</v>
      </c>
      <c r="P300">
        <v>2023</v>
      </c>
      <c r="Q300" t="s">
        <v>3642</v>
      </c>
      <c r="R300">
        <v>236.46600000000001</v>
      </c>
      <c r="S300">
        <v>0.36855192712694401</v>
      </c>
      <c r="T300" t="s">
        <v>3632</v>
      </c>
      <c r="U300" t="s">
        <v>3633</v>
      </c>
    </row>
    <row r="301" spans="1:21" x14ac:dyDescent="0.25">
      <c r="A301" t="s">
        <v>679</v>
      </c>
      <c r="B301" s="1">
        <v>45108</v>
      </c>
      <c r="C301" t="s">
        <v>680</v>
      </c>
      <c r="D301" t="s">
        <v>30</v>
      </c>
      <c r="E301" t="s">
        <v>92</v>
      </c>
      <c r="F301" t="s">
        <v>60</v>
      </c>
      <c r="G301" t="s">
        <v>32</v>
      </c>
      <c r="H301" t="s">
        <v>132</v>
      </c>
      <c r="I301">
        <v>5</v>
      </c>
      <c r="J301">
        <v>18.79</v>
      </c>
      <c r="K301">
        <v>10</v>
      </c>
      <c r="L301">
        <v>84.55</v>
      </c>
      <c r="M301">
        <v>15.23</v>
      </c>
      <c r="N301">
        <v>27.04</v>
      </c>
      <c r="O301" t="s">
        <v>39</v>
      </c>
      <c r="P301">
        <v>2023</v>
      </c>
      <c r="Q301" t="s">
        <v>3642</v>
      </c>
      <c r="R301">
        <v>76.094999999999999</v>
      </c>
      <c r="S301">
        <v>0.35534529206912402</v>
      </c>
      <c r="T301" t="s">
        <v>3634</v>
      </c>
      <c r="U301" t="s">
        <v>3633</v>
      </c>
    </row>
    <row r="302" spans="1:21" x14ac:dyDescent="0.25">
      <c r="A302" t="s">
        <v>681</v>
      </c>
      <c r="B302" s="1">
        <v>45108</v>
      </c>
      <c r="C302" t="s">
        <v>682</v>
      </c>
      <c r="D302" t="s">
        <v>30</v>
      </c>
      <c r="E302" t="s">
        <v>109</v>
      </c>
      <c r="F302" t="s">
        <v>54</v>
      </c>
      <c r="G302" t="s">
        <v>42</v>
      </c>
      <c r="H302" t="s">
        <v>89</v>
      </c>
      <c r="I302">
        <v>1</v>
      </c>
      <c r="J302">
        <v>192.58</v>
      </c>
      <c r="K302">
        <v>20</v>
      </c>
      <c r="L302">
        <v>154.06</v>
      </c>
      <c r="M302">
        <v>12.06</v>
      </c>
      <c r="N302">
        <v>26.45</v>
      </c>
      <c r="O302" t="s">
        <v>39</v>
      </c>
      <c r="P302">
        <v>2023</v>
      </c>
      <c r="Q302" t="s">
        <v>3642</v>
      </c>
      <c r="R302">
        <v>123.248</v>
      </c>
      <c r="S302">
        <v>0.21460794495651001</v>
      </c>
      <c r="T302" t="s">
        <v>3632</v>
      </c>
      <c r="U302" t="s">
        <v>3633</v>
      </c>
    </row>
    <row r="303" spans="1:21" x14ac:dyDescent="0.25">
      <c r="A303" t="s">
        <v>683</v>
      </c>
      <c r="B303" s="1">
        <v>45108</v>
      </c>
      <c r="C303" t="s">
        <v>684</v>
      </c>
      <c r="D303" t="s">
        <v>17</v>
      </c>
      <c r="E303" t="s">
        <v>31</v>
      </c>
      <c r="F303" t="s">
        <v>19</v>
      </c>
      <c r="G303" t="s">
        <v>69</v>
      </c>
      <c r="H303" t="s">
        <v>163</v>
      </c>
      <c r="I303">
        <v>3</v>
      </c>
      <c r="J303">
        <v>48.59</v>
      </c>
      <c r="K303">
        <v>15</v>
      </c>
      <c r="L303">
        <v>123.9</v>
      </c>
      <c r="M303">
        <v>9.9</v>
      </c>
      <c r="N303">
        <v>41.12</v>
      </c>
      <c r="O303" t="s">
        <v>34</v>
      </c>
      <c r="P303">
        <v>2023</v>
      </c>
      <c r="Q303" t="s">
        <v>3642</v>
      </c>
      <c r="R303">
        <v>105.315</v>
      </c>
      <c r="S303">
        <v>0.39044770450553101</v>
      </c>
      <c r="T303" t="s">
        <v>3632</v>
      </c>
      <c r="U303" t="s">
        <v>3633</v>
      </c>
    </row>
    <row r="304" spans="1:21" x14ac:dyDescent="0.25">
      <c r="A304" t="s">
        <v>685</v>
      </c>
      <c r="B304" s="1">
        <v>45110</v>
      </c>
      <c r="C304" t="s">
        <v>279</v>
      </c>
      <c r="D304" t="s">
        <v>30</v>
      </c>
      <c r="E304" t="s">
        <v>166</v>
      </c>
      <c r="F304" t="s">
        <v>60</v>
      </c>
      <c r="G304" t="s">
        <v>20</v>
      </c>
      <c r="H304" t="s">
        <v>106</v>
      </c>
      <c r="I304">
        <v>2</v>
      </c>
      <c r="J304">
        <v>46.18</v>
      </c>
      <c r="K304">
        <v>5</v>
      </c>
      <c r="L304">
        <v>87.74</v>
      </c>
      <c r="M304">
        <v>12.38</v>
      </c>
      <c r="N304">
        <v>24.56</v>
      </c>
      <c r="O304" t="s">
        <v>34</v>
      </c>
      <c r="P304">
        <v>2023</v>
      </c>
      <c r="Q304" t="s">
        <v>3642</v>
      </c>
      <c r="R304">
        <v>83.352999999999994</v>
      </c>
      <c r="S304">
        <v>0.29465046249085203</v>
      </c>
      <c r="T304" t="s">
        <v>3634</v>
      </c>
      <c r="U304" t="s">
        <v>3633</v>
      </c>
    </row>
    <row r="305" spans="1:21" x14ac:dyDescent="0.25">
      <c r="A305" t="s">
        <v>686</v>
      </c>
      <c r="B305" s="1">
        <v>45110</v>
      </c>
      <c r="C305" t="s">
        <v>439</v>
      </c>
      <c r="D305" t="s">
        <v>17</v>
      </c>
      <c r="E305" t="s">
        <v>63</v>
      </c>
      <c r="F305" t="s">
        <v>54</v>
      </c>
      <c r="G305" t="s">
        <v>42</v>
      </c>
      <c r="H305" t="s">
        <v>43</v>
      </c>
      <c r="I305">
        <v>7</v>
      </c>
      <c r="J305">
        <v>309.68</v>
      </c>
      <c r="K305">
        <v>20</v>
      </c>
      <c r="L305">
        <v>1734.21</v>
      </c>
      <c r="M305">
        <v>19.940000000000001</v>
      </c>
      <c r="N305">
        <v>413.61</v>
      </c>
      <c r="O305" t="s">
        <v>34</v>
      </c>
      <c r="P305">
        <v>2023</v>
      </c>
      <c r="Q305" t="s">
        <v>3642</v>
      </c>
      <c r="R305">
        <v>1387.3679999999999</v>
      </c>
      <c r="S305">
        <v>0.29812565952220299</v>
      </c>
      <c r="T305" t="s">
        <v>3635</v>
      </c>
      <c r="U305" t="s">
        <v>3633</v>
      </c>
    </row>
    <row r="306" spans="1:21" x14ac:dyDescent="0.25">
      <c r="A306" t="s">
        <v>687</v>
      </c>
      <c r="B306" s="1">
        <v>45111</v>
      </c>
      <c r="C306" t="s">
        <v>688</v>
      </c>
      <c r="D306" t="s">
        <v>49</v>
      </c>
      <c r="E306" t="s">
        <v>138</v>
      </c>
      <c r="F306" t="s">
        <v>54</v>
      </c>
      <c r="G306" t="s">
        <v>42</v>
      </c>
      <c r="H306" t="s">
        <v>255</v>
      </c>
      <c r="I306">
        <v>1</v>
      </c>
      <c r="J306">
        <v>24.14</v>
      </c>
      <c r="K306">
        <v>0</v>
      </c>
      <c r="L306">
        <v>24.14</v>
      </c>
      <c r="M306">
        <v>13.18</v>
      </c>
      <c r="N306">
        <v>-3.52</v>
      </c>
      <c r="O306" t="s">
        <v>34</v>
      </c>
      <c r="P306">
        <v>2023</v>
      </c>
      <c r="Q306" t="s">
        <v>3642</v>
      </c>
      <c r="R306">
        <v>24.14</v>
      </c>
      <c r="S306">
        <v>-0.145816072908036</v>
      </c>
      <c r="T306" t="s">
        <v>3634</v>
      </c>
      <c r="U306" t="s">
        <v>3636</v>
      </c>
    </row>
    <row r="307" spans="1:21" x14ac:dyDescent="0.25">
      <c r="A307" t="s">
        <v>689</v>
      </c>
      <c r="B307" s="1">
        <v>45112</v>
      </c>
      <c r="C307" t="s">
        <v>690</v>
      </c>
      <c r="D307" t="s">
        <v>49</v>
      </c>
      <c r="E307" t="s">
        <v>31</v>
      </c>
      <c r="F307" t="s">
        <v>19</v>
      </c>
      <c r="G307" t="s">
        <v>32</v>
      </c>
      <c r="H307" t="s">
        <v>101</v>
      </c>
      <c r="I307">
        <v>4</v>
      </c>
      <c r="J307">
        <v>15.95</v>
      </c>
      <c r="K307">
        <v>15</v>
      </c>
      <c r="L307">
        <v>54.23</v>
      </c>
      <c r="M307">
        <v>8.6199999999999992</v>
      </c>
      <c r="N307">
        <v>16.899999999999999</v>
      </c>
      <c r="O307" t="s">
        <v>22</v>
      </c>
      <c r="P307">
        <v>2023</v>
      </c>
      <c r="Q307" t="s">
        <v>3642</v>
      </c>
      <c r="R307">
        <v>46.095500000000001</v>
      </c>
      <c r="S307">
        <v>0.366630148279116</v>
      </c>
      <c r="T307" t="s">
        <v>3634</v>
      </c>
      <c r="U307" t="s">
        <v>3633</v>
      </c>
    </row>
    <row r="308" spans="1:21" x14ac:dyDescent="0.25">
      <c r="A308" t="s">
        <v>691</v>
      </c>
      <c r="B308" s="1">
        <v>45113</v>
      </c>
      <c r="C308" t="s">
        <v>692</v>
      </c>
      <c r="D308" t="s">
        <v>49</v>
      </c>
      <c r="E308" t="s">
        <v>129</v>
      </c>
      <c r="F308" t="s">
        <v>19</v>
      </c>
      <c r="G308" t="s">
        <v>32</v>
      </c>
      <c r="H308" t="s">
        <v>149</v>
      </c>
      <c r="I308">
        <v>1</v>
      </c>
      <c r="J308">
        <v>6.99</v>
      </c>
      <c r="K308">
        <v>10</v>
      </c>
      <c r="L308">
        <v>6.29</v>
      </c>
      <c r="M308">
        <v>6.69</v>
      </c>
      <c r="N308">
        <v>-3.55</v>
      </c>
      <c r="O308" t="s">
        <v>34</v>
      </c>
      <c r="P308">
        <v>2023</v>
      </c>
      <c r="Q308" t="s">
        <v>3642</v>
      </c>
      <c r="R308">
        <v>5.6609999999999996</v>
      </c>
      <c r="S308">
        <v>-0.62709768592121495</v>
      </c>
      <c r="T308" t="s">
        <v>3634</v>
      </c>
      <c r="U308" t="s">
        <v>3636</v>
      </c>
    </row>
    <row r="309" spans="1:21" x14ac:dyDescent="0.25">
      <c r="A309" t="s">
        <v>693</v>
      </c>
      <c r="B309" s="1">
        <v>45113</v>
      </c>
      <c r="C309" t="s">
        <v>694</v>
      </c>
      <c r="D309" t="s">
        <v>17</v>
      </c>
      <c r="E309" t="s">
        <v>18</v>
      </c>
      <c r="F309" t="s">
        <v>19</v>
      </c>
      <c r="G309" t="s">
        <v>32</v>
      </c>
      <c r="H309" t="s">
        <v>132</v>
      </c>
      <c r="I309">
        <v>2</v>
      </c>
      <c r="J309">
        <v>19.72</v>
      </c>
      <c r="K309">
        <v>10</v>
      </c>
      <c r="L309">
        <v>35.5</v>
      </c>
      <c r="M309">
        <v>6.38</v>
      </c>
      <c r="N309">
        <v>11.37</v>
      </c>
      <c r="O309" t="s">
        <v>56</v>
      </c>
      <c r="P309">
        <v>2023</v>
      </c>
      <c r="Q309" t="s">
        <v>3642</v>
      </c>
      <c r="R309">
        <v>31.95</v>
      </c>
      <c r="S309">
        <v>0.35586854460093897</v>
      </c>
      <c r="T309" t="s">
        <v>3634</v>
      </c>
      <c r="U309" t="s">
        <v>3633</v>
      </c>
    </row>
    <row r="310" spans="1:21" x14ac:dyDescent="0.25">
      <c r="A310" t="s">
        <v>695</v>
      </c>
      <c r="B310" s="1">
        <v>45113</v>
      </c>
      <c r="C310" t="s">
        <v>696</v>
      </c>
      <c r="D310" t="s">
        <v>49</v>
      </c>
      <c r="E310" t="s">
        <v>85</v>
      </c>
      <c r="F310" t="s">
        <v>60</v>
      </c>
      <c r="G310" t="s">
        <v>42</v>
      </c>
      <c r="H310" t="s">
        <v>46</v>
      </c>
      <c r="I310">
        <v>4</v>
      </c>
      <c r="J310">
        <v>194.07</v>
      </c>
      <c r="K310">
        <v>0</v>
      </c>
      <c r="L310">
        <v>776.28</v>
      </c>
      <c r="M310">
        <v>11.42</v>
      </c>
      <c r="N310">
        <v>299.08999999999997</v>
      </c>
      <c r="O310" t="s">
        <v>34</v>
      </c>
      <c r="P310">
        <v>2023</v>
      </c>
      <c r="Q310" t="s">
        <v>3642</v>
      </c>
      <c r="R310">
        <v>776.28</v>
      </c>
      <c r="S310">
        <v>0.385286236924821</v>
      </c>
      <c r="T310" t="s">
        <v>3635</v>
      </c>
      <c r="U310" t="s">
        <v>3633</v>
      </c>
    </row>
    <row r="311" spans="1:21" x14ac:dyDescent="0.25">
      <c r="A311" t="s">
        <v>697</v>
      </c>
      <c r="B311" s="1">
        <v>45113</v>
      </c>
      <c r="C311" t="s">
        <v>698</v>
      </c>
      <c r="D311" t="s">
        <v>17</v>
      </c>
      <c r="E311" t="s">
        <v>31</v>
      </c>
      <c r="F311" t="s">
        <v>19</v>
      </c>
      <c r="G311" t="s">
        <v>20</v>
      </c>
      <c r="H311" t="s">
        <v>106</v>
      </c>
      <c r="I311">
        <v>2</v>
      </c>
      <c r="J311">
        <v>52.02</v>
      </c>
      <c r="K311">
        <v>15</v>
      </c>
      <c r="L311">
        <v>88.43</v>
      </c>
      <c r="M311">
        <v>7.14</v>
      </c>
      <c r="N311">
        <v>24.07</v>
      </c>
      <c r="O311" t="s">
        <v>39</v>
      </c>
      <c r="P311">
        <v>2023</v>
      </c>
      <c r="Q311" t="s">
        <v>3642</v>
      </c>
      <c r="R311">
        <v>75.165499999999994</v>
      </c>
      <c r="S311">
        <v>0.32022669974922002</v>
      </c>
      <c r="T311" t="s">
        <v>3634</v>
      </c>
      <c r="U311" t="s">
        <v>3633</v>
      </c>
    </row>
    <row r="312" spans="1:21" x14ac:dyDescent="0.25">
      <c r="A312" t="s">
        <v>699</v>
      </c>
      <c r="B312" s="1">
        <v>45114</v>
      </c>
      <c r="C312" t="s">
        <v>669</v>
      </c>
      <c r="D312" t="s">
        <v>49</v>
      </c>
      <c r="E312" t="s">
        <v>121</v>
      </c>
      <c r="F312" t="s">
        <v>68</v>
      </c>
      <c r="G312" t="s">
        <v>32</v>
      </c>
      <c r="H312" t="s">
        <v>132</v>
      </c>
      <c r="I312">
        <v>1</v>
      </c>
      <c r="J312">
        <v>19.62</v>
      </c>
      <c r="K312">
        <v>5</v>
      </c>
      <c r="L312">
        <v>18.64</v>
      </c>
      <c r="M312">
        <v>12.48</v>
      </c>
      <c r="N312">
        <v>-2.67</v>
      </c>
      <c r="O312" t="s">
        <v>56</v>
      </c>
      <c r="P312">
        <v>2023</v>
      </c>
      <c r="Q312" t="s">
        <v>3642</v>
      </c>
      <c r="R312">
        <v>17.707999999999998</v>
      </c>
      <c r="S312">
        <v>-0.150779308786989</v>
      </c>
      <c r="T312" t="s">
        <v>3634</v>
      </c>
      <c r="U312" t="s">
        <v>3636</v>
      </c>
    </row>
    <row r="313" spans="1:21" x14ac:dyDescent="0.25">
      <c r="A313" t="s">
        <v>700</v>
      </c>
      <c r="B313" s="1">
        <v>45114</v>
      </c>
      <c r="C313" t="s">
        <v>701</v>
      </c>
      <c r="D313" t="s">
        <v>30</v>
      </c>
      <c r="E313" t="s">
        <v>37</v>
      </c>
      <c r="F313" t="s">
        <v>26</v>
      </c>
      <c r="G313" t="s">
        <v>69</v>
      </c>
      <c r="H313" t="s">
        <v>160</v>
      </c>
      <c r="I313">
        <v>7</v>
      </c>
      <c r="J313">
        <v>43.03</v>
      </c>
      <c r="K313">
        <v>20</v>
      </c>
      <c r="L313">
        <v>240.97</v>
      </c>
      <c r="M313">
        <v>16.309999999999999</v>
      </c>
      <c r="N313">
        <v>74.05</v>
      </c>
      <c r="O313" t="s">
        <v>34</v>
      </c>
      <c r="P313">
        <v>2023</v>
      </c>
      <c r="Q313" t="s">
        <v>3642</v>
      </c>
      <c r="R313">
        <v>192.77600000000001</v>
      </c>
      <c r="S313">
        <v>0.38412457982321402</v>
      </c>
      <c r="T313" t="s">
        <v>3632</v>
      </c>
      <c r="U313" t="s">
        <v>3633</v>
      </c>
    </row>
    <row r="314" spans="1:21" x14ac:dyDescent="0.25">
      <c r="A314" t="s">
        <v>702</v>
      </c>
      <c r="B314" s="1">
        <v>45115</v>
      </c>
      <c r="C314" t="s">
        <v>703</v>
      </c>
      <c r="D314" t="s">
        <v>49</v>
      </c>
      <c r="E314" t="s">
        <v>25</v>
      </c>
      <c r="F314" t="s">
        <v>26</v>
      </c>
      <c r="G314" t="s">
        <v>20</v>
      </c>
      <c r="H314" t="s">
        <v>55</v>
      </c>
      <c r="I314">
        <v>5</v>
      </c>
      <c r="J314">
        <v>50.01</v>
      </c>
      <c r="K314">
        <v>0</v>
      </c>
      <c r="L314">
        <v>250.05</v>
      </c>
      <c r="M314">
        <v>19.34</v>
      </c>
      <c r="N314">
        <v>93.18</v>
      </c>
      <c r="O314" t="s">
        <v>34</v>
      </c>
      <c r="P314">
        <v>2023</v>
      </c>
      <c r="Q314" t="s">
        <v>3642</v>
      </c>
      <c r="R314">
        <v>250.05</v>
      </c>
      <c r="S314">
        <v>0.37264547090581901</v>
      </c>
      <c r="T314" t="s">
        <v>3632</v>
      </c>
      <c r="U314" t="s">
        <v>3633</v>
      </c>
    </row>
    <row r="315" spans="1:21" x14ac:dyDescent="0.25">
      <c r="A315" t="s">
        <v>704</v>
      </c>
      <c r="B315" s="1">
        <v>45116</v>
      </c>
      <c r="C315" t="s">
        <v>266</v>
      </c>
      <c r="D315" t="s">
        <v>30</v>
      </c>
      <c r="E315" t="s">
        <v>85</v>
      </c>
      <c r="F315" t="s">
        <v>60</v>
      </c>
      <c r="G315" t="s">
        <v>42</v>
      </c>
      <c r="H315" t="s">
        <v>255</v>
      </c>
      <c r="I315">
        <v>3</v>
      </c>
      <c r="J315">
        <v>53.14</v>
      </c>
      <c r="K315">
        <v>15</v>
      </c>
      <c r="L315">
        <v>135.51</v>
      </c>
      <c r="M315">
        <v>14.88</v>
      </c>
      <c r="N315">
        <v>24.98</v>
      </c>
      <c r="O315" t="s">
        <v>39</v>
      </c>
      <c r="P315">
        <v>2023</v>
      </c>
      <c r="Q315" t="s">
        <v>3642</v>
      </c>
      <c r="R315">
        <v>115.1835</v>
      </c>
      <c r="S315">
        <v>0.21687134007909101</v>
      </c>
      <c r="T315" t="s">
        <v>3632</v>
      </c>
      <c r="U315" t="s">
        <v>3633</v>
      </c>
    </row>
    <row r="316" spans="1:21" x14ac:dyDescent="0.25">
      <c r="A316" t="s">
        <v>705</v>
      </c>
      <c r="B316" s="1">
        <v>45116</v>
      </c>
      <c r="C316" t="s">
        <v>706</v>
      </c>
      <c r="D316" t="s">
        <v>30</v>
      </c>
      <c r="E316" t="s">
        <v>169</v>
      </c>
      <c r="F316" t="s">
        <v>68</v>
      </c>
      <c r="G316" t="s">
        <v>32</v>
      </c>
      <c r="H316" t="s">
        <v>73</v>
      </c>
      <c r="I316">
        <v>2</v>
      </c>
      <c r="J316">
        <v>3.31</v>
      </c>
      <c r="K316">
        <v>0</v>
      </c>
      <c r="L316">
        <v>6.62</v>
      </c>
      <c r="M316">
        <v>14.92</v>
      </c>
      <c r="N316">
        <v>-11.28</v>
      </c>
      <c r="O316" t="s">
        <v>34</v>
      </c>
      <c r="P316">
        <v>2023</v>
      </c>
      <c r="Q316" t="s">
        <v>3642</v>
      </c>
      <c r="R316">
        <v>6.62</v>
      </c>
      <c r="S316">
        <v>-1.7039274924471299</v>
      </c>
      <c r="T316" t="s">
        <v>3634</v>
      </c>
      <c r="U316" t="s">
        <v>3636</v>
      </c>
    </row>
    <row r="317" spans="1:21" x14ac:dyDescent="0.25">
      <c r="A317" t="s">
        <v>707</v>
      </c>
      <c r="B317" s="1">
        <v>45117</v>
      </c>
      <c r="C317" t="s">
        <v>708</v>
      </c>
      <c r="D317" t="s">
        <v>17</v>
      </c>
      <c r="E317" t="s">
        <v>76</v>
      </c>
      <c r="F317" t="s">
        <v>26</v>
      </c>
      <c r="G317" t="s">
        <v>32</v>
      </c>
      <c r="H317" t="s">
        <v>101</v>
      </c>
      <c r="I317">
        <v>2</v>
      </c>
      <c r="J317">
        <v>11.9</v>
      </c>
      <c r="K317">
        <v>0</v>
      </c>
      <c r="L317">
        <v>23.8</v>
      </c>
      <c r="M317">
        <v>9.7100000000000009</v>
      </c>
      <c r="N317">
        <v>3.38</v>
      </c>
      <c r="O317" t="s">
        <v>39</v>
      </c>
      <c r="P317">
        <v>2023</v>
      </c>
      <c r="Q317" t="s">
        <v>3642</v>
      </c>
      <c r="R317">
        <v>23.8</v>
      </c>
      <c r="S317">
        <v>0.14201680672268899</v>
      </c>
      <c r="T317" t="s">
        <v>3634</v>
      </c>
      <c r="U317" t="s">
        <v>3633</v>
      </c>
    </row>
    <row r="318" spans="1:21" x14ac:dyDescent="0.25">
      <c r="A318" t="s">
        <v>709</v>
      </c>
      <c r="B318" s="1">
        <v>45117</v>
      </c>
      <c r="C318" t="s">
        <v>710</v>
      </c>
      <c r="D318" t="s">
        <v>30</v>
      </c>
      <c r="E318" t="s">
        <v>18</v>
      </c>
      <c r="F318" t="s">
        <v>19</v>
      </c>
      <c r="G318" t="s">
        <v>69</v>
      </c>
      <c r="H318" t="s">
        <v>196</v>
      </c>
      <c r="I318">
        <v>6</v>
      </c>
      <c r="J318">
        <v>21.26</v>
      </c>
      <c r="K318">
        <v>5</v>
      </c>
      <c r="L318">
        <v>121.18</v>
      </c>
      <c r="M318">
        <v>9.14</v>
      </c>
      <c r="N318">
        <v>48.26</v>
      </c>
      <c r="O318" t="s">
        <v>34</v>
      </c>
      <c r="P318">
        <v>2023</v>
      </c>
      <c r="Q318" t="s">
        <v>3642</v>
      </c>
      <c r="R318">
        <v>115.121</v>
      </c>
      <c r="S318">
        <v>0.41921109093909897</v>
      </c>
      <c r="T318" t="s">
        <v>3632</v>
      </c>
      <c r="U318" t="s">
        <v>3633</v>
      </c>
    </row>
    <row r="319" spans="1:21" x14ac:dyDescent="0.25">
      <c r="A319" t="s">
        <v>711</v>
      </c>
      <c r="B319" s="1">
        <v>45117</v>
      </c>
      <c r="C319" t="s">
        <v>712</v>
      </c>
      <c r="D319" t="s">
        <v>30</v>
      </c>
      <c r="E319" t="s">
        <v>129</v>
      </c>
      <c r="F319" t="s">
        <v>19</v>
      </c>
      <c r="G319" t="s">
        <v>69</v>
      </c>
      <c r="H319" t="s">
        <v>305</v>
      </c>
      <c r="I319">
        <v>1</v>
      </c>
      <c r="J319">
        <v>59.16</v>
      </c>
      <c r="K319">
        <v>10</v>
      </c>
      <c r="L319">
        <v>53.24</v>
      </c>
      <c r="M319">
        <v>6.6</v>
      </c>
      <c r="N319">
        <v>17.059999999999999</v>
      </c>
      <c r="O319" t="s">
        <v>34</v>
      </c>
      <c r="P319">
        <v>2023</v>
      </c>
      <c r="Q319" t="s">
        <v>3642</v>
      </c>
      <c r="R319">
        <v>47.915999999999997</v>
      </c>
      <c r="S319">
        <v>0.35603973620502499</v>
      </c>
      <c r="T319" t="s">
        <v>3634</v>
      </c>
      <c r="U319" t="s">
        <v>3633</v>
      </c>
    </row>
    <row r="320" spans="1:21" x14ac:dyDescent="0.25">
      <c r="A320" t="s">
        <v>713</v>
      </c>
      <c r="B320" s="1">
        <v>45118</v>
      </c>
      <c r="C320" t="s">
        <v>714</v>
      </c>
      <c r="D320" t="s">
        <v>30</v>
      </c>
      <c r="E320" t="s">
        <v>148</v>
      </c>
      <c r="F320" t="s">
        <v>60</v>
      </c>
      <c r="G320" t="s">
        <v>32</v>
      </c>
      <c r="H320" t="s">
        <v>33</v>
      </c>
      <c r="I320">
        <v>1</v>
      </c>
      <c r="J320">
        <v>10.59</v>
      </c>
      <c r="K320">
        <v>5</v>
      </c>
      <c r="L320">
        <v>10.06</v>
      </c>
      <c r="M320">
        <v>11.4</v>
      </c>
      <c r="N320">
        <v>-6.11</v>
      </c>
      <c r="O320" t="s">
        <v>34</v>
      </c>
      <c r="P320">
        <v>2023</v>
      </c>
      <c r="Q320" t="s">
        <v>3642</v>
      </c>
      <c r="R320">
        <v>9.5570000000000004</v>
      </c>
      <c r="S320">
        <v>-0.63932196295908805</v>
      </c>
      <c r="T320" t="s">
        <v>3634</v>
      </c>
      <c r="U320" t="s">
        <v>3636</v>
      </c>
    </row>
    <row r="321" spans="1:21" x14ac:dyDescent="0.25">
      <c r="A321" t="s">
        <v>715</v>
      </c>
      <c r="B321" s="1">
        <v>45118</v>
      </c>
      <c r="C321" t="s">
        <v>716</v>
      </c>
      <c r="D321" t="s">
        <v>17</v>
      </c>
      <c r="E321" t="s">
        <v>31</v>
      </c>
      <c r="F321" t="s">
        <v>19</v>
      </c>
      <c r="G321" t="s">
        <v>20</v>
      </c>
      <c r="H321" t="s">
        <v>38</v>
      </c>
      <c r="I321">
        <v>6</v>
      </c>
      <c r="J321">
        <v>62.93</v>
      </c>
      <c r="K321">
        <v>0</v>
      </c>
      <c r="L321">
        <v>377.58</v>
      </c>
      <c r="M321">
        <v>13.89</v>
      </c>
      <c r="N321">
        <v>156.02000000000001</v>
      </c>
      <c r="O321" t="s">
        <v>56</v>
      </c>
      <c r="P321">
        <v>2023</v>
      </c>
      <c r="Q321" t="s">
        <v>3642</v>
      </c>
      <c r="R321">
        <v>377.58</v>
      </c>
      <c r="S321">
        <v>0.41321044546850999</v>
      </c>
      <c r="T321" t="s">
        <v>3632</v>
      </c>
      <c r="U321" t="s">
        <v>3633</v>
      </c>
    </row>
    <row r="322" spans="1:21" x14ac:dyDescent="0.25">
      <c r="A322" t="s">
        <v>717</v>
      </c>
      <c r="B322" s="1">
        <v>45119</v>
      </c>
      <c r="C322" t="s">
        <v>718</v>
      </c>
      <c r="D322" t="s">
        <v>30</v>
      </c>
      <c r="E322" t="s">
        <v>31</v>
      </c>
      <c r="F322" t="s">
        <v>19</v>
      </c>
      <c r="G322" t="s">
        <v>69</v>
      </c>
      <c r="H322" t="s">
        <v>98</v>
      </c>
      <c r="I322">
        <v>4</v>
      </c>
      <c r="J322">
        <v>54.62</v>
      </c>
      <c r="K322">
        <v>0</v>
      </c>
      <c r="L322">
        <v>218.48</v>
      </c>
      <c r="M322">
        <v>11.36</v>
      </c>
      <c r="N322">
        <v>97.88</v>
      </c>
      <c r="O322" t="s">
        <v>34</v>
      </c>
      <c r="P322">
        <v>2023</v>
      </c>
      <c r="Q322" t="s">
        <v>3642</v>
      </c>
      <c r="R322">
        <v>218.48</v>
      </c>
      <c r="S322">
        <v>0.44800439399487402</v>
      </c>
      <c r="T322" t="s">
        <v>3632</v>
      </c>
      <c r="U322" t="s">
        <v>3633</v>
      </c>
    </row>
    <row r="323" spans="1:21" x14ac:dyDescent="0.25">
      <c r="A323" t="s">
        <v>719</v>
      </c>
      <c r="B323" s="1">
        <v>45120</v>
      </c>
      <c r="C323" t="s">
        <v>720</v>
      </c>
      <c r="D323" t="s">
        <v>17</v>
      </c>
      <c r="E323" t="s">
        <v>63</v>
      </c>
      <c r="F323" t="s">
        <v>54</v>
      </c>
      <c r="G323" t="s">
        <v>20</v>
      </c>
      <c r="H323" t="s">
        <v>106</v>
      </c>
      <c r="I323">
        <v>2</v>
      </c>
      <c r="J323">
        <v>42.71</v>
      </c>
      <c r="K323">
        <v>20</v>
      </c>
      <c r="L323">
        <v>68.34</v>
      </c>
      <c r="M323">
        <v>12.22</v>
      </c>
      <c r="N323">
        <v>9.14</v>
      </c>
      <c r="O323" t="s">
        <v>39</v>
      </c>
      <c r="P323">
        <v>2023</v>
      </c>
      <c r="Q323" t="s">
        <v>3642</v>
      </c>
      <c r="R323">
        <v>54.671999999999997</v>
      </c>
      <c r="S323">
        <v>0.16717881182323699</v>
      </c>
      <c r="T323" t="s">
        <v>3634</v>
      </c>
      <c r="U323" t="s">
        <v>3633</v>
      </c>
    </row>
    <row r="324" spans="1:21" x14ac:dyDescent="0.25">
      <c r="A324" t="s">
        <v>721</v>
      </c>
      <c r="B324" s="1">
        <v>45120</v>
      </c>
      <c r="C324" t="s">
        <v>722</v>
      </c>
      <c r="D324" t="s">
        <v>17</v>
      </c>
      <c r="E324" t="s">
        <v>37</v>
      </c>
      <c r="F324" t="s">
        <v>26</v>
      </c>
      <c r="G324" t="s">
        <v>42</v>
      </c>
      <c r="H324" t="s">
        <v>64</v>
      </c>
      <c r="I324">
        <v>2</v>
      </c>
      <c r="J324">
        <v>113.15</v>
      </c>
      <c r="K324">
        <v>10</v>
      </c>
      <c r="L324">
        <v>203.67</v>
      </c>
      <c r="M324">
        <v>11.07</v>
      </c>
      <c r="N324">
        <v>56.82</v>
      </c>
      <c r="O324" t="s">
        <v>34</v>
      </c>
      <c r="P324">
        <v>2023</v>
      </c>
      <c r="Q324" t="s">
        <v>3642</v>
      </c>
      <c r="R324">
        <v>183.303</v>
      </c>
      <c r="S324">
        <v>0.30997856008903302</v>
      </c>
      <c r="T324" t="s">
        <v>3632</v>
      </c>
      <c r="U324" t="s">
        <v>3633</v>
      </c>
    </row>
    <row r="325" spans="1:21" x14ac:dyDescent="0.25">
      <c r="A325" t="s">
        <v>723</v>
      </c>
      <c r="B325" s="1">
        <v>45120</v>
      </c>
      <c r="C325" t="s">
        <v>724</v>
      </c>
      <c r="D325" t="s">
        <v>17</v>
      </c>
      <c r="E325" t="s">
        <v>169</v>
      </c>
      <c r="F325" t="s">
        <v>68</v>
      </c>
      <c r="G325" t="s">
        <v>20</v>
      </c>
      <c r="H325" t="s">
        <v>264</v>
      </c>
      <c r="I325">
        <v>1</v>
      </c>
      <c r="J325">
        <v>61.5</v>
      </c>
      <c r="K325">
        <v>15</v>
      </c>
      <c r="L325">
        <v>52.27</v>
      </c>
      <c r="M325">
        <v>10.75</v>
      </c>
      <c r="N325">
        <v>7.7</v>
      </c>
      <c r="O325" t="s">
        <v>34</v>
      </c>
      <c r="P325">
        <v>2023</v>
      </c>
      <c r="Q325" t="s">
        <v>3642</v>
      </c>
      <c r="R325">
        <v>44.429499999999997</v>
      </c>
      <c r="S325">
        <v>0.173308274907438</v>
      </c>
      <c r="T325" t="s">
        <v>3634</v>
      </c>
      <c r="U325" t="s">
        <v>3633</v>
      </c>
    </row>
    <row r="326" spans="1:21" x14ac:dyDescent="0.25">
      <c r="A326" t="s">
        <v>725</v>
      </c>
      <c r="B326" s="1">
        <v>45121</v>
      </c>
      <c r="C326" t="s">
        <v>726</v>
      </c>
      <c r="D326" t="s">
        <v>30</v>
      </c>
      <c r="E326" t="s">
        <v>85</v>
      </c>
      <c r="F326" t="s">
        <v>60</v>
      </c>
      <c r="G326" t="s">
        <v>32</v>
      </c>
      <c r="H326" t="s">
        <v>73</v>
      </c>
      <c r="I326">
        <v>5</v>
      </c>
      <c r="J326">
        <v>3.47</v>
      </c>
      <c r="K326">
        <v>5</v>
      </c>
      <c r="L326">
        <v>16.48</v>
      </c>
      <c r="M326">
        <v>13.6</v>
      </c>
      <c r="N326">
        <v>-4.93</v>
      </c>
      <c r="O326" t="s">
        <v>56</v>
      </c>
      <c r="P326">
        <v>2023</v>
      </c>
      <c r="Q326" t="s">
        <v>3642</v>
      </c>
      <c r="R326">
        <v>15.656000000000001</v>
      </c>
      <c r="S326">
        <v>-0.31489524782830902</v>
      </c>
      <c r="T326" t="s">
        <v>3634</v>
      </c>
      <c r="U326" t="s">
        <v>3636</v>
      </c>
    </row>
    <row r="327" spans="1:21" x14ac:dyDescent="0.25">
      <c r="A327" t="s">
        <v>727</v>
      </c>
      <c r="B327" s="1">
        <v>45121</v>
      </c>
      <c r="C327" t="s">
        <v>728</v>
      </c>
      <c r="D327" t="s">
        <v>30</v>
      </c>
      <c r="E327" t="s">
        <v>92</v>
      </c>
      <c r="F327" t="s">
        <v>60</v>
      </c>
      <c r="G327" t="s">
        <v>42</v>
      </c>
      <c r="H327" t="s">
        <v>93</v>
      </c>
      <c r="I327">
        <v>5</v>
      </c>
      <c r="J327">
        <v>394.43</v>
      </c>
      <c r="K327">
        <v>5</v>
      </c>
      <c r="L327">
        <v>1873.54</v>
      </c>
      <c r="M327">
        <v>12.1</v>
      </c>
      <c r="N327">
        <v>678.15</v>
      </c>
      <c r="O327" t="s">
        <v>56</v>
      </c>
      <c r="P327">
        <v>2023</v>
      </c>
      <c r="Q327" t="s">
        <v>3642</v>
      </c>
      <c r="R327">
        <v>1779.8630000000001</v>
      </c>
      <c r="S327">
        <v>0.38101247118457998</v>
      </c>
      <c r="T327" t="s">
        <v>3635</v>
      </c>
      <c r="U327" t="s">
        <v>3633</v>
      </c>
    </row>
    <row r="328" spans="1:21" x14ac:dyDescent="0.25">
      <c r="A328" t="s">
        <v>729</v>
      </c>
      <c r="B328" s="1">
        <v>45122</v>
      </c>
      <c r="C328" t="s">
        <v>730</v>
      </c>
      <c r="D328" t="s">
        <v>49</v>
      </c>
      <c r="E328" t="s">
        <v>25</v>
      </c>
      <c r="F328" t="s">
        <v>26</v>
      </c>
      <c r="G328" t="s">
        <v>42</v>
      </c>
      <c r="H328" t="s">
        <v>371</v>
      </c>
      <c r="I328">
        <v>4</v>
      </c>
      <c r="J328">
        <v>161.93</v>
      </c>
      <c r="K328">
        <v>10</v>
      </c>
      <c r="L328">
        <v>582.95000000000005</v>
      </c>
      <c r="M328">
        <v>10.19</v>
      </c>
      <c r="N328">
        <v>184.13</v>
      </c>
      <c r="O328" t="s">
        <v>56</v>
      </c>
      <c r="P328">
        <v>2023</v>
      </c>
      <c r="Q328" t="s">
        <v>3642</v>
      </c>
      <c r="R328">
        <v>524.65499999999997</v>
      </c>
      <c r="S328">
        <v>0.35095443672508603</v>
      </c>
      <c r="T328" t="s">
        <v>3635</v>
      </c>
      <c r="U328" t="s">
        <v>3633</v>
      </c>
    </row>
    <row r="329" spans="1:21" x14ac:dyDescent="0.25">
      <c r="A329" t="s">
        <v>731</v>
      </c>
      <c r="B329" s="1">
        <v>45122</v>
      </c>
      <c r="C329" t="s">
        <v>732</v>
      </c>
      <c r="D329" t="s">
        <v>30</v>
      </c>
      <c r="E329" t="s">
        <v>148</v>
      </c>
      <c r="F329" t="s">
        <v>60</v>
      </c>
      <c r="G329" t="s">
        <v>42</v>
      </c>
      <c r="H329" t="s">
        <v>93</v>
      </c>
      <c r="I329">
        <v>7</v>
      </c>
      <c r="J329">
        <v>233.89</v>
      </c>
      <c r="K329">
        <v>0</v>
      </c>
      <c r="L329">
        <v>1637.23</v>
      </c>
      <c r="M329">
        <v>21.29</v>
      </c>
      <c r="N329">
        <v>633.6</v>
      </c>
      <c r="O329" t="s">
        <v>34</v>
      </c>
      <c r="P329">
        <v>2023</v>
      </c>
      <c r="Q329" t="s">
        <v>3642</v>
      </c>
      <c r="R329">
        <v>1637.23</v>
      </c>
      <c r="S329">
        <v>0.38699510759025901</v>
      </c>
      <c r="T329" t="s">
        <v>3635</v>
      </c>
      <c r="U329" t="s">
        <v>3633</v>
      </c>
    </row>
    <row r="330" spans="1:21" x14ac:dyDescent="0.25">
      <c r="A330" t="s">
        <v>733</v>
      </c>
      <c r="B330" s="1">
        <v>45123</v>
      </c>
      <c r="C330" t="s">
        <v>734</v>
      </c>
      <c r="D330" t="s">
        <v>30</v>
      </c>
      <c r="E330" t="s">
        <v>135</v>
      </c>
      <c r="F330" t="s">
        <v>26</v>
      </c>
      <c r="G330" t="s">
        <v>69</v>
      </c>
      <c r="H330" t="s">
        <v>305</v>
      </c>
      <c r="I330">
        <v>7</v>
      </c>
      <c r="J330">
        <v>30.7</v>
      </c>
      <c r="K330">
        <v>10</v>
      </c>
      <c r="L330">
        <v>193.41</v>
      </c>
      <c r="M330">
        <v>10.64</v>
      </c>
      <c r="N330">
        <v>75.319999999999993</v>
      </c>
      <c r="O330" t="s">
        <v>34</v>
      </c>
      <c r="P330">
        <v>2023</v>
      </c>
      <c r="Q330" t="s">
        <v>3642</v>
      </c>
      <c r="R330">
        <v>174.06899999999999</v>
      </c>
      <c r="S330">
        <v>0.43270197450436299</v>
      </c>
      <c r="T330" t="s">
        <v>3632</v>
      </c>
      <c r="U330" t="s">
        <v>3633</v>
      </c>
    </row>
    <row r="331" spans="1:21" x14ac:dyDescent="0.25">
      <c r="A331" t="s">
        <v>735</v>
      </c>
      <c r="B331" s="1">
        <v>45123</v>
      </c>
      <c r="C331" t="s">
        <v>736</v>
      </c>
      <c r="D331" t="s">
        <v>49</v>
      </c>
      <c r="E331" t="s">
        <v>76</v>
      </c>
      <c r="F331" t="s">
        <v>26</v>
      </c>
      <c r="G331" t="s">
        <v>69</v>
      </c>
      <c r="H331" t="s">
        <v>243</v>
      </c>
      <c r="I331">
        <v>5</v>
      </c>
      <c r="J331">
        <v>21.72</v>
      </c>
      <c r="K331">
        <v>0</v>
      </c>
      <c r="L331">
        <v>108.6</v>
      </c>
      <c r="M331">
        <v>10.039999999999999</v>
      </c>
      <c r="N331">
        <v>44.26</v>
      </c>
      <c r="O331" t="s">
        <v>39</v>
      </c>
      <c r="P331">
        <v>2023</v>
      </c>
      <c r="Q331" t="s">
        <v>3642</v>
      </c>
      <c r="R331">
        <v>108.6</v>
      </c>
      <c r="S331">
        <v>0.40755064456721901</v>
      </c>
      <c r="T331" t="s">
        <v>3632</v>
      </c>
      <c r="U331" t="s">
        <v>3633</v>
      </c>
    </row>
    <row r="332" spans="1:21" x14ac:dyDescent="0.25">
      <c r="A332" t="s">
        <v>737</v>
      </c>
      <c r="B332" s="1">
        <v>45124</v>
      </c>
      <c r="C332" t="s">
        <v>738</v>
      </c>
      <c r="D332" t="s">
        <v>30</v>
      </c>
      <c r="E332" t="s">
        <v>129</v>
      </c>
      <c r="F332" t="s">
        <v>19</v>
      </c>
      <c r="G332" t="s">
        <v>32</v>
      </c>
      <c r="H332" t="s">
        <v>101</v>
      </c>
      <c r="I332">
        <v>3</v>
      </c>
      <c r="J332">
        <v>18.989999999999998</v>
      </c>
      <c r="K332">
        <v>10</v>
      </c>
      <c r="L332">
        <v>51.27</v>
      </c>
      <c r="M332">
        <v>9.8699999999999992</v>
      </c>
      <c r="N332">
        <v>15.76</v>
      </c>
      <c r="O332" t="s">
        <v>34</v>
      </c>
      <c r="P332">
        <v>2023</v>
      </c>
      <c r="Q332" t="s">
        <v>3642</v>
      </c>
      <c r="R332">
        <v>46.143000000000001</v>
      </c>
      <c r="S332">
        <v>0.341546930195263</v>
      </c>
      <c r="T332" t="s">
        <v>3634</v>
      </c>
      <c r="U332" t="s">
        <v>3633</v>
      </c>
    </row>
    <row r="333" spans="1:21" x14ac:dyDescent="0.25">
      <c r="A333" t="s">
        <v>739</v>
      </c>
      <c r="B333" s="1">
        <v>45125</v>
      </c>
      <c r="C333" t="s">
        <v>740</v>
      </c>
      <c r="D333" t="s">
        <v>30</v>
      </c>
      <c r="E333" t="s">
        <v>166</v>
      </c>
      <c r="F333" t="s">
        <v>60</v>
      </c>
      <c r="G333" t="s">
        <v>20</v>
      </c>
      <c r="H333" t="s">
        <v>21</v>
      </c>
      <c r="I333">
        <v>1</v>
      </c>
      <c r="J333">
        <v>190.35</v>
      </c>
      <c r="K333">
        <v>10</v>
      </c>
      <c r="L333">
        <v>171.31</v>
      </c>
      <c r="M333">
        <v>10.96</v>
      </c>
      <c r="N333">
        <v>55.66</v>
      </c>
      <c r="O333" t="s">
        <v>39</v>
      </c>
      <c r="P333">
        <v>2023</v>
      </c>
      <c r="Q333" t="s">
        <v>3642</v>
      </c>
      <c r="R333">
        <v>154.179</v>
      </c>
      <c r="S333">
        <v>0.36100895712126801</v>
      </c>
      <c r="T333" t="s">
        <v>3632</v>
      </c>
      <c r="U333" t="s">
        <v>3633</v>
      </c>
    </row>
    <row r="334" spans="1:21" x14ac:dyDescent="0.25">
      <c r="A334" t="s">
        <v>741</v>
      </c>
      <c r="B334" s="1">
        <v>45126</v>
      </c>
      <c r="C334" t="s">
        <v>742</v>
      </c>
      <c r="D334" t="s">
        <v>17</v>
      </c>
      <c r="E334" t="s">
        <v>166</v>
      </c>
      <c r="F334" t="s">
        <v>60</v>
      </c>
      <c r="G334" t="s">
        <v>42</v>
      </c>
      <c r="H334" t="s">
        <v>234</v>
      </c>
      <c r="I334">
        <v>3</v>
      </c>
      <c r="J334">
        <v>64.89</v>
      </c>
      <c r="K334">
        <v>25</v>
      </c>
      <c r="L334">
        <v>146</v>
      </c>
      <c r="M334">
        <v>16.18</v>
      </c>
      <c r="N334">
        <v>13.02</v>
      </c>
      <c r="O334" t="s">
        <v>22</v>
      </c>
      <c r="P334">
        <v>2023</v>
      </c>
      <c r="Q334" t="s">
        <v>3642</v>
      </c>
      <c r="R334">
        <v>109.5</v>
      </c>
      <c r="S334">
        <v>0.118904109589041</v>
      </c>
      <c r="T334" t="s">
        <v>3632</v>
      </c>
      <c r="U334" t="s">
        <v>3633</v>
      </c>
    </row>
    <row r="335" spans="1:21" x14ac:dyDescent="0.25">
      <c r="A335" t="s">
        <v>743</v>
      </c>
      <c r="B335" s="1">
        <v>45126</v>
      </c>
      <c r="C335" t="s">
        <v>744</v>
      </c>
      <c r="D335" t="s">
        <v>17</v>
      </c>
      <c r="E335" t="s">
        <v>25</v>
      </c>
      <c r="F335" t="s">
        <v>26</v>
      </c>
      <c r="G335" t="s">
        <v>69</v>
      </c>
      <c r="H335" t="s">
        <v>243</v>
      </c>
      <c r="I335">
        <v>2</v>
      </c>
      <c r="J335">
        <v>27.32</v>
      </c>
      <c r="K335">
        <v>10</v>
      </c>
      <c r="L335">
        <v>49.18</v>
      </c>
      <c r="M335">
        <v>10.74</v>
      </c>
      <c r="N335">
        <v>11.12</v>
      </c>
      <c r="O335" t="s">
        <v>39</v>
      </c>
      <c r="P335">
        <v>2023</v>
      </c>
      <c r="Q335" t="s">
        <v>3642</v>
      </c>
      <c r="R335">
        <v>44.262</v>
      </c>
      <c r="S335">
        <v>0.25123130450499298</v>
      </c>
      <c r="T335" t="s">
        <v>3634</v>
      </c>
      <c r="U335" t="s">
        <v>3633</v>
      </c>
    </row>
    <row r="336" spans="1:21" x14ac:dyDescent="0.25">
      <c r="A336" t="s">
        <v>745</v>
      </c>
      <c r="B336" s="1">
        <v>45126</v>
      </c>
      <c r="C336" t="s">
        <v>746</v>
      </c>
      <c r="D336" t="s">
        <v>30</v>
      </c>
      <c r="E336" t="s">
        <v>59</v>
      </c>
      <c r="F336" t="s">
        <v>60</v>
      </c>
      <c r="G336" t="s">
        <v>20</v>
      </c>
      <c r="H336" t="s">
        <v>27</v>
      </c>
      <c r="I336">
        <v>10</v>
      </c>
      <c r="J336">
        <v>133.94999999999999</v>
      </c>
      <c r="K336">
        <v>10</v>
      </c>
      <c r="L336">
        <v>1205.55</v>
      </c>
      <c r="M336">
        <v>21.46</v>
      </c>
      <c r="N336">
        <v>447.36</v>
      </c>
      <c r="O336" t="s">
        <v>34</v>
      </c>
      <c r="P336">
        <v>2023</v>
      </c>
      <c r="Q336" t="s">
        <v>3642</v>
      </c>
      <c r="R336">
        <v>1084.9949999999999</v>
      </c>
      <c r="S336">
        <v>0.41231526412564101</v>
      </c>
      <c r="T336" t="s">
        <v>3635</v>
      </c>
      <c r="U336" t="s">
        <v>3633</v>
      </c>
    </row>
    <row r="337" spans="1:21" x14ac:dyDescent="0.25">
      <c r="A337" t="s">
        <v>747</v>
      </c>
      <c r="B337" s="1">
        <v>45126</v>
      </c>
      <c r="C337" t="s">
        <v>748</v>
      </c>
      <c r="D337" t="s">
        <v>17</v>
      </c>
      <c r="E337" t="s">
        <v>129</v>
      </c>
      <c r="F337" t="s">
        <v>19</v>
      </c>
      <c r="G337" t="s">
        <v>20</v>
      </c>
      <c r="H337" t="s">
        <v>106</v>
      </c>
      <c r="I337">
        <v>2</v>
      </c>
      <c r="J337">
        <v>56.54</v>
      </c>
      <c r="K337">
        <v>5</v>
      </c>
      <c r="L337">
        <v>107.43</v>
      </c>
      <c r="M337">
        <v>7.32</v>
      </c>
      <c r="N337">
        <v>37.92</v>
      </c>
      <c r="O337" t="s">
        <v>39</v>
      </c>
      <c r="P337">
        <v>2023</v>
      </c>
      <c r="Q337" t="s">
        <v>3642</v>
      </c>
      <c r="R337">
        <v>102.0585</v>
      </c>
      <c r="S337">
        <v>0.37155161010596899</v>
      </c>
      <c r="T337" t="s">
        <v>3632</v>
      </c>
      <c r="U337" t="s">
        <v>3633</v>
      </c>
    </row>
    <row r="338" spans="1:21" x14ac:dyDescent="0.25">
      <c r="A338" t="s">
        <v>749</v>
      </c>
      <c r="B338" s="1">
        <v>45127</v>
      </c>
      <c r="C338" t="s">
        <v>750</v>
      </c>
      <c r="D338" t="s">
        <v>17</v>
      </c>
      <c r="E338" t="s">
        <v>25</v>
      </c>
      <c r="F338" t="s">
        <v>26</v>
      </c>
      <c r="G338" t="s">
        <v>42</v>
      </c>
      <c r="H338" t="s">
        <v>234</v>
      </c>
      <c r="I338">
        <v>1</v>
      </c>
      <c r="J338">
        <v>51.24</v>
      </c>
      <c r="K338">
        <v>20</v>
      </c>
      <c r="L338">
        <v>40.99</v>
      </c>
      <c r="M338">
        <v>8.07</v>
      </c>
      <c r="N338">
        <v>2.1800000000000002</v>
      </c>
      <c r="O338" t="s">
        <v>22</v>
      </c>
      <c r="P338">
        <v>2023</v>
      </c>
      <c r="Q338" t="s">
        <v>3642</v>
      </c>
      <c r="R338">
        <v>32.792000000000002</v>
      </c>
      <c r="S338">
        <v>6.6479629177848304E-2</v>
      </c>
      <c r="T338" t="s">
        <v>3634</v>
      </c>
      <c r="U338" t="s">
        <v>3633</v>
      </c>
    </row>
    <row r="339" spans="1:21" x14ac:dyDescent="0.25">
      <c r="A339" t="s">
        <v>751</v>
      </c>
      <c r="B339" s="1">
        <v>45127</v>
      </c>
      <c r="C339" t="s">
        <v>752</v>
      </c>
      <c r="D339" t="s">
        <v>30</v>
      </c>
      <c r="E339" t="s">
        <v>121</v>
      </c>
      <c r="F339" t="s">
        <v>68</v>
      </c>
      <c r="G339" t="s">
        <v>20</v>
      </c>
      <c r="H339" t="s">
        <v>27</v>
      </c>
      <c r="I339">
        <v>13</v>
      </c>
      <c r="J339">
        <v>145.33000000000001</v>
      </c>
      <c r="K339">
        <v>5</v>
      </c>
      <c r="L339">
        <v>1794.83</v>
      </c>
      <c r="M339">
        <v>36.04</v>
      </c>
      <c r="N339">
        <v>719.68</v>
      </c>
      <c r="O339" t="s">
        <v>22</v>
      </c>
      <c r="P339">
        <v>2023</v>
      </c>
      <c r="Q339" t="s">
        <v>3642</v>
      </c>
      <c r="R339">
        <v>1705.0885000000001</v>
      </c>
      <c r="S339">
        <v>0.42207779830782999</v>
      </c>
      <c r="T339" t="s">
        <v>3635</v>
      </c>
      <c r="U339" t="s">
        <v>3633</v>
      </c>
    </row>
    <row r="340" spans="1:21" x14ac:dyDescent="0.25">
      <c r="A340" t="s">
        <v>753</v>
      </c>
      <c r="B340" s="1">
        <v>45129</v>
      </c>
      <c r="C340" t="s">
        <v>754</v>
      </c>
      <c r="D340" t="s">
        <v>17</v>
      </c>
      <c r="E340" t="s">
        <v>129</v>
      </c>
      <c r="F340" t="s">
        <v>19</v>
      </c>
      <c r="G340" t="s">
        <v>69</v>
      </c>
      <c r="H340" t="s">
        <v>243</v>
      </c>
      <c r="I340">
        <v>5</v>
      </c>
      <c r="J340">
        <v>27.72</v>
      </c>
      <c r="K340">
        <v>5</v>
      </c>
      <c r="L340">
        <v>131.66999999999999</v>
      </c>
      <c r="M340">
        <v>15.56</v>
      </c>
      <c r="N340">
        <v>46.81</v>
      </c>
      <c r="O340" t="s">
        <v>39</v>
      </c>
      <c r="P340">
        <v>2023</v>
      </c>
      <c r="Q340" t="s">
        <v>3642</v>
      </c>
      <c r="R340">
        <v>125.0865</v>
      </c>
      <c r="S340">
        <v>0.37422103904098403</v>
      </c>
      <c r="T340" t="s">
        <v>3632</v>
      </c>
      <c r="U340" t="s">
        <v>3633</v>
      </c>
    </row>
    <row r="341" spans="1:21" x14ac:dyDescent="0.25">
      <c r="A341" t="s">
        <v>755</v>
      </c>
      <c r="B341" s="1">
        <v>45129</v>
      </c>
      <c r="C341" t="s">
        <v>756</v>
      </c>
      <c r="D341" t="s">
        <v>30</v>
      </c>
      <c r="E341" t="s">
        <v>121</v>
      </c>
      <c r="F341" t="s">
        <v>68</v>
      </c>
      <c r="G341" t="s">
        <v>69</v>
      </c>
      <c r="H341" t="s">
        <v>163</v>
      </c>
      <c r="I341">
        <v>2</v>
      </c>
      <c r="J341">
        <v>53.18</v>
      </c>
      <c r="K341">
        <v>5</v>
      </c>
      <c r="L341">
        <v>101.04</v>
      </c>
      <c r="M341">
        <v>13.3</v>
      </c>
      <c r="N341">
        <v>34.56</v>
      </c>
      <c r="O341" t="s">
        <v>39</v>
      </c>
      <c r="P341">
        <v>2023</v>
      </c>
      <c r="Q341" t="s">
        <v>3642</v>
      </c>
      <c r="R341">
        <v>95.988</v>
      </c>
      <c r="S341">
        <v>0.36004500562570302</v>
      </c>
      <c r="T341" t="s">
        <v>3632</v>
      </c>
      <c r="U341" t="s">
        <v>3633</v>
      </c>
    </row>
    <row r="342" spans="1:21" x14ac:dyDescent="0.25">
      <c r="A342" t="s">
        <v>757</v>
      </c>
      <c r="B342" s="1">
        <v>45129</v>
      </c>
      <c r="C342" t="s">
        <v>758</v>
      </c>
      <c r="D342" t="s">
        <v>30</v>
      </c>
      <c r="E342" t="s">
        <v>248</v>
      </c>
      <c r="F342" t="s">
        <v>26</v>
      </c>
      <c r="G342" t="s">
        <v>20</v>
      </c>
      <c r="H342" t="s">
        <v>199</v>
      </c>
      <c r="I342">
        <v>5</v>
      </c>
      <c r="J342">
        <v>167.91</v>
      </c>
      <c r="K342">
        <v>0</v>
      </c>
      <c r="L342">
        <v>839.55</v>
      </c>
      <c r="M342">
        <v>15.17</v>
      </c>
      <c r="N342">
        <v>362.63</v>
      </c>
      <c r="O342" t="s">
        <v>22</v>
      </c>
      <c r="P342">
        <v>2023</v>
      </c>
      <c r="Q342" t="s">
        <v>3642</v>
      </c>
      <c r="R342">
        <v>839.55</v>
      </c>
      <c r="S342">
        <v>0.43193377404562</v>
      </c>
      <c r="T342" t="s">
        <v>3635</v>
      </c>
      <c r="U342" t="s">
        <v>3633</v>
      </c>
    </row>
    <row r="343" spans="1:21" x14ac:dyDescent="0.25">
      <c r="A343" t="s">
        <v>759</v>
      </c>
      <c r="B343" s="1">
        <v>45129</v>
      </c>
      <c r="C343" t="s">
        <v>760</v>
      </c>
      <c r="D343" t="s">
        <v>30</v>
      </c>
      <c r="E343" t="s">
        <v>59</v>
      </c>
      <c r="F343" t="s">
        <v>60</v>
      </c>
      <c r="G343" t="s">
        <v>32</v>
      </c>
      <c r="H343" t="s">
        <v>132</v>
      </c>
      <c r="I343">
        <v>1</v>
      </c>
      <c r="J343">
        <v>16.43</v>
      </c>
      <c r="K343">
        <v>5</v>
      </c>
      <c r="L343">
        <v>15.61</v>
      </c>
      <c r="M343">
        <v>11.32</v>
      </c>
      <c r="N343">
        <v>-3.1</v>
      </c>
      <c r="O343" t="s">
        <v>56</v>
      </c>
      <c r="P343">
        <v>2023</v>
      </c>
      <c r="Q343" t="s">
        <v>3642</v>
      </c>
      <c r="R343">
        <v>14.829499999999999</v>
      </c>
      <c r="S343">
        <v>-0.20904278633804199</v>
      </c>
      <c r="T343" t="s">
        <v>3634</v>
      </c>
      <c r="U343" t="s">
        <v>3636</v>
      </c>
    </row>
    <row r="344" spans="1:21" x14ac:dyDescent="0.25">
      <c r="A344" t="s">
        <v>761</v>
      </c>
      <c r="B344" s="1">
        <v>45131</v>
      </c>
      <c r="C344" t="s">
        <v>762</v>
      </c>
      <c r="D344" t="s">
        <v>30</v>
      </c>
      <c r="E344" t="s">
        <v>53</v>
      </c>
      <c r="F344" t="s">
        <v>54</v>
      </c>
      <c r="G344" t="s">
        <v>42</v>
      </c>
      <c r="H344" t="s">
        <v>234</v>
      </c>
      <c r="I344">
        <v>2</v>
      </c>
      <c r="J344">
        <v>71.010000000000005</v>
      </c>
      <c r="K344">
        <v>15</v>
      </c>
      <c r="L344">
        <v>120.72</v>
      </c>
      <c r="M344">
        <v>13.2</v>
      </c>
      <c r="N344">
        <v>22.31</v>
      </c>
      <c r="O344" t="s">
        <v>22</v>
      </c>
      <c r="P344">
        <v>2023</v>
      </c>
      <c r="Q344" t="s">
        <v>3642</v>
      </c>
      <c r="R344">
        <v>102.61199999999999</v>
      </c>
      <c r="S344">
        <v>0.217420964409621</v>
      </c>
      <c r="T344" t="s">
        <v>3632</v>
      </c>
      <c r="U344" t="s">
        <v>3633</v>
      </c>
    </row>
    <row r="345" spans="1:21" x14ac:dyDescent="0.25">
      <c r="A345" t="s">
        <v>763</v>
      </c>
      <c r="B345" s="1">
        <v>45132</v>
      </c>
      <c r="C345" t="s">
        <v>764</v>
      </c>
      <c r="D345" t="s">
        <v>17</v>
      </c>
      <c r="E345" t="s">
        <v>67</v>
      </c>
      <c r="F345" t="s">
        <v>68</v>
      </c>
      <c r="G345" t="s">
        <v>69</v>
      </c>
      <c r="H345" t="s">
        <v>139</v>
      </c>
      <c r="I345">
        <v>1</v>
      </c>
      <c r="J345">
        <v>41.08</v>
      </c>
      <c r="K345">
        <v>0</v>
      </c>
      <c r="L345">
        <v>41.08</v>
      </c>
      <c r="M345">
        <v>11.71</v>
      </c>
      <c r="N345">
        <v>8.83</v>
      </c>
      <c r="O345" t="s">
        <v>22</v>
      </c>
      <c r="P345">
        <v>2023</v>
      </c>
      <c r="Q345" t="s">
        <v>3642</v>
      </c>
      <c r="R345">
        <v>41.08</v>
      </c>
      <c r="S345">
        <v>0.214946445959104</v>
      </c>
      <c r="T345" t="s">
        <v>3634</v>
      </c>
      <c r="U345" t="s">
        <v>3633</v>
      </c>
    </row>
    <row r="346" spans="1:21" x14ac:dyDescent="0.25">
      <c r="A346" t="s">
        <v>765</v>
      </c>
      <c r="B346" s="1">
        <v>45133</v>
      </c>
      <c r="C346" t="s">
        <v>766</v>
      </c>
      <c r="D346" t="s">
        <v>30</v>
      </c>
      <c r="E346" t="s">
        <v>121</v>
      </c>
      <c r="F346" t="s">
        <v>68</v>
      </c>
      <c r="G346" t="s">
        <v>42</v>
      </c>
      <c r="H346" t="s">
        <v>255</v>
      </c>
      <c r="I346">
        <v>1</v>
      </c>
      <c r="J346">
        <v>21.14</v>
      </c>
      <c r="K346">
        <v>20</v>
      </c>
      <c r="L346">
        <v>16.91</v>
      </c>
      <c r="M346">
        <v>12.08</v>
      </c>
      <c r="N346">
        <v>-7.85</v>
      </c>
      <c r="O346" t="s">
        <v>22</v>
      </c>
      <c r="P346">
        <v>2023</v>
      </c>
      <c r="Q346" t="s">
        <v>3642</v>
      </c>
      <c r="R346">
        <v>13.528</v>
      </c>
      <c r="S346">
        <v>-0.58027794204612604</v>
      </c>
      <c r="T346" t="s">
        <v>3634</v>
      </c>
      <c r="U346" t="s">
        <v>3636</v>
      </c>
    </row>
    <row r="347" spans="1:21" x14ac:dyDescent="0.25">
      <c r="A347" t="s">
        <v>767</v>
      </c>
      <c r="B347" s="1">
        <v>45133</v>
      </c>
      <c r="C347" t="s">
        <v>768</v>
      </c>
      <c r="D347" t="s">
        <v>17</v>
      </c>
      <c r="E347" t="s">
        <v>18</v>
      </c>
      <c r="F347" t="s">
        <v>19</v>
      </c>
      <c r="G347" t="s">
        <v>20</v>
      </c>
      <c r="H347" t="s">
        <v>175</v>
      </c>
      <c r="I347">
        <v>1</v>
      </c>
      <c r="J347">
        <v>52.78</v>
      </c>
      <c r="K347">
        <v>0</v>
      </c>
      <c r="L347">
        <v>52.78</v>
      </c>
      <c r="M347">
        <v>6.2</v>
      </c>
      <c r="N347">
        <v>17.55</v>
      </c>
      <c r="O347" t="s">
        <v>34</v>
      </c>
      <c r="P347">
        <v>2023</v>
      </c>
      <c r="Q347" t="s">
        <v>3642</v>
      </c>
      <c r="R347">
        <v>52.78</v>
      </c>
      <c r="S347">
        <v>0.332512315270936</v>
      </c>
      <c r="T347" t="s">
        <v>3634</v>
      </c>
      <c r="U347" t="s">
        <v>3633</v>
      </c>
    </row>
    <row r="348" spans="1:21" x14ac:dyDescent="0.25">
      <c r="A348" t="s">
        <v>769</v>
      </c>
      <c r="B348" s="1">
        <v>45134</v>
      </c>
      <c r="C348" t="s">
        <v>770</v>
      </c>
      <c r="D348" t="s">
        <v>30</v>
      </c>
      <c r="E348" t="s">
        <v>109</v>
      </c>
      <c r="F348" t="s">
        <v>54</v>
      </c>
      <c r="G348" t="s">
        <v>32</v>
      </c>
      <c r="H348" t="s">
        <v>132</v>
      </c>
      <c r="I348">
        <v>1</v>
      </c>
      <c r="J348">
        <v>13.41</v>
      </c>
      <c r="K348">
        <v>10</v>
      </c>
      <c r="L348">
        <v>12.07</v>
      </c>
      <c r="M348">
        <v>12.56</v>
      </c>
      <c r="N348">
        <v>-6.52</v>
      </c>
      <c r="O348" t="s">
        <v>39</v>
      </c>
      <c r="P348">
        <v>2023</v>
      </c>
      <c r="Q348" t="s">
        <v>3642</v>
      </c>
      <c r="R348">
        <v>10.863</v>
      </c>
      <c r="S348">
        <v>-0.60020252232348303</v>
      </c>
      <c r="T348" t="s">
        <v>3634</v>
      </c>
      <c r="U348" t="s">
        <v>3636</v>
      </c>
    </row>
    <row r="349" spans="1:21" x14ac:dyDescent="0.25">
      <c r="A349" t="s">
        <v>771</v>
      </c>
      <c r="B349" s="1">
        <v>45134</v>
      </c>
      <c r="C349" t="s">
        <v>772</v>
      </c>
      <c r="D349" t="s">
        <v>30</v>
      </c>
      <c r="E349" t="s">
        <v>109</v>
      </c>
      <c r="F349" t="s">
        <v>54</v>
      </c>
      <c r="G349" t="s">
        <v>42</v>
      </c>
      <c r="H349" t="s">
        <v>118</v>
      </c>
      <c r="I349">
        <v>4</v>
      </c>
      <c r="J349">
        <v>75.900000000000006</v>
      </c>
      <c r="K349">
        <v>0</v>
      </c>
      <c r="L349">
        <v>303.60000000000002</v>
      </c>
      <c r="M349">
        <v>14.96</v>
      </c>
      <c r="N349">
        <v>106.48</v>
      </c>
      <c r="O349" t="s">
        <v>39</v>
      </c>
      <c r="P349">
        <v>2023</v>
      </c>
      <c r="Q349" t="s">
        <v>3642</v>
      </c>
      <c r="R349">
        <v>303.60000000000002</v>
      </c>
      <c r="S349">
        <v>0.35072463768115902</v>
      </c>
      <c r="T349" t="s">
        <v>3632</v>
      </c>
      <c r="U349" t="s">
        <v>3633</v>
      </c>
    </row>
    <row r="350" spans="1:21" x14ac:dyDescent="0.25">
      <c r="A350" t="s">
        <v>773</v>
      </c>
      <c r="B350" s="1">
        <v>45135</v>
      </c>
      <c r="C350" t="s">
        <v>774</v>
      </c>
      <c r="D350" t="s">
        <v>17</v>
      </c>
      <c r="E350" t="s">
        <v>63</v>
      </c>
      <c r="F350" t="s">
        <v>54</v>
      </c>
      <c r="G350" t="s">
        <v>32</v>
      </c>
      <c r="H350" t="s">
        <v>73</v>
      </c>
      <c r="I350">
        <v>3</v>
      </c>
      <c r="J350">
        <v>8.9499999999999993</v>
      </c>
      <c r="K350">
        <v>0</v>
      </c>
      <c r="L350">
        <v>26.85</v>
      </c>
      <c r="M350">
        <v>18.399999999999999</v>
      </c>
      <c r="N350">
        <v>-3.63</v>
      </c>
      <c r="O350" t="s">
        <v>56</v>
      </c>
      <c r="P350">
        <v>2023</v>
      </c>
      <c r="Q350" t="s">
        <v>3642</v>
      </c>
      <c r="R350">
        <v>26.85</v>
      </c>
      <c r="S350">
        <v>-0.13519553072625701</v>
      </c>
      <c r="T350" t="s">
        <v>3634</v>
      </c>
      <c r="U350" t="s">
        <v>3636</v>
      </c>
    </row>
    <row r="351" spans="1:21" x14ac:dyDescent="0.25">
      <c r="A351" t="s">
        <v>775</v>
      </c>
      <c r="B351" s="1">
        <v>45135</v>
      </c>
      <c r="C351" t="s">
        <v>776</v>
      </c>
      <c r="D351" t="s">
        <v>30</v>
      </c>
      <c r="E351" t="s">
        <v>169</v>
      </c>
      <c r="F351" t="s">
        <v>68</v>
      </c>
      <c r="G351" t="s">
        <v>20</v>
      </c>
      <c r="H351" t="s">
        <v>170</v>
      </c>
      <c r="I351">
        <v>1</v>
      </c>
      <c r="J351">
        <v>20.02</v>
      </c>
      <c r="K351">
        <v>15</v>
      </c>
      <c r="L351">
        <v>17.02</v>
      </c>
      <c r="M351">
        <v>10.98</v>
      </c>
      <c r="N351">
        <v>-4.97</v>
      </c>
      <c r="O351" t="s">
        <v>39</v>
      </c>
      <c r="P351">
        <v>2023</v>
      </c>
      <c r="Q351" t="s">
        <v>3642</v>
      </c>
      <c r="R351">
        <v>14.467000000000001</v>
      </c>
      <c r="S351">
        <v>-0.34354047141770899</v>
      </c>
      <c r="T351" t="s">
        <v>3634</v>
      </c>
      <c r="U351" t="s">
        <v>3636</v>
      </c>
    </row>
    <row r="352" spans="1:21" x14ac:dyDescent="0.25">
      <c r="A352" t="s">
        <v>777</v>
      </c>
      <c r="B352" s="1">
        <v>45135</v>
      </c>
      <c r="C352" t="s">
        <v>778</v>
      </c>
      <c r="D352" t="s">
        <v>30</v>
      </c>
      <c r="E352" t="s">
        <v>18</v>
      </c>
      <c r="F352" t="s">
        <v>19</v>
      </c>
      <c r="G352" t="s">
        <v>32</v>
      </c>
      <c r="H352" t="s">
        <v>115</v>
      </c>
      <c r="I352">
        <v>1</v>
      </c>
      <c r="J352">
        <v>10.76</v>
      </c>
      <c r="K352">
        <v>10</v>
      </c>
      <c r="L352">
        <v>9.68</v>
      </c>
      <c r="M352">
        <v>6.28</v>
      </c>
      <c r="N352">
        <v>-1.44</v>
      </c>
      <c r="O352" t="s">
        <v>39</v>
      </c>
      <c r="P352">
        <v>2023</v>
      </c>
      <c r="Q352" t="s">
        <v>3642</v>
      </c>
      <c r="R352">
        <v>8.7119999999999997</v>
      </c>
      <c r="S352">
        <v>-0.165289256198347</v>
      </c>
      <c r="T352" t="s">
        <v>3634</v>
      </c>
      <c r="U352" t="s">
        <v>3636</v>
      </c>
    </row>
    <row r="353" spans="1:21" x14ac:dyDescent="0.25">
      <c r="A353" t="s">
        <v>779</v>
      </c>
      <c r="B353" s="1">
        <v>45136</v>
      </c>
      <c r="C353" t="s">
        <v>780</v>
      </c>
      <c r="D353" t="s">
        <v>17</v>
      </c>
      <c r="E353" t="s">
        <v>18</v>
      </c>
      <c r="F353" t="s">
        <v>19</v>
      </c>
      <c r="G353" t="s">
        <v>32</v>
      </c>
      <c r="H353" t="s">
        <v>82</v>
      </c>
      <c r="I353">
        <v>2</v>
      </c>
      <c r="J353">
        <v>9.48</v>
      </c>
      <c r="K353">
        <v>0</v>
      </c>
      <c r="L353">
        <v>18.96</v>
      </c>
      <c r="M353">
        <v>6.87</v>
      </c>
      <c r="N353">
        <v>3.56</v>
      </c>
      <c r="O353" t="s">
        <v>39</v>
      </c>
      <c r="P353">
        <v>2023</v>
      </c>
      <c r="Q353" t="s">
        <v>3642</v>
      </c>
      <c r="R353">
        <v>18.96</v>
      </c>
      <c r="S353">
        <v>0.18776371308016901</v>
      </c>
      <c r="T353" t="s">
        <v>3634</v>
      </c>
      <c r="U353" t="s">
        <v>3633</v>
      </c>
    </row>
    <row r="354" spans="1:21" x14ac:dyDescent="0.25">
      <c r="A354" t="s">
        <v>781</v>
      </c>
      <c r="B354" s="1">
        <v>45136</v>
      </c>
      <c r="C354" t="s">
        <v>782</v>
      </c>
      <c r="D354" t="s">
        <v>30</v>
      </c>
      <c r="E354" t="s">
        <v>59</v>
      </c>
      <c r="F354" t="s">
        <v>60</v>
      </c>
      <c r="G354" t="s">
        <v>20</v>
      </c>
      <c r="H354" t="s">
        <v>175</v>
      </c>
      <c r="I354">
        <v>3</v>
      </c>
      <c r="J354">
        <v>33.19</v>
      </c>
      <c r="K354">
        <v>15</v>
      </c>
      <c r="L354">
        <v>84.63</v>
      </c>
      <c r="M354">
        <v>11.24</v>
      </c>
      <c r="N354">
        <v>18.63</v>
      </c>
      <c r="O354" t="s">
        <v>34</v>
      </c>
      <c r="P354">
        <v>2023</v>
      </c>
      <c r="Q354" t="s">
        <v>3642</v>
      </c>
      <c r="R354">
        <v>71.935500000000005</v>
      </c>
      <c r="S354">
        <v>0.258982004712555</v>
      </c>
      <c r="T354" t="s">
        <v>3634</v>
      </c>
      <c r="U354" t="s">
        <v>3633</v>
      </c>
    </row>
    <row r="355" spans="1:21" x14ac:dyDescent="0.25">
      <c r="A355" t="s">
        <v>783</v>
      </c>
      <c r="B355" s="1">
        <v>45137</v>
      </c>
      <c r="C355" t="s">
        <v>784</v>
      </c>
      <c r="D355" t="s">
        <v>17</v>
      </c>
      <c r="E355" t="s">
        <v>109</v>
      </c>
      <c r="F355" t="s">
        <v>54</v>
      </c>
      <c r="G355" t="s">
        <v>42</v>
      </c>
      <c r="H355" t="s">
        <v>234</v>
      </c>
      <c r="I355">
        <v>3</v>
      </c>
      <c r="J355">
        <v>73.540000000000006</v>
      </c>
      <c r="K355">
        <v>15</v>
      </c>
      <c r="L355">
        <v>187.53</v>
      </c>
      <c r="M355">
        <v>13.35</v>
      </c>
      <c r="N355">
        <v>41.81</v>
      </c>
      <c r="O355" t="s">
        <v>56</v>
      </c>
      <c r="P355">
        <v>2023</v>
      </c>
      <c r="Q355" t="s">
        <v>3642</v>
      </c>
      <c r="R355">
        <v>159.40049999999999</v>
      </c>
      <c r="S355">
        <v>0.26229528765593602</v>
      </c>
      <c r="T355" t="s">
        <v>3632</v>
      </c>
      <c r="U355" t="s">
        <v>3633</v>
      </c>
    </row>
    <row r="356" spans="1:21" x14ac:dyDescent="0.25">
      <c r="A356" t="s">
        <v>785</v>
      </c>
      <c r="B356" s="1">
        <v>45138</v>
      </c>
      <c r="C356" t="s">
        <v>786</v>
      </c>
      <c r="D356" t="s">
        <v>17</v>
      </c>
      <c r="E356" t="s">
        <v>148</v>
      </c>
      <c r="F356" t="s">
        <v>60</v>
      </c>
      <c r="G356" t="s">
        <v>20</v>
      </c>
      <c r="H356" t="s">
        <v>175</v>
      </c>
      <c r="I356">
        <v>1</v>
      </c>
      <c r="J356">
        <v>19.91</v>
      </c>
      <c r="K356">
        <v>5</v>
      </c>
      <c r="L356">
        <v>18.91</v>
      </c>
      <c r="M356">
        <v>9.86</v>
      </c>
      <c r="N356">
        <v>-1.9</v>
      </c>
      <c r="O356" t="s">
        <v>34</v>
      </c>
      <c r="P356">
        <v>2023</v>
      </c>
      <c r="Q356" t="s">
        <v>3642</v>
      </c>
      <c r="R356">
        <v>17.964500000000001</v>
      </c>
      <c r="S356">
        <v>-0.10576414595452099</v>
      </c>
      <c r="T356" t="s">
        <v>3634</v>
      </c>
      <c r="U356" t="s">
        <v>3636</v>
      </c>
    </row>
    <row r="357" spans="1:21" x14ac:dyDescent="0.25">
      <c r="A357" t="s">
        <v>787</v>
      </c>
      <c r="B357" s="1">
        <v>45138</v>
      </c>
      <c r="C357" t="s">
        <v>788</v>
      </c>
      <c r="D357" t="s">
        <v>49</v>
      </c>
      <c r="E357" t="s">
        <v>63</v>
      </c>
      <c r="F357" t="s">
        <v>54</v>
      </c>
      <c r="G357" t="s">
        <v>42</v>
      </c>
      <c r="H357" t="s">
        <v>46</v>
      </c>
      <c r="I357">
        <v>4</v>
      </c>
      <c r="J357">
        <v>96.5</v>
      </c>
      <c r="K357">
        <v>20</v>
      </c>
      <c r="L357">
        <v>308.8</v>
      </c>
      <c r="M357">
        <v>14.49</v>
      </c>
      <c r="N357">
        <v>62.71</v>
      </c>
      <c r="O357" t="s">
        <v>56</v>
      </c>
      <c r="P357">
        <v>2023</v>
      </c>
      <c r="Q357" t="s">
        <v>3642</v>
      </c>
      <c r="R357">
        <v>247.04</v>
      </c>
      <c r="S357">
        <v>0.253845531088083</v>
      </c>
      <c r="T357" t="s">
        <v>3632</v>
      </c>
      <c r="U357" t="s">
        <v>3633</v>
      </c>
    </row>
    <row r="358" spans="1:21" x14ac:dyDescent="0.25">
      <c r="A358" t="s">
        <v>789</v>
      </c>
      <c r="B358" s="1">
        <v>45139</v>
      </c>
      <c r="C358" t="s">
        <v>790</v>
      </c>
      <c r="D358" t="s">
        <v>17</v>
      </c>
      <c r="E358" t="s">
        <v>248</v>
      </c>
      <c r="F358" t="s">
        <v>26</v>
      </c>
      <c r="G358" t="s">
        <v>20</v>
      </c>
      <c r="H358" t="s">
        <v>27</v>
      </c>
      <c r="I358">
        <v>10</v>
      </c>
      <c r="J358">
        <v>104.58</v>
      </c>
      <c r="K358">
        <v>30</v>
      </c>
      <c r="L358">
        <v>732.06</v>
      </c>
      <c r="M358">
        <v>14.85</v>
      </c>
      <c r="N358">
        <v>142.02000000000001</v>
      </c>
      <c r="O358" t="s">
        <v>34</v>
      </c>
      <c r="P358">
        <v>2023</v>
      </c>
      <c r="Q358" t="s">
        <v>3643</v>
      </c>
      <c r="R358">
        <v>512.44200000000001</v>
      </c>
      <c r="S358">
        <v>0.27714355966138599</v>
      </c>
      <c r="T358" t="s">
        <v>3635</v>
      </c>
      <c r="U358" t="s">
        <v>3633</v>
      </c>
    </row>
    <row r="359" spans="1:21" x14ac:dyDescent="0.25">
      <c r="A359" t="s">
        <v>791</v>
      </c>
      <c r="B359" s="1">
        <v>45139</v>
      </c>
      <c r="C359" t="s">
        <v>375</v>
      </c>
      <c r="D359" t="s">
        <v>17</v>
      </c>
      <c r="E359" t="s">
        <v>169</v>
      </c>
      <c r="F359" t="s">
        <v>68</v>
      </c>
      <c r="G359" t="s">
        <v>42</v>
      </c>
      <c r="H359" t="s">
        <v>64</v>
      </c>
      <c r="I359">
        <v>3</v>
      </c>
      <c r="J359">
        <v>83.44</v>
      </c>
      <c r="K359">
        <v>10</v>
      </c>
      <c r="L359">
        <v>225.29</v>
      </c>
      <c r="M359">
        <v>15.17</v>
      </c>
      <c r="N359">
        <v>59.93</v>
      </c>
      <c r="O359" t="s">
        <v>56</v>
      </c>
      <c r="P359">
        <v>2023</v>
      </c>
      <c r="Q359" t="s">
        <v>3643</v>
      </c>
      <c r="R359">
        <v>202.761</v>
      </c>
      <c r="S359">
        <v>0.29556966083221098</v>
      </c>
      <c r="T359" t="s">
        <v>3632</v>
      </c>
      <c r="U359" t="s">
        <v>3633</v>
      </c>
    </row>
    <row r="360" spans="1:21" x14ac:dyDescent="0.25">
      <c r="A360" t="s">
        <v>792</v>
      </c>
      <c r="B360" s="1">
        <v>45139</v>
      </c>
      <c r="C360" t="s">
        <v>793</v>
      </c>
      <c r="D360" t="s">
        <v>30</v>
      </c>
      <c r="E360" t="s">
        <v>129</v>
      </c>
      <c r="F360" t="s">
        <v>19</v>
      </c>
      <c r="G360" t="s">
        <v>69</v>
      </c>
      <c r="H360" t="s">
        <v>139</v>
      </c>
      <c r="I360">
        <v>10</v>
      </c>
      <c r="J360">
        <v>64.87</v>
      </c>
      <c r="K360">
        <v>5</v>
      </c>
      <c r="L360">
        <v>616.26</v>
      </c>
      <c r="M360">
        <v>14.5</v>
      </c>
      <c r="N360">
        <v>277.41000000000003</v>
      </c>
      <c r="O360" t="s">
        <v>56</v>
      </c>
      <c r="P360">
        <v>2023</v>
      </c>
      <c r="Q360" t="s">
        <v>3643</v>
      </c>
      <c r="R360">
        <v>585.447</v>
      </c>
      <c r="S360">
        <v>0.47384306350532202</v>
      </c>
      <c r="T360" t="s">
        <v>3635</v>
      </c>
      <c r="U360" t="s">
        <v>3633</v>
      </c>
    </row>
    <row r="361" spans="1:21" x14ac:dyDescent="0.25">
      <c r="A361" t="s">
        <v>794</v>
      </c>
      <c r="B361" s="1">
        <v>45139</v>
      </c>
      <c r="C361" t="s">
        <v>795</v>
      </c>
      <c r="D361" t="s">
        <v>30</v>
      </c>
      <c r="E361" t="s">
        <v>76</v>
      </c>
      <c r="F361" t="s">
        <v>26</v>
      </c>
      <c r="G361" t="s">
        <v>42</v>
      </c>
      <c r="H361" t="s">
        <v>294</v>
      </c>
      <c r="I361">
        <v>3</v>
      </c>
      <c r="J361">
        <v>182.51</v>
      </c>
      <c r="K361">
        <v>5</v>
      </c>
      <c r="L361">
        <v>520.15</v>
      </c>
      <c r="M361">
        <v>8.9</v>
      </c>
      <c r="N361">
        <v>182.73</v>
      </c>
      <c r="O361" t="s">
        <v>39</v>
      </c>
      <c r="P361">
        <v>2023</v>
      </c>
      <c r="Q361" t="s">
        <v>3643</v>
      </c>
      <c r="R361">
        <v>494.14249999999998</v>
      </c>
      <c r="S361">
        <v>0.36979211462280598</v>
      </c>
      <c r="T361" t="s">
        <v>3635</v>
      </c>
      <c r="U361" t="s">
        <v>3633</v>
      </c>
    </row>
    <row r="362" spans="1:21" x14ac:dyDescent="0.25">
      <c r="A362" t="s">
        <v>796</v>
      </c>
      <c r="B362" s="1">
        <v>45140</v>
      </c>
      <c r="C362" t="s">
        <v>797</v>
      </c>
      <c r="D362" t="s">
        <v>49</v>
      </c>
      <c r="E362" t="s">
        <v>85</v>
      </c>
      <c r="F362" t="s">
        <v>60</v>
      </c>
      <c r="G362" t="s">
        <v>32</v>
      </c>
      <c r="H362" t="s">
        <v>82</v>
      </c>
      <c r="I362">
        <v>5</v>
      </c>
      <c r="J362">
        <v>10.99</v>
      </c>
      <c r="K362">
        <v>5</v>
      </c>
      <c r="L362">
        <v>52.2</v>
      </c>
      <c r="M362">
        <v>12.66</v>
      </c>
      <c r="N362">
        <v>14.81</v>
      </c>
      <c r="O362" t="s">
        <v>22</v>
      </c>
      <c r="P362">
        <v>2023</v>
      </c>
      <c r="Q362" t="s">
        <v>3643</v>
      </c>
      <c r="R362">
        <v>49.59</v>
      </c>
      <c r="S362">
        <v>0.29864892115345798</v>
      </c>
      <c r="T362" t="s">
        <v>3634</v>
      </c>
      <c r="U362" t="s">
        <v>3633</v>
      </c>
    </row>
    <row r="363" spans="1:21" x14ac:dyDescent="0.25">
      <c r="A363" t="s">
        <v>798</v>
      </c>
      <c r="B363" s="1">
        <v>45141</v>
      </c>
      <c r="C363" t="s">
        <v>799</v>
      </c>
      <c r="D363" t="s">
        <v>17</v>
      </c>
      <c r="E363" t="s">
        <v>31</v>
      </c>
      <c r="F363" t="s">
        <v>19</v>
      </c>
      <c r="G363" t="s">
        <v>32</v>
      </c>
      <c r="H363" t="s">
        <v>50</v>
      </c>
      <c r="I363">
        <v>3</v>
      </c>
      <c r="J363">
        <v>10.7</v>
      </c>
      <c r="K363">
        <v>5</v>
      </c>
      <c r="L363">
        <v>30.49</v>
      </c>
      <c r="M363">
        <v>11.92</v>
      </c>
      <c r="N363">
        <v>4.13</v>
      </c>
      <c r="O363" t="s">
        <v>34</v>
      </c>
      <c r="P363">
        <v>2023</v>
      </c>
      <c r="Q363" t="s">
        <v>3643</v>
      </c>
      <c r="R363">
        <v>28.965499999999999</v>
      </c>
      <c r="S363">
        <v>0.142583418204416</v>
      </c>
      <c r="T363" t="s">
        <v>3634</v>
      </c>
      <c r="U363" t="s">
        <v>3633</v>
      </c>
    </row>
    <row r="364" spans="1:21" x14ac:dyDescent="0.25">
      <c r="A364" t="s">
        <v>800</v>
      </c>
      <c r="B364" s="1">
        <v>45142</v>
      </c>
      <c r="C364" t="s">
        <v>801</v>
      </c>
      <c r="D364" t="s">
        <v>30</v>
      </c>
      <c r="E364" t="s">
        <v>121</v>
      </c>
      <c r="F364" t="s">
        <v>68</v>
      </c>
      <c r="G364" t="s">
        <v>32</v>
      </c>
      <c r="H364" t="s">
        <v>149</v>
      </c>
      <c r="I364">
        <v>5</v>
      </c>
      <c r="J364">
        <v>7.28</v>
      </c>
      <c r="K364">
        <v>5</v>
      </c>
      <c r="L364">
        <v>34.58</v>
      </c>
      <c r="M364">
        <v>20.71</v>
      </c>
      <c r="N364">
        <v>-2.5099999999999998</v>
      </c>
      <c r="O364" t="s">
        <v>39</v>
      </c>
      <c r="P364">
        <v>2023</v>
      </c>
      <c r="Q364" t="s">
        <v>3643</v>
      </c>
      <c r="R364">
        <v>32.850999999999999</v>
      </c>
      <c r="S364">
        <v>-7.6405588870962798E-2</v>
      </c>
      <c r="T364" t="s">
        <v>3634</v>
      </c>
      <c r="U364" t="s">
        <v>3636</v>
      </c>
    </row>
    <row r="365" spans="1:21" x14ac:dyDescent="0.25">
      <c r="A365" t="s">
        <v>802</v>
      </c>
      <c r="B365" s="1">
        <v>45142</v>
      </c>
      <c r="C365" t="s">
        <v>803</v>
      </c>
      <c r="D365" t="s">
        <v>30</v>
      </c>
      <c r="E365" t="s">
        <v>63</v>
      </c>
      <c r="F365" t="s">
        <v>54</v>
      </c>
      <c r="G365" t="s">
        <v>42</v>
      </c>
      <c r="H365" t="s">
        <v>64</v>
      </c>
      <c r="I365">
        <v>2</v>
      </c>
      <c r="J365">
        <v>44.23</v>
      </c>
      <c r="K365">
        <v>10</v>
      </c>
      <c r="L365">
        <v>79.61</v>
      </c>
      <c r="M365">
        <v>13.7</v>
      </c>
      <c r="N365">
        <v>12.83</v>
      </c>
      <c r="O365" t="s">
        <v>39</v>
      </c>
      <c r="P365">
        <v>2023</v>
      </c>
      <c r="Q365" t="s">
        <v>3643</v>
      </c>
      <c r="R365">
        <v>71.649000000000001</v>
      </c>
      <c r="S365">
        <v>0.179067398009742</v>
      </c>
      <c r="T365" t="s">
        <v>3634</v>
      </c>
      <c r="U365" t="s">
        <v>3633</v>
      </c>
    </row>
    <row r="366" spans="1:21" x14ac:dyDescent="0.25">
      <c r="A366" t="s">
        <v>804</v>
      </c>
      <c r="B366" s="1">
        <v>45142</v>
      </c>
      <c r="C366" t="s">
        <v>805</v>
      </c>
      <c r="D366" t="s">
        <v>17</v>
      </c>
      <c r="E366" t="s">
        <v>31</v>
      </c>
      <c r="F366" t="s">
        <v>19</v>
      </c>
      <c r="G366" t="s">
        <v>20</v>
      </c>
      <c r="H366" t="s">
        <v>21</v>
      </c>
      <c r="I366">
        <v>2</v>
      </c>
      <c r="J366">
        <v>151.07</v>
      </c>
      <c r="K366">
        <v>25</v>
      </c>
      <c r="L366">
        <v>226.6</v>
      </c>
      <c r="M366">
        <v>7.84</v>
      </c>
      <c r="N366">
        <v>52.58</v>
      </c>
      <c r="O366" t="s">
        <v>34</v>
      </c>
      <c r="P366">
        <v>2023</v>
      </c>
      <c r="Q366" t="s">
        <v>3643</v>
      </c>
      <c r="R366">
        <v>169.95</v>
      </c>
      <c r="S366">
        <v>0.30938511326860801</v>
      </c>
      <c r="T366" t="s">
        <v>3632</v>
      </c>
      <c r="U366" t="s">
        <v>3633</v>
      </c>
    </row>
    <row r="367" spans="1:21" x14ac:dyDescent="0.25">
      <c r="A367" t="s">
        <v>806</v>
      </c>
      <c r="B367" s="1">
        <v>45143</v>
      </c>
      <c r="C367" t="s">
        <v>807</v>
      </c>
      <c r="D367" t="s">
        <v>17</v>
      </c>
      <c r="E367" t="s">
        <v>59</v>
      </c>
      <c r="F367" t="s">
        <v>60</v>
      </c>
      <c r="G367" t="s">
        <v>20</v>
      </c>
      <c r="H367" t="s">
        <v>264</v>
      </c>
      <c r="I367">
        <v>1</v>
      </c>
      <c r="J367">
        <v>35.700000000000003</v>
      </c>
      <c r="K367">
        <v>10</v>
      </c>
      <c r="L367">
        <v>32.130000000000003</v>
      </c>
      <c r="M367">
        <v>11.04</v>
      </c>
      <c r="N367">
        <v>1.46</v>
      </c>
      <c r="O367" t="s">
        <v>39</v>
      </c>
      <c r="P367">
        <v>2023</v>
      </c>
      <c r="Q367" t="s">
        <v>3643</v>
      </c>
      <c r="R367">
        <v>28.917000000000002</v>
      </c>
      <c r="S367">
        <v>5.0489331535083198E-2</v>
      </c>
      <c r="T367" t="s">
        <v>3634</v>
      </c>
      <c r="U367" t="s">
        <v>3633</v>
      </c>
    </row>
    <row r="368" spans="1:21" x14ac:dyDescent="0.25">
      <c r="A368" t="s">
        <v>808</v>
      </c>
      <c r="B368" s="1">
        <v>45143</v>
      </c>
      <c r="C368" t="s">
        <v>809</v>
      </c>
      <c r="D368" t="s">
        <v>17</v>
      </c>
      <c r="E368" t="s">
        <v>85</v>
      </c>
      <c r="F368" t="s">
        <v>60</v>
      </c>
      <c r="G368" t="s">
        <v>32</v>
      </c>
      <c r="H368" t="s">
        <v>149</v>
      </c>
      <c r="I368">
        <v>7</v>
      </c>
      <c r="J368">
        <v>15.21</v>
      </c>
      <c r="K368">
        <v>20</v>
      </c>
      <c r="L368">
        <v>85.18</v>
      </c>
      <c r="M368">
        <v>24.79</v>
      </c>
      <c r="N368">
        <v>12.48</v>
      </c>
      <c r="O368" t="s">
        <v>34</v>
      </c>
      <c r="P368">
        <v>2023</v>
      </c>
      <c r="Q368" t="s">
        <v>3643</v>
      </c>
      <c r="R368">
        <v>68.144000000000005</v>
      </c>
      <c r="S368">
        <v>0.18314158253111101</v>
      </c>
      <c r="T368" t="s">
        <v>3634</v>
      </c>
      <c r="U368" t="s">
        <v>3633</v>
      </c>
    </row>
    <row r="369" spans="1:21" x14ac:dyDescent="0.25">
      <c r="A369" t="s">
        <v>810</v>
      </c>
      <c r="B369" s="1">
        <v>45143</v>
      </c>
      <c r="C369" t="s">
        <v>811</v>
      </c>
      <c r="D369" t="s">
        <v>30</v>
      </c>
      <c r="E369" t="s">
        <v>169</v>
      </c>
      <c r="F369" t="s">
        <v>68</v>
      </c>
      <c r="G369" t="s">
        <v>42</v>
      </c>
      <c r="H369" t="s">
        <v>43</v>
      </c>
      <c r="I369">
        <v>1</v>
      </c>
      <c r="J369">
        <v>206.62</v>
      </c>
      <c r="K369">
        <v>10</v>
      </c>
      <c r="L369">
        <v>185.96</v>
      </c>
      <c r="M369">
        <v>11.69</v>
      </c>
      <c r="N369">
        <v>50.3</v>
      </c>
      <c r="O369" t="s">
        <v>56</v>
      </c>
      <c r="P369">
        <v>2023</v>
      </c>
      <c r="Q369" t="s">
        <v>3643</v>
      </c>
      <c r="R369">
        <v>167.364</v>
      </c>
      <c r="S369">
        <v>0.30054253005425302</v>
      </c>
      <c r="T369" t="s">
        <v>3632</v>
      </c>
      <c r="U369" t="s">
        <v>3633</v>
      </c>
    </row>
    <row r="370" spans="1:21" x14ac:dyDescent="0.25">
      <c r="A370" t="s">
        <v>812</v>
      </c>
      <c r="B370" s="1">
        <v>45144</v>
      </c>
      <c r="C370" t="s">
        <v>813</v>
      </c>
      <c r="D370" t="s">
        <v>30</v>
      </c>
      <c r="E370" t="s">
        <v>67</v>
      </c>
      <c r="F370" t="s">
        <v>68</v>
      </c>
      <c r="G370" t="s">
        <v>69</v>
      </c>
      <c r="H370" t="s">
        <v>139</v>
      </c>
      <c r="I370">
        <v>1</v>
      </c>
      <c r="J370">
        <v>34.17</v>
      </c>
      <c r="K370">
        <v>15</v>
      </c>
      <c r="L370">
        <v>29.04</v>
      </c>
      <c r="M370">
        <v>12.01</v>
      </c>
      <c r="N370">
        <v>-0.06</v>
      </c>
      <c r="O370" t="s">
        <v>34</v>
      </c>
      <c r="P370">
        <v>2023</v>
      </c>
      <c r="Q370" t="s">
        <v>3643</v>
      </c>
      <c r="R370">
        <v>24.684000000000001</v>
      </c>
      <c r="S370">
        <v>-2.4307243558580501E-3</v>
      </c>
      <c r="T370" t="s">
        <v>3634</v>
      </c>
      <c r="U370" t="s">
        <v>3636</v>
      </c>
    </row>
    <row r="371" spans="1:21" x14ac:dyDescent="0.25">
      <c r="A371" t="s">
        <v>814</v>
      </c>
      <c r="B371" s="1">
        <v>45144</v>
      </c>
      <c r="C371" t="s">
        <v>815</v>
      </c>
      <c r="D371" t="s">
        <v>17</v>
      </c>
      <c r="E371" t="s">
        <v>138</v>
      </c>
      <c r="F371" t="s">
        <v>54</v>
      </c>
      <c r="G371" t="s">
        <v>32</v>
      </c>
      <c r="H371" t="s">
        <v>115</v>
      </c>
      <c r="I371">
        <v>5</v>
      </c>
      <c r="J371">
        <v>9.43</v>
      </c>
      <c r="K371">
        <v>5</v>
      </c>
      <c r="L371">
        <v>44.79</v>
      </c>
      <c r="M371">
        <v>22.42</v>
      </c>
      <c r="N371">
        <v>1.1499999999999999</v>
      </c>
      <c r="O371" t="s">
        <v>34</v>
      </c>
      <c r="P371">
        <v>2023</v>
      </c>
      <c r="Q371" t="s">
        <v>3643</v>
      </c>
      <c r="R371">
        <v>42.5505</v>
      </c>
      <c r="S371">
        <v>2.7026709439372E-2</v>
      </c>
      <c r="T371" t="s">
        <v>3634</v>
      </c>
      <c r="U371" t="s">
        <v>3633</v>
      </c>
    </row>
    <row r="372" spans="1:21" x14ac:dyDescent="0.25">
      <c r="A372" t="s">
        <v>816</v>
      </c>
      <c r="B372" s="1">
        <v>45144</v>
      </c>
      <c r="C372" t="s">
        <v>817</v>
      </c>
      <c r="D372" t="s">
        <v>30</v>
      </c>
      <c r="E372" t="s">
        <v>166</v>
      </c>
      <c r="F372" t="s">
        <v>60</v>
      </c>
      <c r="G372" t="s">
        <v>20</v>
      </c>
      <c r="H372" t="s">
        <v>38</v>
      </c>
      <c r="I372">
        <v>3</v>
      </c>
      <c r="J372">
        <v>67.349999999999994</v>
      </c>
      <c r="K372">
        <v>0</v>
      </c>
      <c r="L372">
        <v>202.05</v>
      </c>
      <c r="M372">
        <v>12.44</v>
      </c>
      <c r="N372">
        <v>78.48</v>
      </c>
      <c r="O372" t="s">
        <v>39</v>
      </c>
      <c r="P372">
        <v>2023</v>
      </c>
      <c r="Q372" t="s">
        <v>3643</v>
      </c>
      <c r="R372">
        <v>202.05</v>
      </c>
      <c r="S372">
        <v>0.38841870824053498</v>
      </c>
      <c r="T372" t="s">
        <v>3632</v>
      </c>
      <c r="U372" t="s">
        <v>3633</v>
      </c>
    </row>
    <row r="373" spans="1:21" x14ac:dyDescent="0.25">
      <c r="A373" t="s">
        <v>818</v>
      </c>
      <c r="B373" s="1">
        <v>45145</v>
      </c>
      <c r="C373" t="s">
        <v>819</v>
      </c>
      <c r="D373" t="s">
        <v>17</v>
      </c>
      <c r="E373" t="s">
        <v>25</v>
      </c>
      <c r="F373" t="s">
        <v>26</v>
      </c>
      <c r="G373" t="s">
        <v>69</v>
      </c>
      <c r="H373" t="s">
        <v>139</v>
      </c>
      <c r="I373">
        <v>3</v>
      </c>
      <c r="J373">
        <v>75.47</v>
      </c>
      <c r="K373">
        <v>5</v>
      </c>
      <c r="L373">
        <v>215.09</v>
      </c>
      <c r="M373">
        <v>10.4</v>
      </c>
      <c r="N373">
        <v>91.48</v>
      </c>
      <c r="O373" t="s">
        <v>56</v>
      </c>
      <c r="P373">
        <v>2023</v>
      </c>
      <c r="Q373" t="s">
        <v>3643</v>
      </c>
      <c r="R373">
        <v>204.3355</v>
      </c>
      <c r="S373">
        <v>0.44769508969317601</v>
      </c>
      <c r="T373" t="s">
        <v>3632</v>
      </c>
      <c r="U373" t="s">
        <v>3633</v>
      </c>
    </row>
    <row r="374" spans="1:21" x14ac:dyDescent="0.25">
      <c r="A374" t="s">
        <v>820</v>
      </c>
      <c r="B374" s="1">
        <v>45146</v>
      </c>
      <c r="C374" t="s">
        <v>821</v>
      </c>
      <c r="D374" t="s">
        <v>30</v>
      </c>
      <c r="E374" t="s">
        <v>31</v>
      </c>
      <c r="F374" t="s">
        <v>19</v>
      </c>
      <c r="G374" t="s">
        <v>20</v>
      </c>
      <c r="H374" t="s">
        <v>27</v>
      </c>
      <c r="I374">
        <v>3</v>
      </c>
      <c r="J374">
        <v>91.18</v>
      </c>
      <c r="K374">
        <v>10</v>
      </c>
      <c r="L374">
        <v>246.19</v>
      </c>
      <c r="M374">
        <v>8.58</v>
      </c>
      <c r="N374">
        <v>87.16</v>
      </c>
      <c r="O374" t="s">
        <v>22</v>
      </c>
      <c r="P374">
        <v>2023</v>
      </c>
      <c r="Q374" t="s">
        <v>3643</v>
      </c>
      <c r="R374">
        <v>221.571</v>
      </c>
      <c r="S374">
        <v>0.39337277892865002</v>
      </c>
      <c r="T374" t="s">
        <v>3632</v>
      </c>
      <c r="U374" t="s">
        <v>3633</v>
      </c>
    </row>
    <row r="375" spans="1:21" x14ac:dyDescent="0.25">
      <c r="A375" t="s">
        <v>822</v>
      </c>
      <c r="B375" s="1">
        <v>45146</v>
      </c>
      <c r="C375" t="s">
        <v>823</v>
      </c>
      <c r="D375" t="s">
        <v>17</v>
      </c>
      <c r="E375" t="s">
        <v>31</v>
      </c>
      <c r="F375" t="s">
        <v>19</v>
      </c>
      <c r="G375" t="s">
        <v>20</v>
      </c>
      <c r="H375" t="s">
        <v>38</v>
      </c>
      <c r="I375">
        <v>2</v>
      </c>
      <c r="J375">
        <v>88.88</v>
      </c>
      <c r="K375">
        <v>10</v>
      </c>
      <c r="L375">
        <v>159.97999999999999</v>
      </c>
      <c r="M375">
        <v>7.63</v>
      </c>
      <c r="N375">
        <v>54.58</v>
      </c>
      <c r="O375" t="s">
        <v>56</v>
      </c>
      <c r="P375">
        <v>2023</v>
      </c>
      <c r="Q375" t="s">
        <v>3643</v>
      </c>
      <c r="R375">
        <v>143.982</v>
      </c>
      <c r="S375">
        <v>0.37907516217304899</v>
      </c>
      <c r="T375" t="s">
        <v>3632</v>
      </c>
      <c r="U375" t="s">
        <v>3633</v>
      </c>
    </row>
    <row r="376" spans="1:21" x14ac:dyDescent="0.25">
      <c r="A376" t="s">
        <v>824</v>
      </c>
      <c r="B376" s="1">
        <v>45146</v>
      </c>
      <c r="C376" t="s">
        <v>825</v>
      </c>
      <c r="D376" t="s">
        <v>49</v>
      </c>
      <c r="E376" t="s">
        <v>76</v>
      </c>
      <c r="F376" t="s">
        <v>26</v>
      </c>
      <c r="G376" t="s">
        <v>42</v>
      </c>
      <c r="H376" t="s">
        <v>294</v>
      </c>
      <c r="I376">
        <v>3</v>
      </c>
      <c r="J376">
        <v>120.89</v>
      </c>
      <c r="K376">
        <v>20</v>
      </c>
      <c r="L376">
        <v>290.14</v>
      </c>
      <c r="M376">
        <v>14.12</v>
      </c>
      <c r="N376">
        <v>58.42</v>
      </c>
      <c r="O376" t="s">
        <v>39</v>
      </c>
      <c r="P376">
        <v>2023</v>
      </c>
      <c r="Q376" t="s">
        <v>3643</v>
      </c>
      <c r="R376">
        <v>232.11199999999999</v>
      </c>
      <c r="S376">
        <v>0.25168883987040702</v>
      </c>
      <c r="T376" t="s">
        <v>3632</v>
      </c>
      <c r="U376" t="s">
        <v>3633</v>
      </c>
    </row>
    <row r="377" spans="1:21" x14ac:dyDescent="0.25">
      <c r="A377" t="s">
        <v>826</v>
      </c>
      <c r="B377" s="1">
        <v>45147</v>
      </c>
      <c r="C377" t="s">
        <v>827</v>
      </c>
      <c r="D377" t="s">
        <v>30</v>
      </c>
      <c r="E377" t="s">
        <v>248</v>
      </c>
      <c r="F377" t="s">
        <v>26</v>
      </c>
      <c r="G377" t="s">
        <v>69</v>
      </c>
      <c r="H377" t="s">
        <v>86</v>
      </c>
      <c r="I377">
        <v>8</v>
      </c>
      <c r="J377">
        <v>48.11</v>
      </c>
      <c r="K377">
        <v>20</v>
      </c>
      <c r="L377">
        <v>307.89999999999998</v>
      </c>
      <c r="M377">
        <v>25.57</v>
      </c>
      <c r="N377">
        <v>89.89</v>
      </c>
      <c r="O377" t="s">
        <v>39</v>
      </c>
      <c r="P377">
        <v>2023</v>
      </c>
      <c r="Q377" t="s">
        <v>3643</v>
      </c>
      <c r="R377">
        <v>246.32</v>
      </c>
      <c r="S377">
        <v>0.364931796037675</v>
      </c>
      <c r="T377" t="s">
        <v>3632</v>
      </c>
      <c r="U377" t="s">
        <v>3633</v>
      </c>
    </row>
    <row r="378" spans="1:21" x14ac:dyDescent="0.25">
      <c r="A378" t="s">
        <v>828</v>
      </c>
      <c r="B378" s="1">
        <v>45148</v>
      </c>
      <c r="C378" t="s">
        <v>829</v>
      </c>
      <c r="D378" t="s">
        <v>17</v>
      </c>
      <c r="E378" t="s">
        <v>92</v>
      </c>
      <c r="F378" t="s">
        <v>60</v>
      </c>
      <c r="G378" t="s">
        <v>42</v>
      </c>
      <c r="H378" t="s">
        <v>64</v>
      </c>
      <c r="I378">
        <v>5</v>
      </c>
      <c r="J378">
        <v>79.11</v>
      </c>
      <c r="K378">
        <v>10</v>
      </c>
      <c r="L378">
        <v>356</v>
      </c>
      <c r="M378">
        <v>16.05</v>
      </c>
      <c r="N378">
        <v>102.62</v>
      </c>
      <c r="O378" t="s">
        <v>34</v>
      </c>
      <c r="P378">
        <v>2023</v>
      </c>
      <c r="Q378" t="s">
        <v>3643</v>
      </c>
      <c r="R378">
        <v>320.39999999999998</v>
      </c>
      <c r="S378">
        <v>0.32028714107365802</v>
      </c>
      <c r="T378" t="s">
        <v>3632</v>
      </c>
      <c r="U378" t="s">
        <v>3633</v>
      </c>
    </row>
    <row r="379" spans="1:21" x14ac:dyDescent="0.25">
      <c r="A379" t="s">
        <v>830</v>
      </c>
      <c r="B379" s="1">
        <v>45149</v>
      </c>
      <c r="C379" t="s">
        <v>831</v>
      </c>
      <c r="D379" t="s">
        <v>17</v>
      </c>
      <c r="E379" t="s">
        <v>169</v>
      </c>
      <c r="F379" t="s">
        <v>68</v>
      </c>
      <c r="G379" t="s">
        <v>32</v>
      </c>
      <c r="H379" t="s">
        <v>101</v>
      </c>
      <c r="I379">
        <v>2</v>
      </c>
      <c r="J379">
        <v>17.66</v>
      </c>
      <c r="K379">
        <v>15</v>
      </c>
      <c r="L379">
        <v>30.02</v>
      </c>
      <c r="M379">
        <v>13.05</v>
      </c>
      <c r="N379">
        <v>1.08</v>
      </c>
      <c r="O379" t="s">
        <v>34</v>
      </c>
      <c r="P379">
        <v>2023</v>
      </c>
      <c r="Q379" t="s">
        <v>3643</v>
      </c>
      <c r="R379">
        <v>25.516999999999999</v>
      </c>
      <c r="S379">
        <v>4.2324724693341698E-2</v>
      </c>
      <c r="T379" t="s">
        <v>3634</v>
      </c>
      <c r="U379" t="s">
        <v>3633</v>
      </c>
    </row>
    <row r="380" spans="1:21" x14ac:dyDescent="0.25">
      <c r="A380" t="s">
        <v>832</v>
      </c>
      <c r="B380" s="1">
        <v>45149</v>
      </c>
      <c r="C380" t="s">
        <v>833</v>
      </c>
      <c r="D380" t="s">
        <v>30</v>
      </c>
      <c r="E380" t="s">
        <v>135</v>
      </c>
      <c r="F380" t="s">
        <v>26</v>
      </c>
      <c r="G380" t="s">
        <v>32</v>
      </c>
      <c r="H380" t="s">
        <v>33</v>
      </c>
      <c r="I380">
        <v>5</v>
      </c>
      <c r="J380">
        <v>7.76</v>
      </c>
      <c r="K380">
        <v>10</v>
      </c>
      <c r="L380">
        <v>34.92</v>
      </c>
      <c r="M380">
        <v>15.79</v>
      </c>
      <c r="N380">
        <v>1.67</v>
      </c>
      <c r="O380" t="s">
        <v>39</v>
      </c>
      <c r="P380">
        <v>2023</v>
      </c>
      <c r="Q380" t="s">
        <v>3643</v>
      </c>
      <c r="R380">
        <v>31.428000000000001</v>
      </c>
      <c r="S380">
        <v>5.3137329769632202E-2</v>
      </c>
      <c r="T380" t="s">
        <v>3634</v>
      </c>
      <c r="U380" t="s">
        <v>3633</v>
      </c>
    </row>
    <row r="381" spans="1:21" x14ac:dyDescent="0.25">
      <c r="A381" t="s">
        <v>834</v>
      </c>
      <c r="B381" s="1">
        <v>45149</v>
      </c>
      <c r="C381" t="s">
        <v>835</v>
      </c>
      <c r="D381" t="s">
        <v>30</v>
      </c>
      <c r="E381" t="s">
        <v>129</v>
      </c>
      <c r="F381" t="s">
        <v>19</v>
      </c>
      <c r="G381" t="s">
        <v>42</v>
      </c>
      <c r="H381" t="s">
        <v>46</v>
      </c>
      <c r="I381">
        <v>3</v>
      </c>
      <c r="J381">
        <v>97.26</v>
      </c>
      <c r="K381">
        <v>10</v>
      </c>
      <c r="L381">
        <v>262.60000000000002</v>
      </c>
      <c r="M381">
        <v>10.56</v>
      </c>
      <c r="N381">
        <v>76.97</v>
      </c>
      <c r="O381" t="s">
        <v>22</v>
      </c>
      <c r="P381">
        <v>2023</v>
      </c>
      <c r="Q381" t="s">
        <v>3643</v>
      </c>
      <c r="R381">
        <v>236.34</v>
      </c>
      <c r="S381">
        <v>0.32567487517982602</v>
      </c>
      <c r="T381" t="s">
        <v>3632</v>
      </c>
      <c r="U381" t="s">
        <v>3633</v>
      </c>
    </row>
    <row r="382" spans="1:21" x14ac:dyDescent="0.25">
      <c r="A382" t="s">
        <v>836</v>
      </c>
      <c r="B382" s="1">
        <v>45150</v>
      </c>
      <c r="C382" t="s">
        <v>837</v>
      </c>
      <c r="D382" t="s">
        <v>30</v>
      </c>
      <c r="E382" t="s">
        <v>148</v>
      </c>
      <c r="F382" t="s">
        <v>60</v>
      </c>
      <c r="G382" t="s">
        <v>69</v>
      </c>
      <c r="H382" t="s">
        <v>243</v>
      </c>
      <c r="I382">
        <v>1</v>
      </c>
      <c r="J382">
        <v>18.190000000000001</v>
      </c>
      <c r="K382">
        <v>0</v>
      </c>
      <c r="L382">
        <v>18.190000000000001</v>
      </c>
      <c r="M382">
        <v>9.6300000000000008</v>
      </c>
      <c r="N382">
        <v>-0.54</v>
      </c>
      <c r="O382" t="s">
        <v>34</v>
      </c>
      <c r="P382">
        <v>2023</v>
      </c>
      <c r="Q382" t="s">
        <v>3643</v>
      </c>
      <c r="R382">
        <v>18.190000000000001</v>
      </c>
      <c r="S382">
        <v>-2.96866410115448E-2</v>
      </c>
      <c r="T382" t="s">
        <v>3634</v>
      </c>
      <c r="U382" t="s">
        <v>3636</v>
      </c>
    </row>
    <row r="383" spans="1:21" x14ac:dyDescent="0.25">
      <c r="A383" t="s">
        <v>838</v>
      </c>
      <c r="B383" s="1">
        <v>45150</v>
      </c>
      <c r="C383" t="s">
        <v>839</v>
      </c>
      <c r="D383" t="s">
        <v>30</v>
      </c>
      <c r="E383" t="s">
        <v>92</v>
      </c>
      <c r="F383" t="s">
        <v>60</v>
      </c>
      <c r="G383" t="s">
        <v>20</v>
      </c>
      <c r="H383" t="s">
        <v>55</v>
      </c>
      <c r="I383">
        <v>8</v>
      </c>
      <c r="J383">
        <v>75.459999999999994</v>
      </c>
      <c r="K383">
        <v>15</v>
      </c>
      <c r="L383">
        <v>513.13</v>
      </c>
      <c r="M383">
        <v>16.190000000000001</v>
      </c>
      <c r="N383">
        <v>164.92</v>
      </c>
      <c r="O383" t="s">
        <v>34</v>
      </c>
      <c r="P383">
        <v>2023</v>
      </c>
      <c r="Q383" t="s">
        <v>3643</v>
      </c>
      <c r="R383">
        <v>436.16050000000001</v>
      </c>
      <c r="S383">
        <v>0.378117688328035</v>
      </c>
      <c r="T383" t="s">
        <v>3635</v>
      </c>
      <c r="U383" t="s">
        <v>3633</v>
      </c>
    </row>
    <row r="384" spans="1:21" x14ac:dyDescent="0.25">
      <c r="A384" t="s">
        <v>840</v>
      </c>
      <c r="B384" s="1">
        <v>45151</v>
      </c>
      <c r="C384" t="s">
        <v>841</v>
      </c>
      <c r="D384" t="s">
        <v>49</v>
      </c>
      <c r="E384" t="s">
        <v>166</v>
      </c>
      <c r="F384" t="s">
        <v>60</v>
      </c>
      <c r="G384" t="s">
        <v>32</v>
      </c>
      <c r="H384" t="s">
        <v>50</v>
      </c>
      <c r="I384">
        <v>2</v>
      </c>
      <c r="J384">
        <v>16.46</v>
      </c>
      <c r="K384">
        <v>10</v>
      </c>
      <c r="L384">
        <v>29.63</v>
      </c>
      <c r="M384">
        <v>13.64</v>
      </c>
      <c r="N384">
        <v>1.18</v>
      </c>
      <c r="O384" t="s">
        <v>34</v>
      </c>
      <c r="P384">
        <v>2023</v>
      </c>
      <c r="Q384" t="s">
        <v>3643</v>
      </c>
      <c r="R384">
        <v>26.667000000000002</v>
      </c>
      <c r="S384">
        <v>4.4249446881913998E-2</v>
      </c>
      <c r="T384" t="s">
        <v>3634</v>
      </c>
      <c r="U384" t="s">
        <v>3633</v>
      </c>
    </row>
    <row r="385" spans="1:21" x14ac:dyDescent="0.25">
      <c r="A385" t="s">
        <v>842</v>
      </c>
      <c r="B385" s="1">
        <v>45151</v>
      </c>
      <c r="C385" t="s">
        <v>843</v>
      </c>
      <c r="D385" t="s">
        <v>49</v>
      </c>
      <c r="E385" t="s">
        <v>31</v>
      </c>
      <c r="F385" t="s">
        <v>19</v>
      </c>
      <c r="G385" t="s">
        <v>42</v>
      </c>
      <c r="H385" t="s">
        <v>234</v>
      </c>
      <c r="I385">
        <v>1</v>
      </c>
      <c r="J385">
        <v>55.59</v>
      </c>
      <c r="K385">
        <v>5</v>
      </c>
      <c r="L385">
        <v>52.81</v>
      </c>
      <c r="M385">
        <v>6.11</v>
      </c>
      <c r="N385">
        <v>13.35</v>
      </c>
      <c r="O385" t="s">
        <v>34</v>
      </c>
      <c r="P385">
        <v>2023</v>
      </c>
      <c r="Q385" t="s">
        <v>3643</v>
      </c>
      <c r="R385">
        <v>50.169499999999999</v>
      </c>
      <c r="S385">
        <v>0.26609792802399901</v>
      </c>
      <c r="T385" t="s">
        <v>3634</v>
      </c>
      <c r="U385" t="s">
        <v>3633</v>
      </c>
    </row>
    <row r="386" spans="1:21" x14ac:dyDescent="0.25">
      <c r="A386" t="s">
        <v>844</v>
      </c>
      <c r="B386" s="1">
        <v>45152</v>
      </c>
      <c r="C386" t="s">
        <v>845</v>
      </c>
      <c r="D386" t="s">
        <v>17</v>
      </c>
      <c r="E386" t="s">
        <v>18</v>
      </c>
      <c r="F386" t="s">
        <v>19</v>
      </c>
      <c r="G386" t="s">
        <v>69</v>
      </c>
      <c r="H386" t="s">
        <v>79</v>
      </c>
      <c r="I386">
        <v>1</v>
      </c>
      <c r="J386">
        <v>78.86</v>
      </c>
      <c r="K386">
        <v>10</v>
      </c>
      <c r="L386">
        <v>70.97</v>
      </c>
      <c r="M386">
        <v>7.4</v>
      </c>
      <c r="N386">
        <v>24.14</v>
      </c>
      <c r="O386" t="s">
        <v>34</v>
      </c>
      <c r="P386">
        <v>2023</v>
      </c>
      <c r="Q386" t="s">
        <v>3643</v>
      </c>
      <c r="R386">
        <v>63.872999999999998</v>
      </c>
      <c r="S386">
        <v>0.37793746966636899</v>
      </c>
      <c r="T386" t="s">
        <v>3634</v>
      </c>
      <c r="U386" t="s">
        <v>3633</v>
      </c>
    </row>
    <row r="387" spans="1:21" x14ac:dyDescent="0.25">
      <c r="A387" t="s">
        <v>846</v>
      </c>
      <c r="B387" s="1">
        <v>45152</v>
      </c>
      <c r="C387" t="s">
        <v>847</v>
      </c>
      <c r="D387" t="s">
        <v>30</v>
      </c>
      <c r="E387" t="s">
        <v>135</v>
      </c>
      <c r="F387" t="s">
        <v>26</v>
      </c>
      <c r="G387" t="s">
        <v>20</v>
      </c>
      <c r="H387" t="s">
        <v>199</v>
      </c>
      <c r="I387">
        <v>1</v>
      </c>
      <c r="J387">
        <v>89.29</v>
      </c>
      <c r="K387">
        <v>5</v>
      </c>
      <c r="L387">
        <v>84.83</v>
      </c>
      <c r="M387">
        <v>9.18</v>
      </c>
      <c r="N387">
        <v>26.54</v>
      </c>
      <c r="O387" t="s">
        <v>39</v>
      </c>
      <c r="P387">
        <v>2023</v>
      </c>
      <c r="Q387" t="s">
        <v>3643</v>
      </c>
      <c r="R387">
        <v>80.588499999999996</v>
      </c>
      <c r="S387">
        <v>0.32932738542099699</v>
      </c>
      <c r="T387" t="s">
        <v>3634</v>
      </c>
      <c r="U387" t="s">
        <v>3633</v>
      </c>
    </row>
    <row r="388" spans="1:21" x14ac:dyDescent="0.25">
      <c r="A388" t="s">
        <v>848</v>
      </c>
      <c r="B388" s="1">
        <v>45153</v>
      </c>
      <c r="C388" t="s">
        <v>849</v>
      </c>
      <c r="D388" t="s">
        <v>30</v>
      </c>
      <c r="E388" t="s">
        <v>18</v>
      </c>
      <c r="F388" t="s">
        <v>19</v>
      </c>
      <c r="G388" t="s">
        <v>69</v>
      </c>
      <c r="H388" t="s">
        <v>70</v>
      </c>
      <c r="I388">
        <v>1</v>
      </c>
      <c r="J388">
        <v>22.46</v>
      </c>
      <c r="K388">
        <v>5</v>
      </c>
      <c r="L388">
        <v>21.34</v>
      </c>
      <c r="M388">
        <v>6.95</v>
      </c>
      <c r="N388">
        <v>3.16</v>
      </c>
      <c r="O388" t="s">
        <v>34</v>
      </c>
      <c r="P388">
        <v>2023</v>
      </c>
      <c r="Q388" t="s">
        <v>3643</v>
      </c>
      <c r="R388">
        <v>20.273</v>
      </c>
      <c r="S388">
        <v>0.15587234252453999</v>
      </c>
      <c r="T388" t="s">
        <v>3634</v>
      </c>
      <c r="U388" t="s">
        <v>3633</v>
      </c>
    </row>
    <row r="389" spans="1:21" x14ac:dyDescent="0.25">
      <c r="A389" t="s">
        <v>850</v>
      </c>
      <c r="B389" s="1">
        <v>45153</v>
      </c>
      <c r="C389" t="s">
        <v>851</v>
      </c>
      <c r="D389" t="s">
        <v>49</v>
      </c>
      <c r="E389" t="s">
        <v>129</v>
      </c>
      <c r="F389" t="s">
        <v>19</v>
      </c>
      <c r="G389" t="s">
        <v>32</v>
      </c>
      <c r="H389" t="s">
        <v>132</v>
      </c>
      <c r="I389">
        <v>4</v>
      </c>
      <c r="J389">
        <v>12.89</v>
      </c>
      <c r="K389">
        <v>5</v>
      </c>
      <c r="L389">
        <v>48.98</v>
      </c>
      <c r="M389">
        <v>9.57</v>
      </c>
      <c r="N389">
        <v>16.21</v>
      </c>
      <c r="O389" t="s">
        <v>34</v>
      </c>
      <c r="P389">
        <v>2023</v>
      </c>
      <c r="Q389" t="s">
        <v>3643</v>
      </c>
      <c r="R389">
        <v>46.530999999999999</v>
      </c>
      <c r="S389">
        <v>0.34836990393501099</v>
      </c>
      <c r="T389" t="s">
        <v>3634</v>
      </c>
      <c r="U389" t="s">
        <v>3633</v>
      </c>
    </row>
    <row r="390" spans="1:21" x14ac:dyDescent="0.25">
      <c r="A390" t="s">
        <v>852</v>
      </c>
      <c r="B390" s="1">
        <v>45153</v>
      </c>
      <c r="C390" t="s">
        <v>853</v>
      </c>
      <c r="D390" t="s">
        <v>30</v>
      </c>
      <c r="E390" t="s">
        <v>248</v>
      </c>
      <c r="F390" t="s">
        <v>26</v>
      </c>
      <c r="G390" t="s">
        <v>20</v>
      </c>
      <c r="H390" t="s">
        <v>55</v>
      </c>
      <c r="I390">
        <v>9</v>
      </c>
      <c r="J390">
        <v>27.41</v>
      </c>
      <c r="K390">
        <v>0</v>
      </c>
      <c r="L390">
        <v>246.69</v>
      </c>
      <c r="M390">
        <v>12.06</v>
      </c>
      <c r="N390">
        <v>98.95</v>
      </c>
      <c r="O390" t="s">
        <v>34</v>
      </c>
      <c r="P390">
        <v>2023</v>
      </c>
      <c r="Q390" t="s">
        <v>3643</v>
      </c>
      <c r="R390">
        <v>246.69</v>
      </c>
      <c r="S390">
        <v>0.401110705744051</v>
      </c>
      <c r="T390" t="s">
        <v>3632</v>
      </c>
      <c r="U390" t="s">
        <v>3633</v>
      </c>
    </row>
    <row r="391" spans="1:21" x14ac:dyDescent="0.25">
      <c r="A391" t="s">
        <v>854</v>
      </c>
      <c r="B391" s="1">
        <v>45154</v>
      </c>
      <c r="C391" t="s">
        <v>855</v>
      </c>
      <c r="D391" t="s">
        <v>30</v>
      </c>
      <c r="E391" t="s">
        <v>121</v>
      </c>
      <c r="F391" t="s">
        <v>68</v>
      </c>
      <c r="G391" t="s">
        <v>69</v>
      </c>
      <c r="H391" t="s">
        <v>79</v>
      </c>
      <c r="I391">
        <v>6</v>
      </c>
      <c r="J391">
        <v>78.77</v>
      </c>
      <c r="K391">
        <v>0</v>
      </c>
      <c r="L391">
        <v>472.62</v>
      </c>
      <c r="M391">
        <v>19.75</v>
      </c>
      <c r="N391">
        <v>216.56</v>
      </c>
      <c r="O391" t="s">
        <v>39</v>
      </c>
      <c r="P391">
        <v>2023</v>
      </c>
      <c r="Q391" t="s">
        <v>3643</v>
      </c>
      <c r="R391">
        <v>472.62</v>
      </c>
      <c r="S391">
        <v>0.45821167110998301</v>
      </c>
      <c r="T391" t="s">
        <v>3632</v>
      </c>
      <c r="U391" t="s">
        <v>3633</v>
      </c>
    </row>
    <row r="392" spans="1:21" x14ac:dyDescent="0.25">
      <c r="A392" t="s">
        <v>856</v>
      </c>
      <c r="B392" s="1">
        <v>45154</v>
      </c>
      <c r="C392" t="s">
        <v>857</v>
      </c>
      <c r="D392" t="s">
        <v>49</v>
      </c>
      <c r="E392" t="s">
        <v>31</v>
      </c>
      <c r="F392" t="s">
        <v>19</v>
      </c>
      <c r="G392" t="s">
        <v>69</v>
      </c>
      <c r="H392" t="s">
        <v>86</v>
      </c>
      <c r="I392">
        <v>1</v>
      </c>
      <c r="J392">
        <v>62.43</v>
      </c>
      <c r="K392">
        <v>10</v>
      </c>
      <c r="L392">
        <v>56.19</v>
      </c>
      <c r="M392">
        <v>7.27</v>
      </c>
      <c r="N392">
        <v>17.7</v>
      </c>
      <c r="O392" t="s">
        <v>34</v>
      </c>
      <c r="P392">
        <v>2023</v>
      </c>
      <c r="Q392" t="s">
        <v>3643</v>
      </c>
      <c r="R392">
        <v>50.570999999999998</v>
      </c>
      <c r="S392">
        <v>0.35000296612683202</v>
      </c>
      <c r="T392" t="s">
        <v>3634</v>
      </c>
      <c r="U392" t="s">
        <v>3633</v>
      </c>
    </row>
    <row r="393" spans="1:21" x14ac:dyDescent="0.25">
      <c r="A393" t="s">
        <v>858</v>
      </c>
      <c r="B393" s="1">
        <v>45154</v>
      </c>
      <c r="C393" t="s">
        <v>859</v>
      </c>
      <c r="D393" t="s">
        <v>17</v>
      </c>
      <c r="E393" t="s">
        <v>67</v>
      </c>
      <c r="F393" t="s">
        <v>68</v>
      </c>
      <c r="G393" t="s">
        <v>69</v>
      </c>
      <c r="H393" t="s">
        <v>86</v>
      </c>
      <c r="I393">
        <v>1</v>
      </c>
      <c r="J393">
        <v>59.71</v>
      </c>
      <c r="K393">
        <v>15</v>
      </c>
      <c r="L393">
        <v>50.75</v>
      </c>
      <c r="M393">
        <v>11.43</v>
      </c>
      <c r="N393">
        <v>9.4600000000000009</v>
      </c>
      <c r="O393" t="s">
        <v>39</v>
      </c>
      <c r="P393">
        <v>2023</v>
      </c>
      <c r="Q393" t="s">
        <v>3643</v>
      </c>
      <c r="R393">
        <v>43.137500000000003</v>
      </c>
      <c r="S393">
        <v>0.219298753984352</v>
      </c>
      <c r="T393" t="s">
        <v>3634</v>
      </c>
      <c r="U393" t="s">
        <v>3633</v>
      </c>
    </row>
    <row r="394" spans="1:21" x14ac:dyDescent="0.25">
      <c r="A394" t="s">
        <v>860</v>
      </c>
      <c r="B394" s="1">
        <v>45154</v>
      </c>
      <c r="C394" t="s">
        <v>712</v>
      </c>
      <c r="D394" t="s">
        <v>30</v>
      </c>
      <c r="E394" t="s">
        <v>121</v>
      </c>
      <c r="F394" t="s">
        <v>68</v>
      </c>
      <c r="G394" t="s">
        <v>69</v>
      </c>
      <c r="H394" t="s">
        <v>86</v>
      </c>
      <c r="I394">
        <v>2</v>
      </c>
      <c r="J394">
        <v>148.55000000000001</v>
      </c>
      <c r="K394">
        <v>10</v>
      </c>
      <c r="L394">
        <v>267.39</v>
      </c>
      <c r="M394">
        <v>14.84</v>
      </c>
      <c r="N394">
        <v>104</v>
      </c>
      <c r="O394" t="s">
        <v>22</v>
      </c>
      <c r="P394">
        <v>2023</v>
      </c>
      <c r="Q394" t="s">
        <v>3643</v>
      </c>
      <c r="R394">
        <v>240.65100000000001</v>
      </c>
      <c r="S394">
        <v>0.43216109635945799</v>
      </c>
      <c r="T394" t="s">
        <v>3632</v>
      </c>
      <c r="U394" t="s">
        <v>3633</v>
      </c>
    </row>
    <row r="395" spans="1:21" x14ac:dyDescent="0.25">
      <c r="A395" t="s">
        <v>861</v>
      </c>
      <c r="B395" s="1">
        <v>45155</v>
      </c>
      <c r="C395" t="s">
        <v>862</v>
      </c>
      <c r="D395" t="s">
        <v>17</v>
      </c>
      <c r="E395" t="s">
        <v>129</v>
      </c>
      <c r="F395" t="s">
        <v>19</v>
      </c>
      <c r="G395" t="s">
        <v>32</v>
      </c>
      <c r="H395" t="s">
        <v>101</v>
      </c>
      <c r="I395">
        <v>2</v>
      </c>
      <c r="J395">
        <v>12.61</v>
      </c>
      <c r="K395">
        <v>25</v>
      </c>
      <c r="L395">
        <v>18.91</v>
      </c>
      <c r="M395">
        <v>9.18</v>
      </c>
      <c r="N395">
        <v>-1.62</v>
      </c>
      <c r="O395" t="s">
        <v>34</v>
      </c>
      <c r="P395">
        <v>2023</v>
      </c>
      <c r="Q395" t="s">
        <v>3643</v>
      </c>
      <c r="R395">
        <v>14.182499999999999</v>
      </c>
      <c r="S395">
        <v>-0.114225277630883</v>
      </c>
      <c r="T395" t="s">
        <v>3634</v>
      </c>
      <c r="U395" t="s">
        <v>3636</v>
      </c>
    </row>
    <row r="396" spans="1:21" x14ac:dyDescent="0.25">
      <c r="A396" t="s">
        <v>863</v>
      </c>
      <c r="B396" s="1">
        <v>45156</v>
      </c>
      <c r="C396" t="s">
        <v>864</v>
      </c>
      <c r="D396" t="s">
        <v>17</v>
      </c>
      <c r="E396" t="s">
        <v>129</v>
      </c>
      <c r="F396" t="s">
        <v>19</v>
      </c>
      <c r="G396" t="s">
        <v>69</v>
      </c>
      <c r="H396" t="s">
        <v>196</v>
      </c>
      <c r="I396">
        <v>1</v>
      </c>
      <c r="J396">
        <v>8.92</v>
      </c>
      <c r="K396">
        <v>0</v>
      </c>
      <c r="L396">
        <v>8.92</v>
      </c>
      <c r="M396">
        <v>7.37</v>
      </c>
      <c r="N396">
        <v>-2.91</v>
      </c>
      <c r="O396" t="s">
        <v>39</v>
      </c>
      <c r="P396">
        <v>2023</v>
      </c>
      <c r="Q396" t="s">
        <v>3643</v>
      </c>
      <c r="R396">
        <v>8.92</v>
      </c>
      <c r="S396">
        <v>-0.32623318385650202</v>
      </c>
      <c r="T396" t="s">
        <v>3634</v>
      </c>
      <c r="U396" t="s">
        <v>3636</v>
      </c>
    </row>
    <row r="397" spans="1:21" x14ac:dyDescent="0.25">
      <c r="A397" t="s">
        <v>865</v>
      </c>
      <c r="B397" s="1">
        <v>45156</v>
      </c>
      <c r="C397" t="s">
        <v>866</v>
      </c>
      <c r="D397" t="s">
        <v>49</v>
      </c>
      <c r="E397" t="s">
        <v>92</v>
      </c>
      <c r="F397" t="s">
        <v>60</v>
      </c>
      <c r="G397" t="s">
        <v>69</v>
      </c>
      <c r="H397" t="s">
        <v>163</v>
      </c>
      <c r="I397">
        <v>3</v>
      </c>
      <c r="J397">
        <v>48.47</v>
      </c>
      <c r="K397">
        <v>20</v>
      </c>
      <c r="L397">
        <v>116.33</v>
      </c>
      <c r="M397">
        <v>10.91</v>
      </c>
      <c r="N397">
        <v>32.72</v>
      </c>
      <c r="O397" t="s">
        <v>56</v>
      </c>
      <c r="P397">
        <v>2023</v>
      </c>
      <c r="Q397" t="s">
        <v>3643</v>
      </c>
      <c r="R397">
        <v>93.063999999999993</v>
      </c>
      <c r="S397">
        <v>0.351586005329666</v>
      </c>
      <c r="T397" t="s">
        <v>3632</v>
      </c>
      <c r="U397" t="s">
        <v>3633</v>
      </c>
    </row>
    <row r="398" spans="1:21" x14ac:dyDescent="0.25">
      <c r="A398" t="s">
        <v>867</v>
      </c>
      <c r="B398" s="1">
        <v>45157</v>
      </c>
      <c r="C398" t="s">
        <v>868</v>
      </c>
      <c r="D398" t="s">
        <v>17</v>
      </c>
      <c r="E398" t="s">
        <v>53</v>
      </c>
      <c r="F398" t="s">
        <v>54</v>
      </c>
      <c r="G398" t="s">
        <v>20</v>
      </c>
      <c r="H398" t="s">
        <v>199</v>
      </c>
      <c r="I398">
        <v>1</v>
      </c>
      <c r="J398">
        <v>156.51</v>
      </c>
      <c r="K398">
        <v>30</v>
      </c>
      <c r="L398">
        <v>109.56</v>
      </c>
      <c r="M398">
        <v>13.21</v>
      </c>
      <c r="N398">
        <v>10.27</v>
      </c>
      <c r="O398" t="s">
        <v>39</v>
      </c>
      <c r="P398">
        <v>2023</v>
      </c>
      <c r="Q398" t="s">
        <v>3643</v>
      </c>
      <c r="R398">
        <v>76.691999999999993</v>
      </c>
      <c r="S398">
        <v>0.13391227246648901</v>
      </c>
      <c r="T398" t="s">
        <v>3632</v>
      </c>
      <c r="U398" t="s">
        <v>3633</v>
      </c>
    </row>
    <row r="399" spans="1:21" x14ac:dyDescent="0.25">
      <c r="A399" t="s">
        <v>869</v>
      </c>
      <c r="B399" s="1">
        <v>45157</v>
      </c>
      <c r="C399" t="s">
        <v>870</v>
      </c>
      <c r="D399" t="s">
        <v>49</v>
      </c>
      <c r="E399" t="s">
        <v>18</v>
      </c>
      <c r="F399" t="s">
        <v>19</v>
      </c>
      <c r="G399" t="s">
        <v>69</v>
      </c>
      <c r="H399" t="s">
        <v>70</v>
      </c>
      <c r="I399">
        <v>6</v>
      </c>
      <c r="J399">
        <v>64.17</v>
      </c>
      <c r="K399">
        <v>10</v>
      </c>
      <c r="L399">
        <v>346.52</v>
      </c>
      <c r="M399">
        <v>9.61</v>
      </c>
      <c r="N399">
        <v>144.4</v>
      </c>
      <c r="O399" t="s">
        <v>39</v>
      </c>
      <c r="P399">
        <v>2023</v>
      </c>
      <c r="Q399" t="s">
        <v>3643</v>
      </c>
      <c r="R399">
        <v>311.86799999999999</v>
      </c>
      <c r="S399">
        <v>0.46301640437621</v>
      </c>
      <c r="T399" t="s">
        <v>3632</v>
      </c>
      <c r="U399" t="s">
        <v>3633</v>
      </c>
    </row>
    <row r="400" spans="1:21" x14ac:dyDescent="0.25">
      <c r="A400" t="s">
        <v>871</v>
      </c>
      <c r="B400" s="1">
        <v>45157</v>
      </c>
      <c r="C400" t="s">
        <v>179</v>
      </c>
      <c r="D400" t="s">
        <v>30</v>
      </c>
      <c r="E400" t="s">
        <v>76</v>
      </c>
      <c r="F400" t="s">
        <v>26</v>
      </c>
      <c r="G400" t="s">
        <v>42</v>
      </c>
      <c r="H400" t="s">
        <v>234</v>
      </c>
      <c r="I400">
        <v>1</v>
      </c>
      <c r="J400">
        <v>57.21</v>
      </c>
      <c r="K400">
        <v>15</v>
      </c>
      <c r="L400">
        <v>48.63</v>
      </c>
      <c r="M400">
        <v>7.77</v>
      </c>
      <c r="N400">
        <v>6.53</v>
      </c>
      <c r="O400" t="s">
        <v>22</v>
      </c>
      <c r="P400">
        <v>2023</v>
      </c>
      <c r="Q400" t="s">
        <v>3643</v>
      </c>
      <c r="R400">
        <v>41.335500000000003</v>
      </c>
      <c r="S400">
        <v>0.157975589989234</v>
      </c>
      <c r="T400" t="s">
        <v>3634</v>
      </c>
      <c r="U400" t="s">
        <v>3633</v>
      </c>
    </row>
    <row r="401" spans="1:21" x14ac:dyDescent="0.25">
      <c r="A401" t="s">
        <v>872</v>
      </c>
      <c r="B401" s="1">
        <v>45157</v>
      </c>
      <c r="C401" t="s">
        <v>873</v>
      </c>
      <c r="D401" t="s">
        <v>30</v>
      </c>
      <c r="E401" t="s">
        <v>31</v>
      </c>
      <c r="F401" t="s">
        <v>19</v>
      </c>
      <c r="G401" t="s">
        <v>32</v>
      </c>
      <c r="H401" t="s">
        <v>33</v>
      </c>
      <c r="I401">
        <v>1</v>
      </c>
      <c r="J401">
        <v>14.44</v>
      </c>
      <c r="K401">
        <v>5</v>
      </c>
      <c r="L401">
        <v>13.72</v>
      </c>
      <c r="M401">
        <v>6.28</v>
      </c>
      <c r="N401">
        <v>0.94</v>
      </c>
      <c r="O401" t="s">
        <v>34</v>
      </c>
      <c r="P401">
        <v>2023</v>
      </c>
      <c r="Q401" t="s">
        <v>3643</v>
      </c>
      <c r="R401">
        <v>13.034000000000001</v>
      </c>
      <c r="S401">
        <v>7.2119073193187E-2</v>
      </c>
      <c r="T401" t="s">
        <v>3634</v>
      </c>
      <c r="U401" t="s">
        <v>3633</v>
      </c>
    </row>
    <row r="402" spans="1:21" x14ac:dyDescent="0.25">
      <c r="A402" t="s">
        <v>874</v>
      </c>
      <c r="B402" s="1">
        <v>45160</v>
      </c>
      <c r="C402" t="s">
        <v>875</v>
      </c>
      <c r="D402" t="s">
        <v>49</v>
      </c>
      <c r="E402" t="s">
        <v>92</v>
      </c>
      <c r="F402" t="s">
        <v>60</v>
      </c>
      <c r="G402" t="s">
        <v>20</v>
      </c>
      <c r="H402" t="s">
        <v>21</v>
      </c>
      <c r="I402">
        <v>3</v>
      </c>
      <c r="J402">
        <v>100.41</v>
      </c>
      <c r="K402">
        <v>5</v>
      </c>
      <c r="L402">
        <v>286.17</v>
      </c>
      <c r="M402">
        <v>16.29</v>
      </c>
      <c r="N402">
        <v>104.2</v>
      </c>
      <c r="O402" t="s">
        <v>34</v>
      </c>
      <c r="P402">
        <v>2023</v>
      </c>
      <c r="Q402" t="s">
        <v>3643</v>
      </c>
      <c r="R402">
        <v>271.86149999999998</v>
      </c>
      <c r="S402">
        <v>0.38328339981939302</v>
      </c>
      <c r="T402" t="s">
        <v>3632</v>
      </c>
      <c r="U402" t="s">
        <v>3633</v>
      </c>
    </row>
    <row r="403" spans="1:21" x14ac:dyDescent="0.25">
      <c r="A403" t="s">
        <v>876</v>
      </c>
      <c r="B403" s="1">
        <v>45160</v>
      </c>
      <c r="C403" t="s">
        <v>877</v>
      </c>
      <c r="D403" t="s">
        <v>30</v>
      </c>
      <c r="E403" t="s">
        <v>63</v>
      </c>
      <c r="F403" t="s">
        <v>54</v>
      </c>
      <c r="G403" t="s">
        <v>32</v>
      </c>
      <c r="H403" t="s">
        <v>50</v>
      </c>
      <c r="I403">
        <v>2</v>
      </c>
      <c r="J403">
        <v>8.3000000000000007</v>
      </c>
      <c r="K403">
        <v>5</v>
      </c>
      <c r="L403">
        <v>15.77</v>
      </c>
      <c r="M403">
        <v>15.44</v>
      </c>
      <c r="N403">
        <v>-7.14</v>
      </c>
      <c r="O403" t="s">
        <v>39</v>
      </c>
      <c r="P403">
        <v>2023</v>
      </c>
      <c r="Q403" t="s">
        <v>3643</v>
      </c>
      <c r="R403">
        <v>14.9815</v>
      </c>
      <c r="S403">
        <v>-0.47658779160965198</v>
      </c>
      <c r="T403" t="s">
        <v>3634</v>
      </c>
      <c r="U403" t="s">
        <v>3636</v>
      </c>
    </row>
    <row r="404" spans="1:21" x14ac:dyDescent="0.25">
      <c r="A404" t="s">
        <v>878</v>
      </c>
      <c r="B404" s="1">
        <v>45160</v>
      </c>
      <c r="C404" t="s">
        <v>879</v>
      </c>
      <c r="D404" t="s">
        <v>17</v>
      </c>
      <c r="E404" t="s">
        <v>37</v>
      </c>
      <c r="F404" t="s">
        <v>26</v>
      </c>
      <c r="G404" t="s">
        <v>32</v>
      </c>
      <c r="H404" t="s">
        <v>132</v>
      </c>
      <c r="I404">
        <v>12</v>
      </c>
      <c r="J404">
        <v>10.19</v>
      </c>
      <c r="K404">
        <v>10</v>
      </c>
      <c r="L404">
        <v>110.05</v>
      </c>
      <c r="M404">
        <v>25.93</v>
      </c>
      <c r="N404">
        <v>29.09</v>
      </c>
      <c r="O404" t="s">
        <v>34</v>
      </c>
      <c r="P404">
        <v>2023</v>
      </c>
      <c r="Q404" t="s">
        <v>3643</v>
      </c>
      <c r="R404">
        <v>99.045000000000002</v>
      </c>
      <c r="S404">
        <v>0.29370488161946601</v>
      </c>
      <c r="T404" t="s">
        <v>3632</v>
      </c>
      <c r="U404" t="s">
        <v>3633</v>
      </c>
    </row>
    <row r="405" spans="1:21" x14ac:dyDescent="0.25">
      <c r="A405" t="s">
        <v>880</v>
      </c>
      <c r="B405" s="1">
        <v>45161</v>
      </c>
      <c r="C405" t="s">
        <v>881</v>
      </c>
      <c r="D405" t="s">
        <v>30</v>
      </c>
      <c r="E405" t="s">
        <v>85</v>
      </c>
      <c r="F405" t="s">
        <v>60</v>
      </c>
      <c r="G405" t="s">
        <v>32</v>
      </c>
      <c r="H405" t="s">
        <v>82</v>
      </c>
      <c r="I405">
        <v>5</v>
      </c>
      <c r="J405">
        <v>20.76</v>
      </c>
      <c r="K405">
        <v>5</v>
      </c>
      <c r="L405">
        <v>98.61</v>
      </c>
      <c r="M405">
        <v>14.44</v>
      </c>
      <c r="N405">
        <v>37.46</v>
      </c>
      <c r="O405" t="s">
        <v>34</v>
      </c>
      <c r="P405">
        <v>2023</v>
      </c>
      <c r="Q405" t="s">
        <v>3643</v>
      </c>
      <c r="R405">
        <v>93.679500000000004</v>
      </c>
      <c r="S405">
        <v>0.39987403861036802</v>
      </c>
      <c r="T405" t="s">
        <v>3634</v>
      </c>
      <c r="U405" t="s">
        <v>3633</v>
      </c>
    </row>
    <row r="406" spans="1:21" x14ac:dyDescent="0.25">
      <c r="A406" t="s">
        <v>882</v>
      </c>
      <c r="B406" s="1">
        <v>45161</v>
      </c>
      <c r="C406" t="s">
        <v>883</v>
      </c>
      <c r="D406" t="s">
        <v>49</v>
      </c>
      <c r="E406" t="s">
        <v>169</v>
      </c>
      <c r="F406" t="s">
        <v>68</v>
      </c>
      <c r="G406" t="s">
        <v>32</v>
      </c>
      <c r="H406" t="s">
        <v>348</v>
      </c>
      <c r="I406">
        <v>4</v>
      </c>
      <c r="J406">
        <v>6.4</v>
      </c>
      <c r="K406">
        <v>20</v>
      </c>
      <c r="L406">
        <v>20.48</v>
      </c>
      <c r="M406">
        <v>13.95</v>
      </c>
      <c r="N406">
        <v>-4.99</v>
      </c>
      <c r="O406" t="s">
        <v>34</v>
      </c>
      <c r="P406">
        <v>2023</v>
      </c>
      <c r="Q406" t="s">
        <v>3643</v>
      </c>
      <c r="R406">
        <v>16.384</v>
      </c>
      <c r="S406">
        <v>-0.3045654296875</v>
      </c>
      <c r="T406" t="s">
        <v>3634</v>
      </c>
      <c r="U406" t="s">
        <v>3636</v>
      </c>
    </row>
    <row r="407" spans="1:21" x14ac:dyDescent="0.25">
      <c r="A407" t="s">
        <v>884</v>
      </c>
      <c r="B407" s="1">
        <v>45161</v>
      </c>
      <c r="C407" t="s">
        <v>885</v>
      </c>
      <c r="D407" t="s">
        <v>49</v>
      </c>
      <c r="E407" t="s">
        <v>37</v>
      </c>
      <c r="F407" t="s">
        <v>26</v>
      </c>
      <c r="G407" t="s">
        <v>20</v>
      </c>
      <c r="H407" t="s">
        <v>21</v>
      </c>
      <c r="I407">
        <v>9</v>
      </c>
      <c r="J407">
        <v>156.74</v>
      </c>
      <c r="K407">
        <v>0</v>
      </c>
      <c r="L407">
        <v>1410.66</v>
      </c>
      <c r="M407">
        <v>15.34</v>
      </c>
      <c r="N407">
        <v>619.46</v>
      </c>
      <c r="O407" t="s">
        <v>39</v>
      </c>
      <c r="P407">
        <v>2023</v>
      </c>
      <c r="Q407" t="s">
        <v>3643</v>
      </c>
      <c r="R407">
        <v>1410.66</v>
      </c>
      <c r="S407">
        <v>0.43912778415776998</v>
      </c>
      <c r="T407" t="s">
        <v>3635</v>
      </c>
      <c r="U407" t="s">
        <v>3633</v>
      </c>
    </row>
    <row r="408" spans="1:21" x14ac:dyDescent="0.25">
      <c r="A408" t="s">
        <v>886</v>
      </c>
      <c r="B408" s="1">
        <v>45161</v>
      </c>
      <c r="C408" t="s">
        <v>302</v>
      </c>
      <c r="D408" t="s">
        <v>30</v>
      </c>
      <c r="E408" t="s">
        <v>169</v>
      </c>
      <c r="F408" t="s">
        <v>68</v>
      </c>
      <c r="G408" t="s">
        <v>42</v>
      </c>
      <c r="H408" t="s">
        <v>64</v>
      </c>
      <c r="I408">
        <v>2</v>
      </c>
      <c r="J408">
        <v>127.96</v>
      </c>
      <c r="K408">
        <v>0</v>
      </c>
      <c r="L408">
        <v>255.92</v>
      </c>
      <c r="M408">
        <v>12.79</v>
      </c>
      <c r="N408">
        <v>89.58</v>
      </c>
      <c r="O408" t="s">
        <v>34</v>
      </c>
      <c r="P408">
        <v>2023</v>
      </c>
      <c r="Q408" t="s">
        <v>3643</v>
      </c>
      <c r="R408">
        <v>255.92</v>
      </c>
      <c r="S408">
        <v>0.35003125976867799</v>
      </c>
      <c r="T408" t="s">
        <v>3632</v>
      </c>
      <c r="U408" t="s">
        <v>3633</v>
      </c>
    </row>
    <row r="409" spans="1:21" x14ac:dyDescent="0.25">
      <c r="A409" t="s">
        <v>887</v>
      </c>
      <c r="B409" s="1">
        <v>45162</v>
      </c>
      <c r="C409" t="s">
        <v>888</v>
      </c>
      <c r="D409" t="s">
        <v>49</v>
      </c>
      <c r="E409" t="s">
        <v>63</v>
      </c>
      <c r="F409" t="s">
        <v>54</v>
      </c>
      <c r="G409" t="s">
        <v>69</v>
      </c>
      <c r="H409" t="s">
        <v>243</v>
      </c>
      <c r="I409">
        <v>14</v>
      </c>
      <c r="J409">
        <v>36.74</v>
      </c>
      <c r="K409">
        <v>5</v>
      </c>
      <c r="L409">
        <v>488.64</v>
      </c>
      <c r="M409">
        <v>27.48</v>
      </c>
      <c r="N409">
        <v>203.98</v>
      </c>
      <c r="O409" t="s">
        <v>39</v>
      </c>
      <c r="P409">
        <v>2023</v>
      </c>
      <c r="Q409" t="s">
        <v>3643</v>
      </c>
      <c r="R409">
        <v>464.20800000000003</v>
      </c>
      <c r="S409">
        <v>0.43941508978733701</v>
      </c>
      <c r="T409" t="s">
        <v>3632</v>
      </c>
      <c r="U409" t="s">
        <v>3633</v>
      </c>
    </row>
    <row r="410" spans="1:21" x14ac:dyDescent="0.25">
      <c r="A410" t="s">
        <v>889</v>
      </c>
      <c r="B410" s="1">
        <v>45163</v>
      </c>
      <c r="C410" t="s">
        <v>890</v>
      </c>
      <c r="D410" t="s">
        <v>30</v>
      </c>
      <c r="E410" t="s">
        <v>138</v>
      </c>
      <c r="F410" t="s">
        <v>54</v>
      </c>
      <c r="G410" t="s">
        <v>69</v>
      </c>
      <c r="H410" t="s">
        <v>196</v>
      </c>
      <c r="I410">
        <v>2</v>
      </c>
      <c r="J410">
        <v>11.42</v>
      </c>
      <c r="K410">
        <v>0</v>
      </c>
      <c r="L410">
        <v>22.84</v>
      </c>
      <c r="M410">
        <v>13.37</v>
      </c>
      <c r="N410">
        <v>-1.95</v>
      </c>
      <c r="O410" t="s">
        <v>39</v>
      </c>
      <c r="P410">
        <v>2023</v>
      </c>
      <c r="Q410" t="s">
        <v>3643</v>
      </c>
      <c r="R410">
        <v>22.84</v>
      </c>
      <c r="S410">
        <v>-8.5376532399299501E-2</v>
      </c>
      <c r="T410" t="s">
        <v>3634</v>
      </c>
      <c r="U410" t="s">
        <v>3636</v>
      </c>
    </row>
    <row r="411" spans="1:21" x14ac:dyDescent="0.25">
      <c r="A411" t="s">
        <v>891</v>
      </c>
      <c r="B411" s="1">
        <v>45163</v>
      </c>
      <c r="C411" t="s">
        <v>892</v>
      </c>
      <c r="D411" t="s">
        <v>17</v>
      </c>
      <c r="E411" t="s">
        <v>37</v>
      </c>
      <c r="F411" t="s">
        <v>26</v>
      </c>
      <c r="G411" t="s">
        <v>69</v>
      </c>
      <c r="H411" t="s">
        <v>98</v>
      </c>
      <c r="I411">
        <v>4</v>
      </c>
      <c r="J411">
        <v>37.020000000000003</v>
      </c>
      <c r="K411">
        <v>10</v>
      </c>
      <c r="L411">
        <v>133.27000000000001</v>
      </c>
      <c r="M411">
        <v>9.44</v>
      </c>
      <c r="N411">
        <v>49.79</v>
      </c>
      <c r="O411" t="s">
        <v>22</v>
      </c>
      <c r="P411">
        <v>2023</v>
      </c>
      <c r="Q411" t="s">
        <v>3643</v>
      </c>
      <c r="R411">
        <v>119.943</v>
      </c>
      <c r="S411">
        <v>0.41511384574339499</v>
      </c>
      <c r="T411" t="s">
        <v>3632</v>
      </c>
      <c r="U411" t="s">
        <v>3633</v>
      </c>
    </row>
    <row r="412" spans="1:21" x14ac:dyDescent="0.25">
      <c r="A412" t="s">
        <v>893</v>
      </c>
      <c r="B412" s="1">
        <v>45163</v>
      </c>
      <c r="C412" t="s">
        <v>894</v>
      </c>
      <c r="D412" t="s">
        <v>30</v>
      </c>
      <c r="E412" t="s">
        <v>129</v>
      </c>
      <c r="F412" t="s">
        <v>19</v>
      </c>
      <c r="G412" t="s">
        <v>20</v>
      </c>
      <c r="H412" t="s">
        <v>122</v>
      </c>
      <c r="I412">
        <v>9</v>
      </c>
      <c r="J412">
        <v>82.15</v>
      </c>
      <c r="K412">
        <v>10</v>
      </c>
      <c r="L412">
        <v>665.42</v>
      </c>
      <c r="M412">
        <v>21.38</v>
      </c>
      <c r="N412">
        <v>237.4</v>
      </c>
      <c r="O412" t="s">
        <v>56</v>
      </c>
      <c r="P412">
        <v>2023</v>
      </c>
      <c r="Q412" t="s">
        <v>3643</v>
      </c>
      <c r="R412">
        <v>598.87800000000004</v>
      </c>
      <c r="S412">
        <v>0.39640794953229203</v>
      </c>
      <c r="T412" t="s">
        <v>3635</v>
      </c>
      <c r="U412" t="s">
        <v>3633</v>
      </c>
    </row>
    <row r="413" spans="1:21" x14ac:dyDescent="0.25">
      <c r="A413" t="s">
        <v>895</v>
      </c>
      <c r="B413" s="1">
        <v>45165</v>
      </c>
      <c r="C413" t="s">
        <v>896</v>
      </c>
      <c r="D413" t="s">
        <v>30</v>
      </c>
      <c r="E413" t="s">
        <v>76</v>
      </c>
      <c r="F413" t="s">
        <v>26</v>
      </c>
      <c r="G413" t="s">
        <v>20</v>
      </c>
      <c r="H413" t="s">
        <v>170</v>
      </c>
      <c r="I413">
        <v>2</v>
      </c>
      <c r="J413">
        <v>53.25</v>
      </c>
      <c r="K413">
        <v>5</v>
      </c>
      <c r="L413">
        <v>101.17</v>
      </c>
      <c r="M413">
        <v>8.08</v>
      </c>
      <c r="N413">
        <v>34.520000000000003</v>
      </c>
      <c r="O413" t="s">
        <v>39</v>
      </c>
      <c r="P413">
        <v>2023</v>
      </c>
      <c r="Q413" t="s">
        <v>3643</v>
      </c>
      <c r="R413">
        <v>96.111500000000007</v>
      </c>
      <c r="S413">
        <v>0.359166176784256</v>
      </c>
      <c r="T413" t="s">
        <v>3632</v>
      </c>
      <c r="U413" t="s">
        <v>3633</v>
      </c>
    </row>
    <row r="414" spans="1:21" x14ac:dyDescent="0.25">
      <c r="A414" t="s">
        <v>897</v>
      </c>
      <c r="B414" s="1">
        <v>45165</v>
      </c>
      <c r="C414" t="s">
        <v>629</v>
      </c>
      <c r="D414" t="s">
        <v>17</v>
      </c>
      <c r="E414" t="s">
        <v>129</v>
      </c>
      <c r="F414" t="s">
        <v>19</v>
      </c>
      <c r="G414" t="s">
        <v>42</v>
      </c>
      <c r="H414" t="s">
        <v>89</v>
      </c>
      <c r="I414">
        <v>3</v>
      </c>
      <c r="J414">
        <v>185.14</v>
      </c>
      <c r="K414">
        <v>5</v>
      </c>
      <c r="L414">
        <v>527.65</v>
      </c>
      <c r="M414">
        <v>9.42</v>
      </c>
      <c r="N414">
        <v>184.98</v>
      </c>
      <c r="O414" t="s">
        <v>39</v>
      </c>
      <c r="P414">
        <v>2023</v>
      </c>
      <c r="Q414" t="s">
        <v>3643</v>
      </c>
      <c r="R414">
        <v>501.26749999999998</v>
      </c>
      <c r="S414">
        <v>0.36902452283461401</v>
      </c>
      <c r="T414" t="s">
        <v>3635</v>
      </c>
      <c r="U414" t="s">
        <v>3633</v>
      </c>
    </row>
    <row r="415" spans="1:21" x14ac:dyDescent="0.25">
      <c r="A415" t="s">
        <v>898</v>
      </c>
      <c r="B415" s="1">
        <v>45165</v>
      </c>
      <c r="C415" t="s">
        <v>899</v>
      </c>
      <c r="D415" t="s">
        <v>30</v>
      </c>
      <c r="E415" t="s">
        <v>138</v>
      </c>
      <c r="F415" t="s">
        <v>54</v>
      </c>
      <c r="G415" t="s">
        <v>69</v>
      </c>
      <c r="H415" t="s">
        <v>160</v>
      </c>
      <c r="I415">
        <v>3</v>
      </c>
      <c r="J415">
        <v>29.47</v>
      </c>
      <c r="K415">
        <v>10</v>
      </c>
      <c r="L415">
        <v>79.569999999999993</v>
      </c>
      <c r="M415">
        <v>14.83</v>
      </c>
      <c r="N415">
        <v>20.53</v>
      </c>
      <c r="O415" t="s">
        <v>34</v>
      </c>
      <c r="P415">
        <v>2023</v>
      </c>
      <c r="Q415" t="s">
        <v>3643</v>
      </c>
      <c r="R415">
        <v>71.613</v>
      </c>
      <c r="S415">
        <v>0.28667979277505501</v>
      </c>
      <c r="T415" t="s">
        <v>3634</v>
      </c>
      <c r="U415" t="s">
        <v>3633</v>
      </c>
    </row>
    <row r="416" spans="1:21" x14ac:dyDescent="0.25">
      <c r="A416" t="s">
        <v>900</v>
      </c>
      <c r="B416" s="1">
        <v>45167</v>
      </c>
      <c r="C416" t="s">
        <v>901</v>
      </c>
      <c r="D416" t="s">
        <v>30</v>
      </c>
      <c r="E416" t="s">
        <v>53</v>
      </c>
      <c r="F416" t="s">
        <v>54</v>
      </c>
      <c r="G416" t="s">
        <v>32</v>
      </c>
      <c r="H416" t="s">
        <v>110</v>
      </c>
      <c r="I416">
        <v>5</v>
      </c>
      <c r="J416">
        <v>6.31</v>
      </c>
      <c r="K416">
        <v>10</v>
      </c>
      <c r="L416">
        <v>28.39</v>
      </c>
      <c r="M416">
        <v>22.11</v>
      </c>
      <c r="N416">
        <v>-7.92</v>
      </c>
      <c r="O416" t="s">
        <v>39</v>
      </c>
      <c r="P416">
        <v>2023</v>
      </c>
      <c r="Q416" t="s">
        <v>3643</v>
      </c>
      <c r="R416">
        <v>25.550999999999998</v>
      </c>
      <c r="S416">
        <v>-0.30996829869672399</v>
      </c>
      <c r="T416" t="s">
        <v>3634</v>
      </c>
      <c r="U416" t="s">
        <v>3636</v>
      </c>
    </row>
    <row r="417" spans="1:21" x14ac:dyDescent="0.25">
      <c r="A417" t="s">
        <v>902</v>
      </c>
      <c r="B417" s="1">
        <v>45167</v>
      </c>
      <c r="C417" t="s">
        <v>903</v>
      </c>
      <c r="D417" t="s">
        <v>30</v>
      </c>
      <c r="E417" t="s">
        <v>59</v>
      </c>
      <c r="F417" t="s">
        <v>60</v>
      </c>
      <c r="G417" t="s">
        <v>69</v>
      </c>
      <c r="H417" t="s">
        <v>163</v>
      </c>
      <c r="I417">
        <v>6</v>
      </c>
      <c r="J417">
        <v>50.95</v>
      </c>
      <c r="K417">
        <v>25</v>
      </c>
      <c r="L417">
        <v>229.28</v>
      </c>
      <c r="M417">
        <v>18.09</v>
      </c>
      <c r="N417">
        <v>58.34</v>
      </c>
      <c r="O417" t="s">
        <v>39</v>
      </c>
      <c r="P417">
        <v>2023</v>
      </c>
      <c r="Q417" t="s">
        <v>3643</v>
      </c>
      <c r="R417">
        <v>171.96</v>
      </c>
      <c r="S417">
        <v>0.339264945336125</v>
      </c>
      <c r="T417" t="s">
        <v>3632</v>
      </c>
      <c r="U417" t="s">
        <v>3633</v>
      </c>
    </row>
    <row r="418" spans="1:21" x14ac:dyDescent="0.25">
      <c r="A418" t="s">
        <v>904</v>
      </c>
      <c r="B418" s="1">
        <v>45168</v>
      </c>
      <c r="C418" t="s">
        <v>905</v>
      </c>
      <c r="D418" t="s">
        <v>30</v>
      </c>
      <c r="E418" t="s">
        <v>166</v>
      </c>
      <c r="F418" t="s">
        <v>60</v>
      </c>
      <c r="G418" t="s">
        <v>32</v>
      </c>
      <c r="H418" t="s">
        <v>50</v>
      </c>
      <c r="I418">
        <v>2</v>
      </c>
      <c r="J418">
        <v>13.7</v>
      </c>
      <c r="K418">
        <v>5</v>
      </c>
      <c r="L418">
        <v>26.03</v>
      </c>
      <c r="M418">
        <v>11.05</v>
      </c>
      <c r="N418">
        <v>2.65</v>
      </c>
      <c r="O418" t="s">
        <v>22</v>
      </c>
      <c r="P418">
        <v>2023</v>
      </c>
      <c r="Q418" t="s">
        <v>3643</v>
      </c>
      <c r="R418">
        <v>24.7285</v>
      </c>
      <c r="S418">
        <v>0.10716379885557201</v>
      </c>
      <c r="T418" t="s">
        <v>3634</v>
      </c>
      <c r="U418" t="s">
        <v>3633</v>
      </c>
    </row>
    <row r="419" spans="1:21" x14ac:dyDescent="0.25">
      <c r="A419" t="s">
        <v>906</v>
      </c>
      <c r="B419" s="1">
        <v>45168</v>
      </c>
      <c r="C419" t="s">
        <v>907</v>
      </c>
      <c r="D419" t="s">
        <v>49</v>
      </c>
      <c r="E419" t="s">
        <v>25</v>
      </c>
      <c r="F419" t="s">
        <v>26</v>
      </c>
      <c r="G419" t="s">
        <v>32</v>
      </c>
      <c r="H419" t="s">
        <v>348</v>
      </c>
      <c r="I419">
        <v>5</v>
      </c>
      <c r="J419">
        <v>8.73</v>
      </c>
      <c r="K419">
        <v>20</v>
      </c>
      <c r="L419">
        <v>34.92</v>
      </c>
      <c r="M419">
        <v>13.19</v>
      </c>
      <c r="N419">
        <v>2.09</v>
      </c>
      <c r="O419" t="s">
        <v>22</v>
      </c>
      <c r="P419">
        <v>2023</v>
      </c>
      <c r="Q419" t="s">
        <v>3643</v>
      </c>
      <c r="R419">
        <v>27.936</v>
      </c>
      <c r="S419">
        <v>7.4813860252004594E-2</v>
      </c>
      <c r="T419" t="s">
        <v>3634</v>
      </c>
      <c r="U419" t="s">
        <v>3633</v>
      </c>
    </row>
    <row r="420" spans="1:21" x14ac:dyDescent="0.25">
      <c r="A420" t="s">
        <v>908</v>
      </c>
      <c r="B420" s="1">
        <v>45168</v>
      </c>
      <c r="C420" t="s">
        <v>909</v>
      </c>
      <c r="D420" t="s">
        <v>30</v>
      </c>
      <c r="E420" t="s">
        <v>148</v>
      </c>
      <c r="F420" t="s">
        <v>60</v>
      </c>
      <c r="G420" t="s">
        <v>20</v>
      </c>
      <c r="H420" t="s">
        <v>264</v>
      </c>
      <c r="I420">
        <v>1</v>
      </c>
      <c r="J420">
        <v>34.68</v>
      </c>
      <c r="K420">
        <v>10</v>
      </c>
      <c r="L420">
        <v>31.21</v>
      </c>
      <c r="M420">
        <v>10.64</v>
      </c>
      <c r="N420">
        <v>1.5</v>
      </c>
      <c r="O420" t="s">
        <v>34</v>
      </c>
      <c r="P420">
        <v>2023</v>
      </c>
      <c r="Q420" t="s">
        <v>3643</v>
      </c>
      <c r="R420">
        <v>28.088999999999999</v>
      </c>
      <c r="S420">
        <v>5.3401687493324801E-2</v>
      </c>
      <c r="T420" t="s">
        <v>3634</v>
      </c>
      <c r="U420" t="s">
        <v>3633</v>
      </c>
    </row>
    <row r="421" spans="1:21" x14ac:dyDescent="0.25">
      <c r="A421" t="s">
        <v>910</v>
      </c>
      <c r="B421" s="1">
        <v>45168</v>
      </c>
      <c r="C421" t="s">
        <v>911</v>
      </c>
      <c r="D421" t="s">
        <v>17</v>
      </c>
      <c r="E421" t="s">
        <v>31</v>
      </c>
      <c r="F421" t="s">
        <v>19</v>
      </c>
      <c r="G421" t="s">
        <v>69</v>
      </c>
      <c r="H421" t="s">
        <v>160</v>
      </c>
      <c r="I421">
        <v>1</v>
      </c>
      <c r="J421">
        <v>25.23</v>
      </c>
      <c r="K421">
        <v>30</v>
      </c>
      <c r="L421">
        <v>17.66</v>
      </c>
      <c r="M421">
        <v>6.63</v>
      </c>
      <c r="N421">
        <v>-1.58</v>
      </c>
      <c r="O421" t="s">
        <v>39</v>
      </c>
      <c r="P421">
        <v>2023</v>
      </c>
      <c r="Q421" t="s">
        <v>3643</v>
      </c>
      <c r="R421">
        <v>12.362</v>
      </c>
      <c r="S421">
        <v>-0.127811033813299</v>
      </c>
      <c r="T421" t="s">
        <v>3634</v>
      </c>
      <c r="U421" t="s">
        <v>3636</v>
      </c>
    </row>
    <row r="422" spans="1:21" x14ac:dyDescent="0.25">
      <c r="A422" t="s">
        <v>912</v>
      </c>
      <c r="B422" s="1">
        <v>45169</v>
      </c>
      <c r="C422" t="s">
        <v>913</v>
      </c>
      <c r="D422" t="s">
        <v>17</v>
      </c>
      <c r="E422" t="s">
        <v>85</v>
      </c>
      <c r="F422" t="s">
        <v>60</v>
      </c>
      <c r="G422" t="s">
        <v>42</v>
      </c>
      <c r="H422" t="s">
        <v>46</v>
      </c>
      <c r="I422">
        <v>3</v>
      </c>
      <c r="J422">
        <v>116.76</v>
      </c>
      <c r="K422">
        <v>20</v>
      </c>
      <c r="L422">
        <v>280.22000000000003</v>
      </c>
      <c r="M422">
        <v>14.72</v>
      </c>
      <c r="N422">
        <v>55.33</v>
      </c>
      <c r="O422" t="s">
        <v>34</v>
      </c>
      <c r="P422">
        <v>2023</v>
      </c>
      <c r="Q422" t="s">
        <v>3643</v>
      </c>
      <c r="R422">
        <v>224.17599999999999</v>
      </c>
      <c r="S422">
        <v>0.24681500249803701</v>
      </c>
      <c r="T422" t="s">
        <v>3632</v>
      </c>
      <c r="U422" t="s">
        <v>3633</v>
      </c>
    </row>
    <row r="423" spans="1:21" x14ac:dyDescent="0.25">
      <c r="A423" t="s">
        <v>914</v>
      </c>
      <c r="B423" s="1">
        <v>45169</v>
      </c>
      <c r="C423" t="s">
        <v>639</v>
      </c>
      <c r="D423" t="s">
        <v>30</v>
      </c>
      <c r="E423" t="s">
        <v>31</v>
      </c>
      <c r="F423" t="s">
        <v>19</v>
      </c>
      <c r="G423" t="s">
        <v>32</v>
      </c>
      <c r="H423" t="s">
        <v>33</v>
      </c>
      <c r="I423">
        <v>4</v>
      </c>
      <c r="J423">
        <v>13.92</v>
      </c>
      <c r="K423">
        <v>5</v>
      </c>
      <c r="L423">
        <v>52.9</v>
      </c>
      <c r="M423">
        <v>10.83</v>
      </c>
      <c r="N423">
        <v>17.010000000000002</v>
      </c>
      <c r="O423" t="s">
        <v>34</v>
      </c>
      <c r="P423">
        <v>2023</v>
      </c>
      <c r="Q423" t="s">
        <v>3643</v>
      </c>
      <c r="R423">
        <v>50.255000000000003</v>
      </c>
      <c r="S423">
        <v>0.33847378370311398</v>
      </c>
      <c r="T423" t="s">
        <v>3634</v>
      </c>
      <c r="U423" t="s">
        <v>3633</v>
      </c>
    </row>
    <row r="424" spans="1:21" x14ac:dyDescent="0.25">
      <c r="A424" t="s">
        <v>915</v>
      </c>
      <c r="B424" s="1">
        <v>45169</v>
      </c>
      <c r="C424" t="s">
        <v>916</v>
      </c>
      <c r="D424" t="s">
        <v>49</v>
      </c>
      <c r="E424" t="s">
        <v>135</v>
      </c>
      <c r="F424" t="s">
        <v>26</v>
      </c>
      <c r="G424" t="s">
        <v>20</v>
      </c>
      <c r="H424" t="s">
        <v>122</v>
      </c>
      <c r="I424">
        <v>5</v>
      </c>
      <c r="J424">
        <v>76.290000000000006</v>
      </c>
      <c r="K424">
        <v>5</v>
      </c>
      <c r="L424">
        <v>362.38</v>
      </c>
      <c r="M424">
        <v>19.14</v>
      </c>
      <c r="N424">
        <v>133.44</v>
      </c>
      <c r="O424" t="s">
        <v>39</v>
      </c>
      <c r="P424">
        <v>2023</v>
      </c>
      <c r="Q424" t="s">
        <v>3643</v>
      </c>
      <c r="R424">
        <v>344.26100000000002</v>
      </c>
      <c r="S424">
        <v>0.38761288673419297</v>
      </c>
      <c r="T424" t="s">
        <v>3632</v>
      </c>
      <c r="U424" t="s">
        <v>3633</v>
      </c>
    </row>
    <row r="425" spans="1:21" x14ac:dyDescent="0.25">
      <c r="A425" t="s">
        <v>917</v>
      </c>
      <c r="B425" s="1">
        <v>45169</v>
      </c>
      <c r="C425" t="s">
        <v>896</v>
      </c>
      <c r="D425" t="s">
        <v>17</v>
      </c>
      <c r="E425" t="s">
        <v>31</v>
      </c>
      <c r="F425" t="s">
        <v>19</v>
      </c>
      <c r="G425" t="s">
        <v>20</v>
      </c>
      <c r="H425" t="s">
        <v>38</v>
      </c>
      <c r="I425">
        <v>1</v>
      </c>
      <c r="J425">
        <v>37.56</v>
      </c>
      <c r="K425">
        <v>5</v>
      </c>
      <c r="L425">
        <v>35.68</v>
      </c>
      <c r="M425">
        <v>5.59</v>
      </c>
      <c r="N425">
        <v>9.43</v>
      </c>
      <c r="O425" t="s">
        <v>39</v>
      </c>
      <c r="P425">
        <v>2023</v>
      </c>
      <c r="Q425" t="s">
        <v>3643</v>
      </c>
      <c r="R425">
        <v>33.896000000000001</v>
      </c>
      <c r="S425">
        <v>0.27820391786641502</v>
      </c>
      <c r="T425" t="s">
        <v>3634</v>
      </c>
      <c r="U425" t="s">
        <v>3633</v>
      </c>
    </row>
    <row r="426" spans="1:21" x14ac:dyDescent="0.25">
      <c r="A426" t="s">
        <v>918</v>
      </c>
      <c r="B426" s="1">
        <v>45169</v>
      </c>
      <c r="C426" t="s">
        <v>919</v>
      </c>
      <c r="D426" t="s">
        <v>17</v>
      </c>
      <c r="E426" t="s">
        <v>109</v>
      </c>
      <c r="F426" t="s">
        <v>54</v>
      </c>
      <c r="G426" t="s">
        <v>20</v>
      </c>
      <c r="H426" t="s">
        <v>175</v>
      </c>
      <c r="I426">
        <v>3</v>
      </c>
      <c r="J426">
        <v>20.28</v>
      </c>
      <c r="K426">
        <v>0</v>
      </c>
      <c r="L426">
        <v>60.84</v>
      </c>
      <c r="M426">
        <v>15.83</v>
      </c>
      <c r="N426">
        <v>11.55</v>
      </c>
      <c r="O426" t="s">
        <v>34</v>
      </c>
      <c r="P426">
        <v>2023</v>
      </c>
      <c r="Q426" t="s">
        <v>3643</v>
      </c>
      <c r="R426">
        <v>60.84</v>
      </c>
      <c r="S426">
        <v>0.189842209072978</v>
      </c>
      <c r="T426" t="s">
        <v>3634</v>
      </c>
      <c r="U426" t="s">
        <v>3633</v>
      </c>
    </row>
    <row r="427" spans="1:21" x14ac:dyDescent="0.25">
      <c r="A427" t="s">
        <v>920</v>
      </c>
      <c r="B427" s="1">
        <v>45170</v>
      </c>
      <c r="C427" t="s">
        <v>921</v>
      </c>
      <c r="D427" t="s">
        <v>49</v>
      </c>
      <c r="E427" t="s">
        <v>248</v>
      </c>
      <c r="F427" t="s">
        <v>26</v>
      </c>
      <c r="G427" t="s">
        <v>32</v>
      </c>
      <c r="H427" t="s">
        <v>115</v>
      </c>
      <c r="I427">
        <v>4</v>
      </c>
      <c r="J427">
        <v>9.0500000000000007</v>
      </c>
      <c r="K427">
        <v>0</v>
      </c>
      <c r="L427">
        <v>36.200000000000003</v>
      </c>
      <c r="M427">
        <v>10.130000000000001</v>
      </c>
      <c r="N427">
        <v>9.7799999999999994</v>
      </c>
      <c r="O427" t="s">
        <v>22</v>
      </c>
      <c r="P427">
        <v>2023</v>
      </c>
      <c r="Q427" t="s">
        <v>3644</v>
      </c>
      <c r="R427">
        <v>36.200000000000003</v>
      </c>
      <c r="S427">
        <v>0.270165745856354</v>
      </c>
      <c r="T427" t="s">
        <v>3634</v>
      </c>
      <c r="U427" t="s">
        <v>3633</v>
      </c>
    </row>
    <row r="428" spans="1:21" x14ac:dyDescent="0.25">
      <c r="A428" t="s">
        <v>922</v>
      </c>
      <c r="B428" s="1">
        <v>45171</v>
      </c>
      <c r="C428" t="s">
        <v>923</v>
      </c>
      <c r="D428" t="s">
        <v>30</v>
      </c>
      <c r="E428" t="s">
        <v>135</v>
      </c>
      <c r="F428" t="s">
        <v>26</v>
      </c>
      <c r="G428" t="s">
        <v>20</v>
      </c>
      <c r="H428" t="s">
        <v>106</v>
      </c>
      <c r="I428">
        <v>13</v>
      </c>
      <c r="J428">
        <v>26.62</v>
      </c>
      <c r="K428">
        <v>15</v>
      </c>
      <c r="L428">
        <v>294.14999999999998</v>
      </c>
      <c r="M428">
        <v>30.98</v>
      </c>
      <c r="N428">
        <v>72.84</v>
      </c>
      <c r="O428" t="s">
        <v>34</v>
      </c>
      <c r="P428">
        <v>2023</v>
      </c>
      <c r="Q428" t="s">
        <v>3644</v>
      </c>
      <c r="R428">
        <v>250.0275</v>
      </c>
      <c r="S428">
        <v>0.291327953925068</v>
      </c>
      <c r="T428" t="s">
        <v>3632</v>
      </c>
      <c r="U428" t="s">
        <v>3633</v>
      </c>
    </row>
    <row r="429" spans="1:21" x14ac:dyDescent="0.25">
      <c r="A429" t="s">
        <v>924</v>
      </c>
      <c r="B429" s="1">
        <v>45172</v>
      </c>
      <c r="C429" t="s">
        <v>925</v>
      </c>
      <c r="D429" t="s">
        <v>30</v>
      </c>
      <c r="E429" t="s">
        <v>18</v>
      </c>
      <c r="F429" t="s">
        <v>19</v>
      </c>
      <c r="G429" t="s">
        <v>69</v>
      </c>
      <c r="H429" t="s">
        <v>160</v>
      </c>
      <c r="I429">
        <v>1</v>
      </c>
      <c r="J429">
        <v>17.03</v>
      </c>
      <c r="K429">
        <v>25</v>
      </c>
      <c r="L429">
        <v>12.77</v>
      </c>
      <c r="M429">
        <v>6.99</v>
      </c>
      <c r="N429">
        <v>-2.74</v>
      </c>
      <c r="O429" t="s">
        <v>56</v>
      </c>
      <c r="P429">
        <v>2023</v>
      </c>
      <c r="Q429" t="s">
        <v>3644</v>
      </c>
      <c r="R429">
        <v>9.5775000000000006</v>
      </c>
      <c r="S429">
        <v>-0.286087183503002</v>
      </c>
      <c r="T429" t="s">
        <v>3634</v>
      </c>
      <c r="U429" t="s">
        <v>3636</v>
      </c>
    </row>
    <row r="430" spans="1:21" x14ac:dyDescent="0.25">
      <c r="A430" t="s">
        <v>926</v>
      </c>
      <c r="B430" s="1">
        <v>45172</v>
      </c>
      <c r="C430" t="s">
        <v>927</v>
      </c>
      <c r="D430" t="s">
        <v>30</v>
      </c>
      <c r="E430" t="s">
        <v>135</v>
      </c>
      <c r="F430" t="s">
        <v>26</v>
      </c>
      <c r="G430" t="s">
        <v>42</v>
      </c>
      <c r="H430" t="s">
        <v>64</v>
      </c>
      <c r="I430">
        <v>10</v>
      </c>
      <c r="J430">
        <v>67.099999999999994</v>
      </c>
      <c r="K430">
        <v>10</v>
      </c>
      <c r="L430">
        <v>603.9</v>
      </c>
      <c r="M430">
        <v>14.47</v>
      </c>
      <c r="N430">
        <v>186.83</v>
      </c>
      <c r="O430" t="s">
        <v>22</v>
      </c>
      <c r="P430">
        <v>2023</v>
      </c>
      <c r="Q430" t="s">
        <v>3644</v>
      </c>
      <c r="R430">
        <v>543.51</v>
      </c>
      <c r="S430">
        <v>0.34374712516789002</v>
      </c>
      <c r="T430" t="s">
        <v>3635</v>
      </c>
      <c r="U430" t="s">
        <v>3633</v>
      </c>
    </row>
    <row r="431" spans="1:21" x14ac:dyDescent="0.25">
      <c r="A431" t="s">
        <v>928</v>
      </c>
      <c r="B431" s="1">
        <v>45172</v>
      </c>
      <c r="C431" t="s">
        <v>929</v>
      </c>
      <c r="D431" t="s">
        <v>30</v>
      </c>
      <c r="E431" t="s">
        <v>31</v>
      </c>
      <c r="F431" t="s">
        <v>19</v>
      </c>
      <c r="G431" t="s">
        <v>42</v>
      </c>
      <c r="H431" t="s">
        <v>46</v>
      </c>
      <c r="I431">
        <v>2</v>
      </c>
      <c r="J431">
        <v>199.2</v>
      </c>
      <c r="K431">
        <v>10</v>
      </c>
      <c r="L431">
        <v>358.56</v>
      </c>
      <c r="M431">
        <v>9.5299999999999994</v>
      </c>
      <c r="N431">
        <v>109.99</v>
      </c>
      <c r="O431" t="s">
        <v>34</v>
      </c>
      <c r="P431">
        <v>2023</v>
      </c>
      <c r="Q431" t="s">
        <v>3644</v>
      </c>
      <c r="R431">
        <v>322.70400000000001</v>
      </c>
      <c r="S431">
        <v>0.340838663295156</v>
      </c>
      <c r="T431" t="s">
        <v>3632</v>
      </c>
      <c r="U431" t="s">
        <v>3633</v>
      </c>
    </row>
    <row r="432" spans="1:21" x14ac:dyDescent="0.25">
      <c r="A432" t="s">
        <v>930</v>
      </c>
      <c r="B432" s="1">
        <v>45173</v>
      </c>
      <c r="C432" t="s">
        <v>931</v>
      </c>
      <c r="D432" t="s">
        <v>49</v>
      </c>
      <c r="E432" t="s">
        <v>92</v>
      </c>
      <c r="F432" t="s">
        <v>60</v>
      </c>
      <c r="G432" t="s">
        <v>32</v>
      </c>
      <c r="H432" t="s">
        <v>348</v>
      </c>
      <c r="I432">
        <v>1</v>
      </c>
      <c r="J432">
        <v>7.16</v>
      </c>
      <c r="K432">
        <v>10</v>
      </c>
      <c r="L432">
        <v>6.44</v>
      </c>
      <c r="M432">
        <v>10.26</v>
      </c>
      <c r="N432">
        <v>-7.04</v>
      </c>
      <c r="O432" t="s">
        <v>34</v>
      </c>
      <c r="P432">
        <v>2023</v>
      </c>
      <c r="Q432" t="s">
        <v>3644</v>
      </c>
      <c r="R432">
        <v>5.7960000000000003</v>
      </c>
      <c r="S432">
        <v>-1.2146307798481699</v>
      </c>
      <c r="T432" t="s">
        <v>3634</v>
      </c>
      <c r="U432" t="s">
        <v>3636</v>
      </c>
    </row>
    <row r="433" spans="1:21" x14ac:dyDescent="0.25">
      <c r="A433" t="s">
        <v>932</v>
      </c>
      <c r="B433" s="1">
        <v>45173</v>
      </c>
      <c r="C433" t="s">
        <v>423</v>
      </c>
      <c r="D433" t="s">
        <v>30</v>
      </c>
      <c r="E433" t="s">
        <v>166</v>
      </c>
      <c r="F433" t="s">
        <v>60</v>
      </c>
      <c r="G433" t="s">
        <v>32</v>
      </c>
      <c r="H433" t="s">
        <v>33</v>
      </c>
      <c r="I433">
        <v>1</v>
      </c>
      <c r="J433">
        <v>12.17</v>
      </c>
      <c r="K433">
        <v>15</v>
      </c>
      <c r="L433">
        <v>10.34</v>
      </c>
      <c r="M433">
        <v>11.21</v>
      </c>
      <c r="N433">
        <v>-6.35</v>
      </c>
      <c r="O433" t="s">
        <v>56</v>
      </c>
      <c r="P433">
        <v>2023</v>
      </c>
      <c r="Q433" t="s">
        <v>3644</v>
      </c>
      <c r="R433">
        <v>8.7889999999999997</v>
      </c>
      <c r="S433">
        <v>-0.72249402662418905</v>
      </c>
      <c r="T433" t="s">
        <v>3634</v>
      </c>
      <c r="U433" t="s">
        <v>3636</v>
      </c>
    </row>
    <row r="434" spans="1:21" x14ac:dyDescent="0.25">
      <c r="A434" t="s">
        <v>933</v>
      </c>
      <c r="B434" s="1">
        <v>45174</v>
      </c>
      <c r="C434" t="s">
        <v>934</v>
      </c>
      <c r="D434" t="s">
        <v>30</v>
      </c>
      <c r="E434" t="s">
        <v>18</v>
      </c>
      <c r="F434" t="s">
        <v>19</v>
      </c>
      <c r="G434" t="s">
        <v>32</v>
      </c>
      <c r="H434" t="s">
        <v>101</v>
      </c>
      <c r="I434">
        <v>5</v>
      </c>
      <c r="J434">
        <v>19.47</v>
      </c>
      <c r="K434">
        <v>5</v>
      </c>
      <c r="L434">
        <v>92.48</v>
      </c>
      <c r="M434">
        <v>11.28</v>
      </c>
      <c r="N434">
        <v>37.39</v>
      </c>
      <c r="O434" t="s">
        <v>22</v>
      </c>
      <c r="P434">
        <v>2023</v>
      </c>
      <c r="Q434" t="s">
        <v>3644</v>
      </c>
      <c r="R434">
        <v>87.855999999999995</v>
      </c>
      <c r="S434">
        <v>0.42558277180841397</v>
      </c>
      <c r="T434" t="s">
        <v>3634</v>
      </c>
      <c r="U434" t="s">
        <v>3633</v>
      </c>
    </row>
    <row r="435" spans="1:21" x14ac:dyDescent="0.25">
      <c r="A435" t="s">
        <v>935</v>
      </c>
      <c r="B435" s="1">
        <v>45174</v>
      </c>
      <c r="C435" t="s">
        <v>750</v>
      </c>
      <c r="D435" t="s">
        <v>30</v>
      </c>
      <c r="E435" t="s">
        <v>76</v>
      </c>
      <c r="F435" t="s">
        <v>26</v>
      </c>
      <c r="G435" t="s">
        <v>69</v>
      </c>
      <c r="H435" t="s">
        <v>196</v>
      </c>
      <c r="I435">
        <v>2</v>
      </c>
      <c r="J435">
        <v>14.43</v>
      </c>
      <c r="K435">
        <v>10</v>
      </c>
      <c r="L435">
        <v>25.97</v>
      </c>
      <c r="M435">
        <v>9.92</v>
      </c>
      <c r="N435">
        <v>1.62</v>
      </c>
      <c r="O435" t="s">
        <v>39</v>
      </c>
      <c r="P435">
        <v>2023</v>
      </c>
      <c r="Q435" t="s">
        <v>3644</v>
      </c>
      <c r="R435">
        <v>23.373000000000001</v>
      </c>
      <c r="S435">
        <v>6.9310743165190605E-2</v>
      </c>
      <c r="T435" t="s">
        <v>3634</v>
      </c>
      <c r="U435" t="s">
        <v>3633</v>
      </c>
    </row>
    <row r="436" spans="1:21" x14ac:dyDescent="0.25">
      <c r="A436" t="s">
        <v>936</v>
      </c>
      <c r="B436" s="1">
        <v>45175</v>
      </c>
      <c r="C436" t="s">
        <v>937</v>
      </c>
      <c r="D436" t="s">
        <v>30</v>
      </c>
      <c r="E436" t="s">
        <v>92</v>
      </c>
      <c r="F436" t="s">
        <v>60</v>
      </c>
      <c r="G436" t="s">
        <v>32</v>
      </c>
      <c r="H436" t="s">
        <v>101</v>
      </c>
      <c r="I436">
        <v>2</v>
      </c>
      <c r="J436">
        <v>11.34</v>
      </c>
      <c r="K436">
        <v>0</v>
      </c>
      <c r="L436">
        <v>22.68</v>
      </c>
      <c r="M436">
        <v>13.99</v>
      </c>
      <c r="N436">
        <v>-1.52</v>
      </c>
      <c r="O436" t="s">
        <v>39</v>
      </c>
      <c r="P436">
        <v>2023</v>
      </c>
      <c r="Q436" t="s">
        <v>3644</v>
      </c>
      <c r="R436">
        <v>22.68</v>
      </c>
      <c r="S436">
        <v>-6.7019400352733696E-2</v>
      </c>
      <c r="T436" t="s">
        <v>3634</v>
      </c>
      <c r="U436" t="s">
        <v>3636</v>
      </c>
    </row>
    <row r="437" spans="1:21" x14ac:dyDescent="0.25">
      <c r="A437" t="s">
        <v>938</v>
      </c>
      <c r="B437" s="1">
        <v>45175</v>
      </c>
      <c r="C437" t="s">
        <v>939</v>
      </c>
      <c r="D437" t="s">
        <v>17</v>
      </c>
      <c r="E437" t="s">
        <v>31</v>
      </c>
      <c r="F437" t="s">
        <v>19</v>
      </c>
      <c r="G437" t="s">
        <v>20</v>
      </c>
      <c r="H437" t="s">
        <v>27</v>
      </c>
      <c r="I437">
        <v>1</v>
      </c>
      <c r="J437">
        <v>152.34</v>
      </c>
      <c r="K437">
        <v>5</v>
      </c>
      <c r="L437">
        <v>144.72</v>
      </c>
      <c r="M437">
        <v>7.22</v>
      </c>
      <c r="N437">
        <v>53.71</v>
      </c>
      <c r="O437" t="s">
        <v>34</v>
      </c>
      <c r="P437">
        <v>2023</v>
      </c>
      <c r="Q437" t="s">
        <v>3644</v>
      </c>
      <c r="R437">
        <v>137.48400000000001</v>
      </c>
      <c r="S437">
        <v>0.39066364086002697</v>
      </c>
      <c r="T437" t="s">
        <v>3632</v>
      </c>
      <c r="U437" t="s">
        <v>3633</v>
      </c>
    </row>
    <row r="438" spans="1:21" x14ac:dyDescent="0.25">
      <c r="A438" t="s">
        <v>940</v>
      </c>
      <c r="B438" s="1">
        <v>45175</v>
      </c>
      <c r="C438" t="s">
        <v>542</v>
      </c>
      <c r="D438" t="s">
        <v>30</v>
      </c>
      <c r="E438" t="s">
        <v>138</v>
      </c>
      <c r="F438" t="s">
        <v>54</v>
      </c>
      <c r="G438" t="s">
        <v>20</v>
      </c>
      <c r="H438" t="s">
        <v>106</v>
      </c>
      <c r="I438">
        <v>1</v>
      </c>
      <c r="J438">
        <v>27.11</v>
      </c>
      <c r="K438">
        <v>5</v>
      </c>
      <c r="L438">
        <v>25.75</v>
      </c>
      <c r="M438">
        <v>13.15</v>
      </c>
      <c r="N438">
        <v>-2.31</v>
      </c>
      <c r="O438" t="s">
        <v>56</v>
      </c>
      <c r="P438">
        <v>2023</v>
      </c>
      <c r="Q438" t="s">
        <v>3644</v>
      </c>
      <c r="R438">
        <v>24.462499999999999</v>
      </c>
      <c r="S438">
        <v>-9.44302503832396E-2</v>
      </c>
      <c r="T438" t="s">
        <v>3634</v>
      </c>
      <c r="U438" t="s">
        <v>3636</v>
      </c>
    </row>
    <row r="439" spans="1:21" x14ac:dyDescent="0.25">
      <c r="A439" t="s">
        <v>941</v>
      </c>
      <c r="B439" s="1">
        <v>45175</v>
      </c>
      <c r="C439" t="s">
        <v>942</v>
      </c>
      <c r="D439" t="s">
        <v>49</v>
      </c>
      <c r="E439" t="s">
        <v>169</v>
      </c>
      <c r="F439" t="s">
        <v>68</v>
      </c>
      <c r="G439" t="s">
        <v>42</v>
      </c>
      <c r="H439" t="s">
        <v>93</v>
      </c>
      <c r="I439">
        <v>2</v>
      </c>
      <c r="J439">
        <v>426.27</v>
      </c>
      <c r="K439">
        <v>10</v>
      </c>
      <c r="L439">
        <v>767.29</v>
      </c>
      <c r="M439">
        <v>12.53</v>
      </c>
      <c r="N439">
        <v>243.24</v>
      </c>
      <c r="O439" t="s">
        <v>34</v>
      </c>
      <c r="P439">
        <v>2023</v>
      </c>
      <c r="Q439" t="s">
        <v>3644</v>
      </c>
      <c r="R439">
        <v>690.56100000000004</v>
      </c>
      <c r="S439">
        <v>0.35223535647104298</v>
      </c>
      <c r="T439" t="s">
        <v>3635</v>
      </c>
      <c r="U439" t="s">
        <v>3633</v>
      </c>
    </row>
    <row r="440" spans="1:21" x14ac:dyDescent="0.25">
      <c r="A440" t="s">
        <v>943</v>
      </c>
      <c r="B440" s="1">
        <v>45175</v>
      </c>
      <c r="C440" t="s">
        <v>944</v>
      </c>
      <c r="D440" t="s">
        <v>30</v>
      </c>
      <c r="E440" t="s">
        <v>18</v>
      </c>
      <c r="F440" t="s">
        <v>19</v>
      </c>
      <c r="G440" t="s">
        <v>69</v>
      </c>
      <c r="H440" t="s">
        <v>79</v>
      </c>
      <c r="I440">
        <v>1</v>
      </c>
      <c r="J440">
        <v>42.55</v>
      </c>
      <c r="K440">
        <v>5</v>
      </c>
      <c r="L440">
        <v>40.42</v>
      </c>
      <c r="M440">
        <v>7.38</v>
      </c>
      <c r="N440">
        <v>11.77</v>
      </c>
      <c r="O440" t="s">
        <v>34</v>
      </c>
      <c r="P440">
        <v>2023</v>
      </c>
      <c r="Q440" t="s">
        <v>3644</v>
      </c>
      <c r="R440">
        <v>38.399000000000001</v>
      </c>
      <c r="S440">
        <v>0.30651839891663801</v>
      </c>
      <c r="T440" t="s">
        <v>3634</v>
      </c>
      <c r="U440" t="s">
        <v>3633</v>
      </c>
    </row>
    <row r="441" spans="1:21" x14ac:dyDescent="0.25">
      <c r="A441" t="s">
        <v>945</v>
      </c>
      <c r="B441" s="1">
        <v>45176</v>
      </c>
      <c r="C441" t="s">
        <v>946</v>
      </c>
      <c r="D441" t="s">
        <v>49</v>
      </c>
      <c r="E441" t="s">
        <v>85</v>
      </c>
      <c r="F441" t="s">
        <v>60</v>
      </c>
      <c r="G441" t="s">
        <v>20</v>
      </c>
      <c r="H441" t="s">
        <v>170</v>
      </c>
      <c r="I441">
        <v>5</v>
      </c>
      <c r="J441">
        <v>28.98</v>
      </c>
      <c r="K441">
        <v>0</v>
      </c>
      <c r="L441">
        <v>144.9</v>
      </c>
      <c r="M441">
        <v>12.42</v>
      </c>
      <c r="N441">
        <v>52.78</v>
      </c>
      <c r="O441" t="s">
        <v>22</v>
      </c>
      <c r="P441">
        <v>2023</v>
      </c>
      <c r="Q441" t="s">
        <v>3644</v>
      </c>
      <c r="R441">
        <v>144.9</v>
      </c>
      <c r="S441">
        <v>0.36425120772946901</v>
      </c>
      <c r="T441" t="s">
        <v>3632</v>
      </c>
      <c r="U441" t="s">
        <v>3633</v>
      </c>
    </row>
    <row r="442" spans="1:21" x14ac:dyDescent="0.25">
      <c r="A442" t="s">
        <v>947</v>
      </c>
      <c r="B442" s="1">
        <v>45177</v>
      </c>
      <c r="C442" t="s">
        <v>948</v>
      </c>
      <c r="D442" t="s">
        <v>30</v>
      </c>
      <c r="E442" t="s">
        <v>18</v>
      </c>
      <c r="F442" t="s">
        <v>19</v>
      </c>
      <c r="G442" t="s">
        <v>69</v>
      </c>
      <c r="H442" t="s">
        <v>139</v>
      </c>
      <c r="I442">
        <v>1</v>
      </c>
      <c r="J442">
        <v>79.27</v>
      </c>
      <c r="K442">
        <v>10</v>
      </c>
      <c r="L442">
        <v>71.34</v>
      </c>
      <c r="M442">
        <v>6.56</v>
      </c>
      <c r="N442">
        <v>25.15</v>
      </c>
      <c r="O442" t="s">
        <v>34</v>
      </c>
      <c r="P442">
        <v>2023</v>
      </c>
      <c r="Q442" t="s">
        <v>3644</v>
      </c>
      <c r="R442">
        <v>64.206000000000003</v>
      </c>
      <c r="S442">
        <v>0.39170794006790599</v>
      </c>
      <c r="T442" t="s">
        <v>3634</v>
      </c>
      <c r="U442" t="s">
        <v>3633</v>
      </c>
    </row>
    <row r="443" spans="1:21" x14ac:dyDescent="0.25">
      <c r="A443" t="s">
        <v>949</v>
      </c>
      <c r="B443" s="1">
        <v>45177</v>
      </c>
      <c r="C443" t="s">
        <v>950</v>
      </c>
      <c r="D443" t="s">
        <v>30</v>
      </c>
      <c r="E443" t="s">
        <v>18</v>
      </c>
      <c r="F443" t="s">
        <v>19</v>
      </c>
      <c r="G443" t="s">
        <v>42</v>
      </c>
      <c r="H443" t="s">
        <v>234</v>
      </c>
      <c r="I443">
        <v>6</v>
      </c>
      <c r="J443">
        <v>47.47</v>
      </c>
      <c r="K443">
        <v>0</v>
      </c>
      <c r="L443">
        <v>284.82</v>
      </c>
      <c r="M443">
        <v>11.93</v>
      </c>
      <c r="N443">
        <v>102</v>
      </c>
      <c r="O443" t="s">
        <v>34</v>
      </c>
      <c r="P443">
        <v>2023</v>
      </c>
      <c r="Q443" t="s">
        <v>3644</v>
      </c>
      <c r="R443">
        <v>284.82</v>
      </c>
      <c r="S443">
        <v>0.35812091847482602</v>
      </c>
      <c r="T443" t="s">
        <v>3632</v>
      </c>
      <c r="U443" t="s">
        <v>3633</v>
      </c>
    </row>
    <row r="444" spans="1:21" x14ac:dyDescent="0.25">
      <c r="A444" t="s">
        <v>951</v>
      </c>
      <c r="B444" s="1">
        <v>45177</v>
      </c>
      <c r="C444" t="s">
        <v>952</v>
      </c>
      <c r="D444" t="s">
        <v>49</v>
      </c>
      <c r="E444" t="s">
        <v>92</v>
      </c>
      <c r="F444" t="s">
        <v>60</v>
      </c>
      <c r="G444" t="s">
        <v>32</v>
      </c>
      <c r="H444" t="s">
        <v>73</v>
      </c>
      <c r="I444">
        <v>4</v>
      </c>
      <c r="J444">
        <v>4.1900000000000004</v>
      </c>
      <c r="K444">
        <v>0</v>
      </c>
      <c r="L444">
        <v>16.760000000000002</v>
      </c>
      <c r="M444">
        <v>13.27</v>
      </c>
      <c r="N444">
        <v>-4.05</v>
      </c>
      <c r="O444" t="s">
        <v>34</v>
      </c>
      <c r="P444">
        <v>2023</v>
      </c>
      <c r="Q444" t="s">
        <v>3644</v>
      </c>
      <c r="R444">
        <v>16.760000000000002</v>
      </c>
      <c r="S444">
        <v>-0.241646778042959</v>
      </c>
      <c r="T444" t="s">
        <v>3634</v>
      </c>
      <c r="U444" t="s">
        <v>3636</v>
      </c>
    </row>
    <row r="445" spans="1:21" x14ac:dyDescent="0.25">
      <c r="A445" t="s">
        <v>953</v>
      </c>
      <c r="B445" s="1">
        <v>45178</v>
      </c>
      <c r="C445" t="s">
        <v>954</v>
      </c>
      <c r="D445" t="s">
        <v>30</v>
      </c>
      <c r="E445" t="s">
        <v>53</v>
      </c>
      <c r="F445" t="s">
        <v>54</v>
      </c>
      <c r="G445" t="s">
        <v>20</v>
      </c>
      <c r="H445" t="s">
        <v>106</v>
      </c>
      <c r="I445">
        <v>2</v>
      </c>
      <c r="J445">
        <v>61.26</v>
      </c>
      <c r="K445">
        <v>10</v>
      </c>
      <c r="L445">
        <v>110.27</v>
      </c>
      <c r="M445">
        <v>14.33</v>
      </c>
      <c r="N445">
        <v>28.55</v>
      </c>
      <c r="O445" t="s">
        <v>34</v>
      </c>
      <c r="P445">
        <v>2023</v>
      </c>
      <c r="Q445" t="s">
        <v>3644</v>
      </c>
      <c r="R445">
        <v>99.242999999999995</v>
      </c>
      <c r="S445">
        <v>0.28767772034299599</v>
      </c>
      <c r="T445" t="s">
        <v>3632</v>
      </c>
      <c r="U445" t="s">
        <v>3633</v>
      </c>
    </row>
    <row r="446" spans="1:21" x14ac:dyDescent="0.25">
      <c r="A446" t="s">
        <v>955</v>
      </c>
      <c r="B446" s="1">
        <v>45178</v>
      </c>
      <c r="C446" t="s">
        <v>956</v>
      </c>
      <c r="D446" t="s">
        <v>30</v>
      </c>
      <c r="E446" t="s">
        <v>31</v>
      </c>
      <c r="F446" t="s">
        <v>19</v>
      </c>
      <c r="G446" t="s">
        <v>32</v>
      </c>
      <c r="H446" t="s">
        <v>33</v>
      </c>
      <c r="I446">
        <v>2</v>
      </c>
      <c r="J446">
        <v>13.62</v>
      </c>
      <c r="K446">
        <v>15</v>
      </c>
      <c r="L446">
        <v>23.15</v>
      </c>
      <c r="M446">
        <v>7.75</v>
      </c>
      <c r="N446">
        <v>3.14</v>
      </c>
      <c r="O446" t="s">
        <v>39</v>
      </c>
      <c r="P446">
        <v>2023</v>
      </c>
      <c r="Q446" t="s">
        <v>3644</v>
      </c>
      <c r="R446">
        <v>19.677499999999998</v>
      </c>
      <c r="S446">
        <v>0.15957311650362099</v>
      </c>
      <c r="T446" t="s">
        <v>3634</v>
      </c>
      <c r="U446" t="s">
        <v>3633</v>
      </c>
    </row>
    <row r="447" spans="1:21" x14ac:dyDescent="0.25">
      <c r="A447" t="s">
        <v>957</v>
      </c>
      <c r="B447" s="1">
        <v>45179</v>
      </c>
      <c r="C447" t="s">
        <v>958</v>
      </c>
      <c r="D447" t="s">
        <v>17</v>
      </c>
      <c r="E447" t="s">
        <v>31</v>
      </c>
      <c r="F447" t="s">
        <v>19</v>
      </c>
      <c r="G447" t="s">
        <v>20</v>
      </c>
      <c r="H447" t="s">
        <v>21</v>
      </c>
      <c r="I447">
        <v>2</v>
      </c>
      <c r="J447">
        <v>66.08</v>
      </c>
      <c r="K447">
        <v>10</v>
      </c>
      <c r="L447">
        <v>118.94</v>
      </c>
      <c r="M447">
        <v>9.35</v>
      </c>
      <c r="N447">
        <v>36.9</v>
      </c>
      <c r="O447" t="s">
        <v>34</v>
      </c>
      <c r="P447">
        <v>2023</v>
      </c>
      <c r="Q447" t="s">
        <v>3644</v>
      </c>
      <c r="R447">
        <v>107.04600000000001</v>
      </c>
      <c r="S447">
        <v>0.34471161930385102</v>
      </c>
      <c r="T447" t="s">
        <v>3632</v>
      </c>
      <c r="U447" t="s">
        <v>3633</v>
      </c>
    </row>
    <row r="448" spans="1:21" x14ac:dyDescent="0.25">
      <c r="A448" t="s">
        <v>959</v>
      </c>
      <c r="B448" s="1">
        <v>45179</v>
      </c>
      <c r="C448" t="s">
        <v>960</v>
      </c>
      <c r="D448" t="s">
        <v>30</v>
      </c>
      <c r="E448" t="s">
        <v>37</v>
      </c>
      <c r="F448" t="s">
        <v>26</v>
      </c>
      <c r="G448" t="s">
        <v>20</v>
      </c>
      <c r="H448" t="s">
        <v>27</v>
      </c>
      <c r="I448">
        <v>1</v>
      </c>
      <c r="J448">
        <v>77.47</v>
      </c>
      <c r="K448">
        <v>0</v>
      </c>
      <c r="L448">
        <v>77.47</v>
      </c>
      <c r="M448">
        <v>9.23</v>
      </c>
      <c r="N448">
        <v>25.63</v>
      </c>
      <c r="O448" t="s">
        <v>56</v>
      </c>
      <c r="P448">
        <v>2023</v>
      </c>
      <c r="Q448" t="s">
        <v>3644</v>
      </c>
      <c r="R448">
        <v>77.47</v>
      </c>
      <c r="S448">
        <v>0.33083774364270002</v>
      </c>
      <c r="T448" t="s">
        <v>3634</v>
      </c>
      <c r="U448" t="s">
        <v>3633</v>
      </c>
    </row>
    <row r="449" spans="1:21" x14ac:dyDescent="0.25">
      <c r="A449" t="s">
        <v>961</v>
      </c>
      <c r="B449" s="1">
        <v>45179</v>
      </c>
      <c r="C449" t="s">
        <v>962</v>
      </c>
      <c r="D449" t="s">
        <v>17</v>
      </c>
      <c r="E449" t="s">
        <v>37</v>
      </c>
      <c r="F449" t="s">
        <v>26</v>
      </c>
      <c r="G449" t="s">
        <v>42</v>
      </c>
      <c r="H449" t="s">
        <v>371</v>
      </c>
      <c r="I449">
        <v>10</v>
      </c>
      <c r="J449">
        <v>83.62</v>
      </c>
      <c r="K449">
        <v>20</v>
      </c>
      <c r="L449">
        <v>668.96</v>
      </c>
      <c r="M449">
        <v>31.2</v>
      </c>
      <c r="N449">
        <v>136.04</v>
      </c>
      <c r="O449" t="s">
        <v>22</v>
      </c>
      <c r="P449">
        <v>2023</v>
      </c>
      <c r="Q449" t="s">
        <v>3644</v>
      </c>
      <c r="R449">
        <v>535.16800000000001</v>
      </c>
      <c r="S449">
        <v>0.25420055010762999</v>
      </c>
      <c r="T449" t="s">
        <v>3635</v>
      </c>
      <c r="U449" t="s">
        <v>3633</v>
      </c>
    </row>
    <row r="450" spans="1:21" x14ac:dyDescent="0.25">
      <c r="A450" t="s">
        <v>963</v>
      </c>
      <c r="B450" s="1">
        <v>45180</v>
      </c>
      <c r="C450" t="s">
        <v>964</v>
      </c>
      <c r="D450" t="s">
        <v>30</v>
      </c>
      <c r="E450" t="s">
        <v>59</v>
      </c>
      <c r="F450" t="s">
        <v>60</v>
      </c>
      <c r="G450" t="s">
        <v>20</v>
      </c>
      <c r="H450" t="s">
        <v>264</v>
      </c>
      <c r="I450">
        <v>1</v>
      </c>
      <c r="J450">
        <v>51.7</v>
      </c>
      <c r="K450">
        <v>10</v>
      </c>
      <c r="L450">
        <v>46.53</v>
      </c>
      <c r="M450">
        <v>10.95</v>
      </c>
      <c r="N450">
        <v>7.14</v>
      </c>
      <c r="O450" t="s">
        <v>22</v>
      </c>
      <c r="P450">
        <v>2023</v>
      </c>
      <c r="Q450" t="s">
        <v>3644</v>
      </c>
      <c r="R450">
        <v>41.877000000000002</v>
      </c>
      <c r="S450">
        <v>0.17049931943548999</v>
      </c>
      <c r="T450" t="s">
        <v>3634</v>
      </c>
      <c r="U450" t="s">
        <v>3633</v>
      </c>
    </row>
    <row r="451" spans="1:21" x14ac:dyDescent="0.25">
      <c r="A451" t="s">
        <v>965</v>
      </c>
      <c r="B451" s="1">
        <v>45180</v>
      </c>
      <c r="C451" t="s">
        <v>966</v>
      </c>
      <c r="D451" t="s">
        <v>30</v>
      </c>
      <c r="E451" t="s">
        <v>166</v>
      </c>
      <c r="F451" t="s">
        <v>60</v>
      </c>
      <c r="G451" t="s">
        <v>32</v>
      </c>
      <c r="H451" t="s">
        <v>149</v>
      </c>
      <c r="I451">
        <v>4</v>
      </c>
      <c r="J451">
        <v>7.5</v>
      </c>
      <c r="K451">
        <v>10</v>
      </c>
      <c r="L451">
        <v>27</v>
      </c>
      <c r="M451">
        <v>11.42</v>
      </c>
      <c r="N451">
        <v>2.08</v>
      </c>
      <c r="O451" t="s">
        <v>39</v>
      </c>
      <c r="P451">
        <v>2023</v>
      </c>
      <c r="Q451" t="s">
        <v>3644</v>
      </c>
      <c r="R451">
        <v>24.3</v>
      </c>
      <c r="S451">
        <v>8.5596707818930001E-2</v>
      </c>
      <c r="T451" t="s">
        <v>3634</v>
      </c>
      <c r="U451" t="s">
        <v>3633</v>
      </c>
    </row>
    <row r="452" spans="1:21" x14ac:dyDescent="0.25">
      <c r="A452" t="s">
        <v>967</v>
      </c>
      <c r="B452" s="1">
        <v>45180</v>
      </c>
      <c r="C452" t="s">
        <v>968</v>
      </c>
      <c r="D452" t="s">
        <v>49</v>
      </c>
      <c r="E452" t="s">
        <v>148</v>
      </c>
      <c r="F452" t="s">
        <v>60</v>
      </c>
      <c r="G452" t="s">
        <v>20</v>
      </c>
      <c r="H452" t="s">
        <v>122</v>
      </c>
      <c r="I452">
        <v>1</v>
      </c>
      <c r="J452">
        <v>149.93</v>
      </c>
      <c r="K452">
        <v>10</v>
      </c>
      <c r="L452">
        <v>134.94</v>
      </c>
      <c r="M452">
        <v>9.7899999999999991</v>
      </c>
      <c r="N452">
        <v>42.69</v>
      </c>
      <c r="O452" t="s">
        <v>34</v>
      </c>
      <c r="P452">
        <v>2023</v>
      </c>
      <c r="Q452" t="s">
        <v>3644</v>
      </c>
      <c r="R452">
        <v>121.446</v>
      </c>
      <c r="S452">
        <v>0.351514253248357</v>
      </c>
      <c r="T452" t="s">
        <v>3632</v>
      </c>
      <c r="U452" t="s">
        <v>3633</v>
      </c>
    </row>
    <row r="453" spans="1:21" x14ac:dyDescent="0.25">
      <c r="A453" t="s">
        <v>969</v>
      </c>
      <c r="B453" s="1">
        <v>45182</v>
      </c>
      <c r="C453" t="s">
        <v>970</v>
      </c>
      <c r="D453" t="s">
        <v>17</v>
      </c>
      <c r="E453" t="s">
        <v>18</v>
      </c>
      <c r="F453" t="s">
        <v>19</v>
      </c>
      <c r="G453" t="s">
        <v>42</v>
      </c>
      <c r="H453" t="s">
        <v>294</v>
      </c>
      <c r="I453">
        <v>5</v>
      </c>
      <c r="J453">
        <v>107.46</v>
      </c>
      <c r="K453">
        <v>15</v>
      </c>
      <c r="L453">
        <v>456.7</v>
      </c>
      <c r="M453">
        <v>9.9</v>
      </c>
      <c r="N453">
        <v>124.42</v>
      </c>
      <c r="O453" t="s">
        <v>39</v>
      </c>
      <c r="P453">
        <v>2023</v>
      </c>
      <c r="Q453" t="s">
        <v>3644</v>
      </c>
      <c r="R453">
        <v>388.19499999999999</v>
      </c>
      <c r="S453">
        <v>0.32050902252733798</v>
      </c>
      <c r="T453" t="s">
        <v>3632</v>
      </c>
      <c r="U453" t="s">
        <v>3633</v>
      </c>
    </row>
    <row r="454" spans="1:21" x14ac:dyDescent="0.25">
      <c r="A454" t="s">
        <v>971</v>
      </c>
      <c r="B454" s="1">
        <v>45183</v>
      </c>
      <c r="C454" t="s">
        <v>972</v>
      </c>
      <c r="D454" t="s">
        <v>17</v>
      </c>
      <c r="E454" t="s">
        <v>31</v>
      </c>
      <c r="F454" t="s">
        <v>19</v>
      </c>
      <c r="G454" t="s">
        <v>42</v>
      </c>
      <c r="H454" t="s">
        <v>234</v>
      </c>
      <c r="I454">
        <v>14</v>
      </c>
      <c r="J454">
        <v>61.54</v>
      </c>
      <c r="K454">
        <v>30</v>
      </c>
      <c r="L454">
        <v>603.09</v>
      </c>
      <c r="M454">
        <v>33.58</v>
      </c>
      <c r="N454">
        <v>52.57</v>
      </c>
      <c r="O454" t="s">
        <v>34</v>
      </c>
      <c r="P454">
        <v>2023</v>
      </c>
      <c r="Q454" t="s">
        <v>3644</v>
      </c>
      <c r="R454">
        <v>422.16300000000001</v>
      </c>
      <c r="S454">
        <v>0.12452536105722201</v>
      </c>
      <c r="T454" t="s">
        <v>3635</v>
      </c>
      <c r="U454" t="s">
        <v>3633</v>
      </c>
    </row>
    <row r="455" spans="1:21" x14ac:dyDescent="0.25">
      <c r="A455" t="s">
        <v>973</v>
      </c>
      <c r="B455" s="1">
        <v>45184</v>
      </c>
      <c r="C455" t="s">
        <v>974</v>
      </c>
      <c r="D455" t="s">
        <v>30</v>
      </c>
      <c r="E455" t="s">
        <v>67</v>
      </c>
      <c r="F455" t="s">
        <v>68</v>
      </c>
      <c r="G455" t="s">
        <v>20</v>
      </c>
      <c r="H455" t="s">
        <v>175</v>
      </c>
      <c r="I455">
        <v>2</v>
      </c>
      <c r="J455">
        <v>25.4</v>
      </c>
      <c r="K455">
        <v>0</v>
      </c>
      <c r="L455">
        <v>50.8</v>
      </c>
      <c r="M455">
        <v>12.94</v>
      </c>
      <c r="N455">
        <v>9.92</v>
      </c>
      <c r="O455" t="s">
        <v>34</v>
      </c>
      <c r="P455">
        <v>2023</v>
      </c>
      <c r="Q455" t="s">
        <v>3644</v>
      </c>
      <c r="R455">
        <v>50.8</v>
      </c>
      <c r="S455">
        <v>0.19527559055118099</v>
      </c>
      <c r="T455" t="s">
        <v>3634</v>
      </c>
      <c r="U455" t="s">
        <v>3633</v>
      </c>
    </row>
    <row r="456" spans="1:21" x14ac:dyDescent="0.25">
      <c r="A456" t="s">
        <v>975</v>
      </c>
      <c r="B456" s="1">
        <v>45185</v>
      </c>
      <c r="C456" t="s">
        <v>976</v>
      </c>
      <c r="D456" t="s">
        <v>30</v>
      </c>
      <c r="E456" t="s">
        <v>31</v>
      </c>
      <c r="F456" t="s">
        <v>19</v>
      </c>
      <c r="G456" t="s">
        <v>42</v>
      </c>
      <c r="H456" t="s">
        <v>64</v>
      </c>
      <c r="I456">
        <v>6</v>
      </c>
      <c r="J456">
        <v>110.59</v>
      </c>
      <c r="K456">
        <v>10</v>
      </c>
      <c r="L456">
        <v>597.19000000000005</v>
      </c>
      <c r="M456">
        <v>11.12</v>
      </c>
      <c r="N456">
        <v>187.95</v>
      </c>
      <c r="O456" t="s">
        <v>39</v>
      </c>
      <c r="P456">
        <v>2023</v>
      </c>
      <c r="Q456" t="s">
        <v>3644</v>
      </c>
      <c r="R456">
        <v>537.471</v>
      </c>
      <c r="S456">
        <v>0.34969328577727898</v>
      </c>
      <c r="T456" t="s">
        <v>3635</v>
      </c>
      <c r="U456" t="s">
        <v>3633</v>
      </c>
    </row>
    <row r="457" spans="1:21" x14ac:dyDescent="0.25">
      <c r="A457" t="s">
        <v>977</v>
      </c>
      <c r="B457" s="1">
        <v>45185</v>
      </c>
      <c r="C457" t="s">
        <v>978</v>
      </c>
      <c r="D457" t="s">
        <v>30</v>
      </c>
      <c r="E457" t="s">
        <v>76</v>
      </c>
      <c r="F457" t="s">
        <v>26</v>
      </c>
      <c r="G457" t="s">
        <v>20</v>
      </c>
      <c r="H457" t="s">
        <v>264</v>
      </c>
      <c r="I457">
        <v>5</v>
      </c>
      <c r="J457">
        <v>25.73</v>
      </c>
      <c r="K457">
        <v>15</v>
      </c>
      <c r="L457">
        <v>109.35</v>
      </c>
      <c r="M457">
        <v>11.76</v>
      </c>
      <c r="N457">
        <v>26.83</v>
      </c>
      <c r="O457" t="s">
        <v>56</v>
      </c>
      <c r="P457">
        <v>2023</v>
      </c>
      <c r="Q457" t="s">
        <v>3644</v>
      </c>
      <c r="R457">
        <v>92.947500000000005</v>
      </c>
      <c r="S457">
        <v>0.28865757551305798</v>
      </c>
      <c r="T457" t="s">
        <v>3632</v>
      </c>
      <c r="U457" t="s">
        <v>3633</v>
      </c>
    </row>
    <row r="458" spans="1:21" x14ac:dyDescent="0.25">
      <c r="A458" t="s">
        <v>979</v>
      </c>
      <c r="B458" s="1">
        <v>45185</v>
      </c>
      <c r="C458" t="s">
        <v>980</v>
      </c>
      <c r="D458" t="s">
        <v>49</v>
      </c>
      <c r="E458" t="s">
        <v>129</v>
      </c>
      <c r="F458" t="s">
        <v>19</v>
      </c>
      <c r="G458" t="s">
        <v>32</v>
      </c>
      <c r="H458" t="s">
        <v>33</v>
      </c>
      <c r="I458">
        <v>1</v>
      </c>
      <c r="J458">
        <v>12.82</v>
      </c>
      <c r="K458">
        <v>20</v>
      </c>
      <c r="L458">
        <v>10.26</v>
      </c>
      <c r="M458">
        <v>6.98</v>
      </c>
      <c r="N458">
        <v>-2.4900000000000002</v>
      </c>
      <c r="O458" t="s">
        <v>56</v>
      </c>
      <c r="P458">
        <v>2023</v>
      </c>
      <c r="Q458" t="s">
        <v>3644</v>
      </c>
      <c r="R458">
        <v>8.2080000000000002</v>
      </c>
      <c r="S458">
        <v>-0.303362573099415</v>
      </c>
      <c r="T458" t="s">
        <v>3634</v>
      </c>
      <c r="U458" t="s">
        <v>3636</v>
      </c>
    </row>
    <row r="459" spans="1:21" x14ac:dyDescent="0.25">
      <c r="A459" t="s">
        <v>981</v>
      </c>
      <c r="B459" s="1">
        <v>45186</v>
      </c>
      <c r="C459" t="s">
        <v>607</v>
      </c>
      <c r="D459" t="s">
        <v>17</v>
      </c>
      <c r="E459" t="s">
        <v>18</v>
      </c>
      <c r="F459" t="s">
        <v>19</v>
      </c>
      <c r="G459" t="s">
        <v>69</v>
      </c>
      <c r="H459" t="s">
        <v>86</v>
      </c>
      <c r="I459">
        <v>5</v>
      </c>
      <c r="J459">
        <v>133.6</v>
      </c>
      <c r="K459">
        <v>25</v>
      </c>
      <c r="L459">
        <v>501</v>
      </c>
      <c r="M459">
        <v>14.42</v>
      </c>
      <c r="N459">
        <v>152.58000000000001</v>
      </c>
      <c r="O459" t="s">
        <v>34</v>
      </c>
      <c r="P459">
        <v>2023</v>
      </c>
      <c r="Q459" t="s">
        <v>3644</v>
      </c>
      <c r="R459">
        <v>375.75</v>
      </c>
      <c r="S459">
        <v>0.40606786427145702</v>
      </c>
      <c r="T459" t="s">
        <v>3635</v>
      </c>
      <c r="U459" t="s">
        <v>3633</v>
      </c>
    </row>
    <row r="460" spans="1:21" x14ac:dyDescent="0.25">
      <c r="A460" t="s">
        <v>982</v>
      </c>
      <c r="B460" s="1">
        <v>45186</v>
      </c>
      <c r="C460" t="s">
        <v>983</v>
      </c>
      <c r="D460" t="s">
        <v>17</v>
      </c>
      <c r="E460" t="s">
        <v>129</v>
      </c>
      <c r="F460" t="s">
        <v>19</v>
      </c>
      <c r="G460" t="s">
        <v>42</v>
      </c>
      <c r="H460" t="s">
        <v>234</v>
      </c>
      <c r="I460">
        <v>7</v>
      </c>
      <c r="J460">
        <v>67.53</v>
      </c>
      <c r="K460">
        <v>5</v>
      </c>
      <c r="L460">
        <v>449.07</v>
      </c>
      <c r="M460">
        <v>22.4</v>
      </c>
      <c r="N460">
        <v>143.04</v>
      </c>
      <c r="O460" t="s">
        <v>34</v>
      </c>
      <c r="P460">
        <v>2023</v>
      </c>
      <c r="Q460" t="s">
        <v>3644</v>
      </c>
      <c r="R460">
        <v>426.61649999999997</v>
      </c>
      <c r="S460">
        <v>0.33528942270165402</v>
      </c>
      <c r="T460" t="s">
        <v>3632</v>
      </c>
      <c r="U460" t="s">
        <v>3633</v>
      </c>
    </row>
    <row r="461" spans="1:21" x14ac:dyDescent="0.25">
      <c r="A461" t="s">
        <v>984</v>
      </c>
      <c r="B461" s="1">
        <v>45187</v>
      </c>
      <c r="C461" t="s">
        <v>985</v>
      </c>
      <c r="D461" t="s">
        <v>17</v>
      </c>
      <c r="E461" t="s">
        <v>59</v>
      </c>
      <c r="F461" t="s">
        <v>60</v>
      </c>
      <c r="G461" t="s">
        <v>69</v>
      </c>
      <c r="H461" t="s">
        <v>79</v>
      </c>
      <c r="I461">
        <v>2</v>
      </c>
      <c r="J461">
        <v>36.08</v>
      </c>
      <c r="K461">
        <v>30</v>
      </c>
      <c r="L461">
        <v>50.51</v>
      </c>
      <c r="M461">
        <v>12.81</v>
      </c>
      <c r="N461">
        <v>1.62</v>
      </c>
      <c r="O461" t="s">
        <v>39</v>
      </c>
      <c r="P461">
        <v>2023</v>
      </c>
      <c r="Q461" t="s">
        <v>3644</v>
      </c>
      <c r="R461">
        <v>35.356999999999999</v>
      </c>
      <c r="S461">
        <v>4.5818366942896697E-2</v>
      </c>
      <c r="T461" t="s">
        <v>3634</v>
      </c>
      <c r="U461" t="s">
        <v>3633</v>
      </c>
    </row>
    <row r="462" spans="1:21" x14ac:dyDescent="0.25">
      <c r="A462" t="s">
        <v>986</v>
      </c>
      <c r="B462" s="1">
        <v>45188</v>
      </c>
      <c r="C462" t="s">
        <v>987</v>
      </c>
      <c r="D462" t="s">
        <v>49</v>
      </c>
      <c r="E462" t="s">
        <v>18</v>
      </c>
      <c r="F462" t="s">
        <v>19</v>
      </c>
      <c r="G462" t="s">
        <v>32</v>
      </c>
      <c r="H462" t="s">
        <v>115</v>
      </c>
      <c r="I462">
        <v>3</v>
      </c>
      <c r="J462">
        <v>7.89</v>
      </c>
      <c r="K462">
        <v>15</v>
      </c>
      <c r="L462">
        <v>20.12</v>
      </c>
      <c r="M462">
        <v>7.38</v>
      </c>
      <c r="N462">
        <v>2.09</v>
      </c>
      <c r="O462" t="s">
        <v>34</v>
      </c>
      <c r="P462">
        <v>2023</v>
      </c>
      <c r="Q462" t="s">
        <v>3644</v>
      </c>
      <c r="R462">
        <v>17.102</v>
      </c>
      <c r="S462">
        <v>0.122207928897205</v>
      </c>
      <c r="T462" t="s">
        <v>3634</v>
      </c>
      <c r="U462" t="s">
        <v>3633</v>
      </c>
    </row>
    <row r="463" spans="1:21" x14ac:dyDescent="0.25">
      <c r="A463" t="s">
        <v>988</v>
      </c>
      <c r="B463" s="1">
        <v>45188</v>
      </c>
      <c r="C463" t="s">
        <v>989</v>
      </c>
      <c r="D463" t="s">
        <v>30</v>
      </c>
      <c r="E463" t="s">
        <v>85</v>
      </c>
      <c r="F463" t="s">
        <v>60</v>
      </c>
      <c r="G463" t="s">
        <v>42</v>
      </c>
      <c r="H463" t="s">
        <v>294</v>
      </c>
      <c r="I463">
        <v>4</v>
      </c>
      <c r="J463">
        <v>197.76</v>
      </c>
      <c r="K463">
        <v>5</v>
      </c>
      <c r="L463">
        <v>751.49</v>
      </c>
      <c r="M463">
        <v>15.67</v>
      </c>
      <c r="N463">
        <v>261.2</v>
      </c>
      <c r="O463" t="s">
        <v>39</v>
      </c>
      <c r="P463">
        <v>2023</v>
      </c>
      <c r="Q463" t="s">
        <v>3644</v>
      </c>
      <c r="R463">
        <v>713.91549999999995</v>
      </c>
      <c r="S463">
        <v>0.36586963022934799</v>
      </c>
      <c r="T463" t="s">
        <v>3635</v>
      </c>
      <c r="U463" t="s">
        <v>3633</v>
      </c>
    </row>
    <row r="464" spans="1:21" x14ac:dyDescent="0.25">
      <c r="A464" t="s">
        <v>990</v>
      </c>
      <c r="B464" s="1">
        <v>45189</v>
      </c>
      <c r="C464" t="s">
        <v>991</v>
      </c>
      <c r="D464" t="s">
        <v>30</v>
      </c>
      <c r="E464" t="s">
        <v>138</v>
      </c>
      <c r="F464" t="s">
        <v>54</v>
      </c>
      <c r="G464" t="s">
        <v>42</v>
      </c>
      <c r="H464" t="s">
        <v>118</v>
      </c>
      <c r="I464">
        <v>4</v>
      </c>
      <c r="J464">
        <v>55.59</v>
      </c>
      <c r="K464">
        <v>10</v>
      </c>
      <c r="L464">
        <v>200.12</v>
      </c>
      <c r="M464">
        <v>16.82</v>
      </c>
      <c r="N464">
        <v>49.88</v>
      </c>
      <c r="O464" t="s">
        <v>56</v>
      </c>
      <c r="P464">
        <v>2023</v>
      </c>
      <c r="Q464" t="s">
        <v>3644</v>
      </c>
      <c r="R464">
        <v>180.108</v>
      </c>
      <c r="S464">
        <v>0.27694494414462401</v>
      </c>
      <c r="T464" t="s">
        <v>3632</v>
      </c>
      <c r="U464" t="s">
        <v>3633</v>
      </c>
    </row>
    <row r="465" spans="1:21" x14ac:dyDescent="0.25">
      <c r="A465" t="s">
        <v>992</v>
      </c>
      <c r="B465" s="1">
        <v>45190</v>
      </c>
      <c r="C465" t="s">
        <v>993</v>
      </c>
      <c r="D465" t="s">
        <v>30</v>
      </c>
      <c r="E465" t="s">
        <v>121</v>
      </c>
      <c r="F465" t="s">
        <v>68</v>
      </c>
      <c r="G465" t="s">
        <v>42</v>
      </c>
      <c r="H465" t="s">
        <v>46</v>
      </c>
      <c r="I465">
        <v>2</v>
      </c>
      <c r="J465">
        <v>115.98</v>
      </c>
      <c r="K465">
        <v>0</v>
      </c>
      <c r="L465">
        <v>231.96</v>
      </c>
      <c r="M465">
        <v>13.7</v>
      </c>
      <c r="N465">
        <v>79.08</v>
      </c>
      <c r="O465" t="s">
        <v>22</v>
      </c>
      <c r="P465">
        <v>2023</v>
      </c>
      <c r="Q465" t="s">
        <v>3644</v>
      </c>
      <c r="R465">
        <v>231.96</v>
      </c>
      <c r="S465">
        <v>0.34092084842214199</v>
      </c>
      <c r="T465" t="s">
        <v>3632</v>
      </c>
      <c r="U465" t="s">
        <v>3633</v>
      </c>
    </row>
    <row r="466" spans="1:21" x14ac:dyDescent="0.25">
      <c r="A466" t="s">
        <v>994</v>
      </c>
      <c r="B466" s="1">
        <v>45190</v>
      </c>
      <c r="C466" t="s">
        <v>995</v>
      </c>
      <c r="D466" t="s">
        <v>17</v>
      </c>
      <c r="E466" t="s">
        <v>59</v>
      </c>
      <c r="F466" t="s">
        <v>60</v>
      </c>
      <c r="G466" t="s">
        <v>20</v>
      </c>
      <c r="H466" t="s">
        <v>122</v>
      </c>
      <c r="I466">
        <v>2</v>
      </c>
      <c r="J466">
        <v>137.32</v>
      </c>
      <c r="K466">
        <v>5</v>
      </c>
      <c r="L466">
        <v>260.91000000000003</v>
      </c>
      <c r="M466">
        <v>13.4</v>
      </c>
      <c r="N466">
        <v>96.46</v>
      </c>
      <c r="O466" t="s">
        <v>39</v>
      </c>
      <c r="P466">
        <v>2023</v>
      </c>
      <c r="Q466" t="s">
        <v>3644</v>
      </c>
      <c r="R466">
        <v>247.86449999999999</v>
      </c>
      <c r="S466">
        <v>0.38916424094616198</v>
      </c>
      <c r="T466" t="s">
        <v>3632</v>
      </c>
      <c r="U466" t="s">
        <v>3633</v>
      </c>
    </row>
    <row r="467" spans="1:21" x14ac:dyDescent="0.25">
      <c r="A467" t="s">
        <v>996</v>
      </c>
      <c r="B467" s="1">
        <v>45190</v>
      </c>
      <c r="C467" t="s">
        <v>997</v>
      </c>
      <c r="D467" t="s">
        <v>49</v>
      </c>
      <c r="E467" t="s">
        <v>169</v>
      </c>
      <c r="F467" t="s">
        <v>68</v>
      </c>
      <c r="G467" t="s">
        <v>20</v>
      </c>
      <c r="H467" t="s">
        <v>199</v>
      </c>
      <c r="I467">
        <v>3</v>
      </c>
      <c r="J467">
        <v>153.34</v>
      </c>
      <c r="K467">
        <v>0</v>
      </c>
      <c r="L467">
        <v>460.02</v>
      </c>
      <c r="M467">
        <v>16.46</v>
      </c>
      <c r="N467">
        <v>190.55</v>
      </c>
      <c r="O467" t="s">
        <v>34</v>
      </c>
      <c r="P467">
        <v>2023</v>
      </c>
      <c r="Q467" t="s">
        <v>3644</v>
      </c>
      <c r="R467">
        <v>460.02</v>
      </c>
      <c r="S467">
        <v>0.41422112082083401</v>
      </c>
      <c r="T467" t="s">
        <v>3632</v>
      </c>
      <c r="U467" t="s">
        <v>3633</v>
      </c>
    </row>
    <row r="468" spans="1:21" x14ac:dyDescent="0.25">
      <c r="A468" t="s">
        <v>998</v>
      </c>
      <c r="B468" s="1">
        <v>45192</v>
      </c>
      <c r="C468" t="s">
        <v>999</v>
      </c>
      <c r="D468" t="s">
        <v>17</v>
      </c>
      <c r="E468" t="s">
        <v>25</v>
      </c>
      <c r="F468" t="s">
        <v>26</v>
      </c>
      <c r="G468" t="s">
        <v>32</v>
      </c>
      <c r="H468" t="s">
        <v>149</v>
      </c>
      <c r="I468">
        <v>2</v>
      </c>
      <c r="J468">
        <v>5.85</v>
      </c>
      <c r="K468">
        <v>15</v>
      </c>
      <c r="L468">
        <v>9.94</v>
      </c>
      <c r="M468">
        <v>9.91</v>
      </c>
      <c r="N468">
        <v>-5.24</v>
      </c>
      <c r="O468" t="s">
        <v>39</v>
      </c>
      <c r="P468">
        <v>2023</v>
      </c>
      <c r="Q468" t="s">
        <v>3644</v>
      </c>
      <c r="R468">
        <v>8.4489999999999998</v>
      </c>
      <c r="S468">
        <v>-0.62019173866729804</v>
      </c>
      <c r="T468" t="s">
        <v>3634</v>
      </c>
      <c r="U468" t="s">
        <v>3636</v>
      </c>
    </row>
    <row r="469" spans="1:21" x14ac:dyDescent="0.25">
      <c r="A469" t="s">
        <v>1000</v>
      </c>
      <c r="B469" s="1">
        <v>45193</v>
      </c>
      <c r="C469" t="s">
        <v>1001</v>
      </c>
      <c r="D469" t="s">
        <v>30</v>
      </c>
      <c r="E469" t="s">
        <v>129</v>
      </c>
      <c r="F469" t="s">
        <v>19</v>
      </c>
      <c r="G469" t="s">
        <v>20</v>
      </c>
      <c r="H469" t="s">
        <v>122</v>
      </c>
      <c r="I469">
        <v>3</v>
      </c>
      <c r="J469">
        <v>60.51</v>
      </c>
      <c r="K469">
        <v>20</v>
      </c>
      <c r="L469">
        <v>145.22</v>
      </c>
      <c r="M469">
        <v>6.74</v>
      </c>
      <c r="N469">
        <v>38.64</v>
      </c>
      <c r="O469" t="s">
        <v>22</v>
      </c>
      <c r="P469">
        <v>2023</v>
      </c>
      <c r="Q469" t="s">
        <v>3644</v>
      </c>
      <c r="R469">
        <v>116.176</v>
      </c>
      <c r="S469">
        <v>0.33259881559013899</v>
      </c>
      <c r="T469" t="s">
        <v>3632</v>
      </c>
      <c r="U469" t="s">
        <v>3633</v>
      </c>
    </row>
    <row r="470" spans="1:21" x14ac:dyDescent="0.25">
      <c r="A470" t="s">
        <v>1002</v>
      </c>
      <c r="B470" s="1">
        <v>45193</v>
      </c>
      <c r="C470" t="s">
        <v>240</v>
      </c>
      <c r="D470" t="s">
        <v>49</v>
      </c>
      <c r="E470" t="s">
        <v>31</v>
      </c>
      <c r="F470" t="s">
        <v>19</v>
      </c>
      <c r="G470" t="s">
        <v>42</v>
      </c>
      <c r="H470" t="s">
        <v>64</v>
      </c>
      <c r="I470">
        <v>1</v>
      </c>
      <c r="J470">
        <v>112.29</v>
      </c>
      <c r="K470">
        <v>0</v>
      </c>
      <c r="L470">
        <v>112.29</v>
      </c>
      <c r="M470">
        <v>5.87</v>
      </c>
      <c r="N470">
        <v>39.049999999999997</v>
      </c>
      <c r="O470" t="s">
        <v>34</v>
      </c>
      <c r="P470">
        <v>2023</v>
      </c>
      <c r="Q470" t="s">
        <v>3644</v>
      </c>
      <c r="R470">
        <v>112.29</v>
      </c>
      <c r="S470">
        <v>0.34776026360316997</v>
      </c>
      <c r="T470" t="s">
        <v>3632</v>
      </c>
      <c r="U470" t="s">
        <v>3633</v>
      </c>
    </row>
    <row r="471" spans="1:21" x14ac:dyDescent="0.25">
      <c r="A471" t="s">
        <v>1003</v>
      </c>
      <c r="B471" s="1">
        <v>45194</v>
      </c>
      <c r="C471" t="s">
        <v>97</v>
      </c>
      <c r="D471" t="s">
        <v>30</v>
      </c>
      <c r="E471" t="s">
        <v>63</v>
      </c>
      <c r="F471" t="s">
        <v>54</v>
      </c>
      <c r="G471" t="s">
        <v>20</v>
      </c>
      <c r="H471" t="s">
        <v>106</v>
      </c>
      <c r="I471">
        <v>4</v>
      </c>
      <c r="J471">
        <v>43.61</v>
      </c>
      <c r="K471">
        <v>10</v>
      </c>
      <c r="L471">
        <v>157</v>
      </c>
      <c r="M471">
        <v>17.66</v>
      </c>
      <c r="N471">
        <v>43.4</v>
      </c>
      <c r="O471" t="s">
        <v>34</v>
      </c>
      <c r="P471">
        <v>2023</v>
      </c>
      <c r="Q471" t="s">
        <v>3644</v>
      </c>
      <c r="R471">
        <v>141.30000000000001</v>
      </c>
      <c r="S471">
        <v>0.307147912243454</v>
      </c>
      <c r="T471" t="s">
        <v>3632</v>
      </c>
      <c r="U471" t="s">
        <v>3633</v>
      </c>
    </row>
    <row r="472" spans="1:21" x14ac:dyDescent="0.25">
      <c r="A472" t="s">
        <v>1004</v>
      </c>
      <c r="B472" s="1">
        <v>45194</v>
      </c>
      <c r="C472" t="s">
        <v>1005</v>
      </c>
      <c r="D472" t="s">
        <v>30</v>
      </c>
      <c r="E472" t="s">
        <v>169</v>
      </c>
      <c r="F472" t="s">
        <v>68</v>
      </c>
      <c r="G472" t="s">
        <v>20</v>
      </c>
      <c r="H472" t="s">
        <v>170</v>
      </c>
      <c r="I472">
        <v>2</v>
      </c>
      <c r="J472">
        <v>22.12</v>
      </c>
      <c r="K472">
        <v>10</v>
      </c>
      <c r="L472">
        <v>39.82</v>
      </c>
      <c r="M472">
        <v>11.38</v>
      </c>
      <c r="N472">
        <v>4.1100000000000003</v>
      </c>
      <c r="O472" t="s">
        <v>39</v>
      </c>
      <c r="P472">
        <v>2023</v>
      </c>
      <c r="Q472" t="s">
        <v>3644</v>
      </c>
      <c r="R472">
        <v>35.838000000000001</v>
      </c>
      <c r="S472">
        <v>0.11468273899213099</v>
      </c>
      <c r="T472" t="s">
        <v>3634</v>
      </c>
      <c r="U472" t="s">
        <v>3633</v>
      </c>
    </row>
    <row r="473" spans="1:21" x14ac:dyDescent="0.25">
      <c r="A473" t="s">
        <v>1006</v>
      </c>
      <c r="B473" s="1">
        <v>45195</v>
      </c>
      <c r="C473" t="s">
        <v>1007</v>
      </c>
      <c r="D473" t="s">
        <v>30</v>
      </c>
      <c r="E473" t="s">
        <v>129</v>
      </c>
      <c r="F473" t="s">
        <v>19</v>
      </c>
      <c r="G473" t="s">
        <v>69</v>
      </c>
      <c r="H473" t="s">
        <v>70</v>
      </c>
      <c r="I473">
        <v>3</v>
      </c>
      <c r="J473">
        <v>59.04</v>
      </c>
      <c r="K473">
        <v>0</v>
      </c>
      <c r="L473">
        <v>177.12</v>
      </c>
      <c r="M473">
        <v>10.28</v>
      </c>
      <c r="N473">
        <v>78.28</v>
      </c>
      <c r="O473" t="s">
        <v>56</v>
      </c>
      <c r="P473">
        <v>2023</v>
      </c>
      <c r="Q473" t="s">
        <v>3644</v>
      </c>
      <c r="R473">
        <v>177.12</v>
      </c>
      <c r="S473">
        <v>0.441960252935863</v>
      </c>
      <c r="T473" t="s">
        <v>3632</v>
      </c>
      <c r="U473" t="s">
        <v>3633</v>
      </c>
    </row>
    <row r="474" spans="1:21" x14ac:dyDescent="0.25">
      <c r="A474" t="s">
        <v>1008</v>
      </c>
      <c r="B474" s="1">
        <v>45195</v>
      </c>
      <c r="C474" t="s">
        <v>1009</v>
      </c>
      <c r="D474" t="s">
        <v>30</v>
      </c>
      <c r="E474" t="s">
        <v>25</v>
      </c>
      <c r="F474" t="s">
        <v>26</v>
      </c>
      <c r="G474" t="s">
        <v>69</v>
      </c>
      <c r="H474" t="s">
        <v>160</v>
      </c>
      <c r="I474">
        <v>4</v>
      </c>
      <c r="J474">
        <v>42.94</v>
      </c>
      <c r="K474">
        <v>15</v>
      </c>
      <c r="L474">
        <v>146</v>
      </c>
      <c r="M474">
        <v>13.44</v>
      </c>
      <c r="N474">
        <v>46.68</v>
      </c>
      <c r="O474" t="s">
        <v>22</v>
      </c>
      <c r="P474">
        <v>2023</v>
      </c>
      <c r="Q474" t="s">
        <v>3644</v>
      </c>
      <c r="R474">
        <v>124.1</v>
      </c>
      <c r="S474">
        <v>0.37614826752618902</v>
      </c>
      <c r="T474" t="s">
        <v>3632</v>
      </c>
      <c r="U474" t="s">
        <v>3633</v>
      </c>
    </row>
    <row r="475" spans="1:21" x14ac:dyDescent="0.25">
      <c r="A475" t="s">
        <v>1010</v>
      </c>
      <c r="B475" s="1">
        <v>45195</v>
      </c>
      <c r="C475" t="s">
        <v>1011</v>
      </c>
      <c r="D475" t="s">
        <v>49</v>
      </c>
      <c r="E475" t="s">
        <v>92</v>
      </c>
      <c r="F475" t="s">
        <v>60</v>
      </c>
      <c r="G475" t="s">
        <v>69</v>
      </c>
      <c r="H475" t="s">
        <v>305</v>
      </c>
      <c r="I475">
        <v>6</v>
      </c>
      <c r="J475">
        <v>77.510000000000005</v>
      </c>
      <c r="K475">
        <v>10</v>
      </c>
      <c r="L475">
        <v>418.55</v>
      </c>
      <c r="M475">
        <v>20.82</v>
      </c>
      <c r="N475">
        <v>165.2</v>
      </c>
      <c r="O475" t="s">
        <v>56</v>
      </c>
      <c r="P475">
        <v>2023</v>
      </c>
      <c r="Q475" t="s">
        <v>3644</v>
      </c>
      <c r="R475">
        <v>376.69499999999999</v>
      </c>
      <c r="S475">
        <v>0.43855108244070101</v>
      </c>
      <c r="T475" t="s">
        <v>3632</v>
      </c>
      <c r="U475" t="s">
        <v>3633</v>
      </c>
    </row>
    <row r="476" spans="1:21" x14ac:dyDescent="0.25">
      <c r="A476" t="s">
        <v>1012</v>
      </c>
      <c r="B476" s="1">
        <v>45195</v>
      </c>
      <c r="C476" t="s">
        <v>1013</v>
      </c>
      <c r="D476" t="s">
        <v>49</v>
      </c>
      <c r="E476" t="s">
        <v>248</v>
      </c>
      <c r="F476" t="s">
        <v>26</v>
      </c>
      <c r="G476" t="s">
        <v>20</v>
      </c>
      <c r="H476" t="s">
        <v>55</v>
      </c>
      <c r="I476">
        <v>1</v>
      </c>
      <c r="J476">
        <v>52.59</v>
      </c>
      <c r="K476">
        <v>15</v>
      </c>
      <c r="L476">
        <v>44.7</v>
      </c>
      <c r="M476">
        <v>8.76</v>
      </c>
      <c r="N476">
        <v>7.02</v>
      </c>
      <c r="O476" t="s">
        <v>39</v>
      </c>
      <c r="P476">
        <v>2023</v>
      </c>
      <c r="Q476" t="s">
        <v>3644</v>
      </c>
      <c r="R476">
        <v>37.994999999999997</v>
      </c>
      <c r="S476">
        <v>0.184761152783261</v>
      </c>
      <c r="T476" t="s">
        <v>3634</v>
      </c>
      <c r="U476" t="s">
        <v>3633</v>
      </c>
    </row>
    <row r="477" spans="1:21" x14ac:dyDescent="0.25">
      <c r="A477" t="s">
        <v>1014</v>
      </c>
      <c r="B477" s="1">
        <v>45196</v>
      </c>
      <c r="C477" t="s">
        <v>1015</v>
      </c>
      <c r="D477" t="s">
        <v>30</v>
      </c>
      <c r="E477" t="s">
        <v>85</v>
      </c>
      <c r="F477" t="s">
        <v>60</v>
      </c>
      <c r="G477" t="s">
        <v>20</v>
      </c>
      <c r="H477" t="s">
        <v>27</v>
      </c>
      <c r="I477">
        <v>1</v>
      </c>
      <c r="J477">
        <v>126.55</v>
      </c>
      <c r="K477">
        <v>0</v>
      </c>
      <c r="L477">
        <v>126.55</v>
      </c>
      <c r="M477">
        <v>9.75</v>
      </c>
      <c r="N477">
        <v>47.2</v>
      </c>
      <c r="O477" t="s">
        <v>39</v>
      </c>
      <c r="P477">
        <v>2023</v>
      </c>
      <c r="Q477" t="s">
        <v>3644</v>
      </c>
      <c r="R477">
        <v>126.55</v>
      </c>
      <c r="S477">
        <v>0.372975108652706</v>
      </c>
      <c r="T477" t="s">
        <v>3632</v>
      </c>
      <c r="U477" t="s">
        <v>3633</v>
      </c>
    </row>
    <row r="478" spans="1:21" x14ac:dyDescent="0.25">
      <c r="A478" t="s">
        <v>1016</v>
      </c>
      <c r="B478" s="1">
        <v>45197</v>
      </c>
      <c r="C478" t="s">
        <v>293</v>
      </c>
      <c r="D478" t="s">
        <v>17</v>
      </c>
      <c r="E478" t="s">
        <v>53</v>
      </c>
      <c r="F478" t="s">
        <v>54</v>
      </c>
      <c r="G478" t="s">
        <v>42</v>
      </c>
      <c r="H478" t="s">
        <v>371</v>
      </c>
      <c r="I478">
        <v>5</v>
      </c>
      <c r="J478">
        <v>145.12</v>
      </c>
      <c r="K478">
        <v>0</v>
      </c>
      <c r="L478">
        <v>725.6</v>
      </c>
      <c r="M478">
        <v>16.63</v>
      </c>
      <c r="N478">
        <v>273.61</v>
      </c>
      <c r="O478" t="s">
        <v>22</v>
      </c>
      <c r="P478">
        <v>2023</v>
      </c>
      <c r="Q478" t="s">
        <v>3644</v>
      </c>
      <c r="R478">
        <v>725.6</v>
      </c>
      <c r="S478">
        <v>0.37708103638368201</v>
      </c>
      <c r="T478" t="s">
        <v>3635</v>
      </c>
      <c r="U478" t="s">
        <v>3633</v>
      </c>
    </row>
    <row r="479" spans="1:21" x14ac:dyDescent="0.25">
      <c r="A479" t="s">
        <v>1017</v>
      </c>
      <c r="B479" s="1">
        <v>45197</v>
      </c>
      <c r="C479" t="s">
        <v>1018</v>
      </c>
      <c r="D479" t="s">
        <v>30</v>
      </c>
      <c r="E479" t="s">
        <v>85</v>
      </c>
      <c r="F479" t="s">
        <v>60</v>
      </c>
      <c r="G479" t="s">
        <v>69</v>
      </c>
      <c r="H479" t="s">
        <v>139</v>
      </c>
      <c r="I479">
        <v>4</v>
      </c>
      <c r="J479">
        <v>26.2</v>
      </c>
      <c r="K479">
        <v>5</v>
      </c>
      <c r="L479">
        <v>99.56</v>
      </c>
      <c r="M479">
        <v>17.25</v>
      </c>
      <c r="N479">
        <v>29.91</v>
      </c>
      <c r="O479" t="s">
        <v>34</v>
      </c>
      <c r="P479">
        <v>2023</v>
      </c>
      <c r="Q479" t="s">
        <v>3644</v>
      </c>
      <c r="R479">
        <v>94.581999999999994</v>
      </c>
      <c r="S479">
        <v>0.31623353280751099</v>
      </c>
      <c r="T479" t="s">
        <v>3634</v>
      </c>
      <c r="U479" t="s">
        <v>3633</v>
      </c>
    </row>
    <row r="480" spans="1:21" x14ac:dyDescent="0.25">
      <c r="A480" t="s">
        <v>1019</v>
      </c>
      <c r="B480" s="1">
        <v>45198</v>
      </c>
      <c r="C480" t="s">
        <v>1020</v>
      </c>
      <c r="D480" t="s">
        <v>17</v>
      </c>
      <c r="E480" t="s">
        <v>25</v>
      </c>
      <c r="F480" t="s">
        <v>26</v>
      </c>
      <c r="G480" t="s">
        <v>32</v>
      </c>
      <c r="H480" t="s">
        <v>82</v>
      </c>
      <c r="I480">
        <v>5</v>
      </c>
      <c r="J480">
        <v>18.82</v>
      </c>
      <c r="K480">
        <v>15</v>
      </c>
      <c r="L480">
        <v>79.98</v>
      </c>
      <c r="M480">
        <v>10.99</v>
      </c>
      <c r="N480">
        <v>26.65</v>
      </c>
      <c r="O480" t="s">
        <v>56</v>
      </c>
      <c r="P480">
        <v>2023</v>
      </c>
      <c r="Q480" t="s">
        <v>3644</v>
      </c>
      <c r="R480">
        <v>67.983000000000004</v>
      </c>
      <c r="S480">
        <v>0.392009767147669</v>
      </c>
      <c r="T480" t="s">
        <v>3634</v>
      </c>
      <c r="U480" t="s">
        <v>3633</v>
      </c>
    </row>
    <row r="481" spans="1:21" x14ac:dyDescent="0.25">
      <c r="A481" t="s">
        <v>1021</v>
      </c>
      <c r="B481" s="1">
        <v>45198</v>
      </c>
      <c r="C481" t="s">
        <v>1022</v>
      </c>
      <c r="D481" t="s">
        <v>49</v>
      </c>
      <c r="E481" t="s">
        <v>59</v>
      </c>
      <c r="F481" t="s">
        <v>60</v>
      </c>
      <c r="G481" t="s">
        <v>42</v>
      </c>
      <c r="H481" t="s">
        <v>294</v>
      </c>
      <c r="I481">
        <v>1</v>
      </c>
      <c r="J481">
        <v>238.24</v>
      </c>
      <c r="K481">
        <v>0</v>
      </c>
      <c r="L481">
        <v>238.24</v>
      </c>
      <c r="M481">
        <v>10.130000000000001</v>
      </c>
      <c r="N481">
        <v>85.17</v>
      </c>
      <c r="O481" t="s">
        <v>34</v>
      </c>
      <c r="P481">
        <v>2023</v>
      </c>
      <c r="Q481" t="s">
        <v>3644</v>
      </c>
      <c r="R481">
        <v>238.24</v>
      </c>
      <c r="S481">
        <v>0.357496642041639</v>
      </c>
      <c r="T481" t="s">
        <v>3632</v>
      </c>
      <c r="U481" t="s">
        <v>3633</v>
      </c>
    </row>
    <row r="482" spans="1:21" x14ac:dyDescent="0.25">
      <c r="A482" t="s">
        <v>1023</v>
      </c>
      <c r="B482" s="1">
        <v>45198</v>
      </c>
      <c r="C482" t="s">
        <v>1024</v>
      </c>
      <c r="D482" t="s">
        <v>17</v>
      </c>
      <c r="E482" t="s">
        <v>85</v>
      </c>
      <c r="F482" t="s">
        <v>60</v>
      </c>
      <c r="G482" t="s">
        <v>42</v>
      </c>
      <c r="H482" t="s">
        <v>93</v>
      </c>
      <c r="I482">
        <v>1</v>
      </c>
      <c r="J482">
        <v>222.71</v>
      </c>
      <c r="K482">
        <v>15</v>
      </c>
      <c r="L482">
        <v>189.3</v>
      </c>
      <c r="M482">
        <v>10.45</v>
      </c>
      <c r="N482">
        <v>45.22</v>
      </c>
      <c r="O482" t="s">
        <v>34</v>
      </c>
      <c r="P482">
        <v>2023</v>
      </c>
      <c r="Q482" t="s">
        <v>3644</v>
      </c>
      <c r="R482">
        <v>160.905</v>
      </c>
      <c r="S482">
        <v>0.28103539355520302</v>
      </c>
      <c r="T482" t="s">
        <v>3632</v>
      </c>
      <c r="U482" t="s">
        <v>3633</v>
      </c>
    </row>
    <row r="483" spans="1:21" x14ac:dyDescent="0.25">
      <c r="A483" t="s">
        <v>1025</v>
      </c>
      <c r="B483" s="1">
        <v>45198</v>
      </c>
      <c r="C483" t="s">
        <v>1026</v>
      </c>
      <c r="D483" t="s">
        <v>49</v>
      </c>
      <c r="E483" t="s">
        <v>53</v>
      </c>
      <c r="F483" t="s">
        <v>54</v>
      </c>
      <c r="G483" t="s">
        <v>20</v>
      </c>
      <c r="H483" t="s">
        <v>175</v>
      </c>
      <c r="I483">
        <v>4</v>
      </c>
      <c r="J483">
        <v>36.61</v>
      </c>
      <c r="K483">
        <v>15</v>
      </c>
      <c r="L483">
        <v>124.47</v>
      </c>
      <c r="M483">
        <v>16.07</v>
      </c>
      <c r="N483">
        <v>27.86</v>
      </c>
      <c r="O483" t="s">
        <v>34</v>
      </c>
      <c r="P483">
        <v>2023</v>
      </c>
      <c r="Q483" t="s">
        <v>3644</v>
      </c>
      <c r="R483">
        <v>105.79949999999999</v>
      </c>
      <c r="S483">
        <v>0.26332827659866098</v>
      </c>
      <c r="T483" t="s">
        <v>3632</v>
      </c>
      <c r="U483" t="s">
        <v>3633</v>
      </c>
    </row>
    <row r="484" spans="1:21" x14ac:dyDescent="0.25">
      <c r="A484" t="s">
        <v>1027</v>
      </c>
      <c r="B484" s="1">
        <v>45199</v>
      </c>
      <c r="C484" t="s">
        <v>1028</v>
      </c>
      <c r="D484" t="s">
        <v>49</v>
      </c>
      <c r="E484" t="s">
        <v>92</v>
      </c>
      <c r="F484" t="s">
        <v>60</v>
      </c>
      <c r="G484" t="s">
        <v>42</v>
      </c>
      <c r="H484" t="s">
        <v>255</v>
      </c>
      <c r="I484">
        <v>4</v>
      </c>
      <c r="J484">
        <v>59.01</v>
      </c>
      <c r="K484">
        <v>0</v>
      </c>
      <c r="L484">
        <v>236.04</v>
      </c>
      <c r="M484">
        <v>11.14</v>
      </c>
      <c r="N484">
        <v>83.28</v>
      </c>
      <c r="O484" t="s">
        <v>22</v>
      </c>
      <c r="P484">
        <v>2023</v>
      </c>
      <c r="Q484" t="s">
        <v>3644</v>
      </c>
      <c r="R484">
        <v>236.04</v>
      </c>
      <c r="S484">
        <v>0.35282155566853102</v>
      </c>
      <c r="T484" t="s">
        <v>3632</v>
      </c>
      <c r="U484" t="s">
        <v>3633</v>
      </c>
    </row>
    <row r="485" spans="1:21" x14ac:dyDescent="0.25">
      <c r="A485" t="s">
        <v>1029</v>
      </c>
      <c r="B485" s="1">
        <v>45201</v>
      </c>
      <c r="C485" t="s">
        <v>1030</v>
      </c>
      <c r="D485" t="s">
        <v>17</v>
      </c>
      <c r="E485" t="s">
        <v>53</v>
      </c>
      <c r="F485" t="s">
        <v>54</v>
      </c>
      <c r="G485" t="s">
        <v>69</v>
      </c>
      <c r="H485" t="s">
        <v>98</v>
      </c>
      <c r="I485">
        <v>2</v>
      </c>
      <c r="J485">
        <v>49.37</v>
      </c>
      <c r="K485">
        <v>10</v>
      </c>
      <c r="L485">
        <v>88.87</v>
      </c>
      <c r="M485">
        <v>14.28</v>
      </c>
      <c r="N485">
        <v>25.22</v>
      </c>
      <c r="O485" t="s">
        <v>34</v>
      </c>
      <c r="P485">
        <v>2023</v>
      </c>
      <c r="Q485" t="s">
        <v>3645</v>
      </c>
      <c r="R485">
        <v>79.983000000000004</v>
      </c>
      <c r="S485">
        <v>0.31531700486353398</v>
      </c>
      <c r="T485" t="s">
        <v>3634</v>
      </c>
      <c r="U485" t="s">
        <v>3633</v>
      </c>
    </row>
    <row r="486" spans="1:21" x14ac:dyDescent="0.25">
      <c r="A486" t="s">
        <v>1031</v>
      </c>
      <c r="B486" s="1">
        <v>45201</v>
      </c>
      <c r="C486" t="s">
        <v>1032</v>
      </c>
      <c r="D486" t="s">
        <v>17</v>
      </c>
      <c r="E486" t="s">
        <v>109</v>
      </c>
      <c r="F486" t="s">
        <v>54</v>
      </c>
      <c r="G486" t="s">
        <v>42</v>
      </c>
      <c r="H486" t="s">
        <v>371</v>
      </c>
      <c r="I486">
        <v>1</v>
      </c>
      <c r="J486">
        <v>131.91</v>
      </c>
      <c r="K486">
        <v>15</v>
      </c>
      <c r="L486">
        <v>112.12</v>
      </c>
      <c r="M486">
        <v>12.52</v>
      </c>
      <c r="N486">
        <v>20.45</v>
      </c>
      <c r="O486" t="s">
        <v>39</v>
      </c>
      <c r="P486">
        <v>2023</v>
      </c>
      <c r="Q486" t="s">
        <v>3645</v>
      </c>
      <c r="R486">
        <v>95.302000000000007</v>
      </c>
      <c r="S486">
        <v>0.21458101613817099</v>
      </c>
      <c r="T486" t="s">
        <v>3632</v>
      </c>
      <c r="U486" t="s">
        <v>3633</v>
      </c>
    </row>
    <row r="487" spans="1:21" x14ac:dyDescent="0.25">
      <c r="A487" t="s">
        <v>1033</v>
      </c>
      <c r="B487" s="1">
        <v>45201</v>
      </c>
      <c r="C487" t="s">
        <v>1034</v>
      </c>
      <c r="D487" t="s">
        <v>17</v>
      </c>
      <c r="E487" t="s">
        <v>67</v>
      </c>
      <c r="F487" t="s">
        <v>68</v>
      </c>
      <c r="G487" t="s">
        <v>20</v>
      </c>
      <c r="H487" t="s">
        <v>38</v>
      </c>
      <c r="I487">
        <v>2</v>
      </c>
      <c r="J487">
        <v>79.63</v>
      </c>
      <c r="K487">
        <v>10</v>
      </c>
      <c r="L487">
        <v>143.33000000000001</v>
      </c>
      <c r="M487">
        <v>11.45</v>
      </c>
      <c r="N487">
        <v>44.29</v>
      </c>
      <c r="O487" t="s">
        <v>34</v>
      </c>
      <c r="P487">
        <v>2023</v>
      </c>
      <c r="Q487" t="s">
        <v>3645</v>
      </c>
      <c r="R487">
        <v>128.99700000000001</v>
      </c>
      <c r="S487">
        <v>0.343341318015148</v>
      </c>
      <c r="T487" t="s">
        <v>3632</v>
      </c>
      <c r="U487" t="s">
        <v>3633</v>
      </c>
    </row>
    <row r="488" spans="1:21" x14ac:dyDescent="0.25">
      <c r="A488" t="s">
        <v>1035</v>
      </c>
      <c r="B488" s="1">
        <v>45202</v>
      </c>
      <c r="C488" t="s">
        <v>1036</v>
      </c>
      <c r="D488" t="s">
        <v>49</v>
      </c>
      <c r="E488" t="s">
        <v>37</v>
      </c>
      <c r="F488" t="s">
        <v>26</v>
      </c>
      <c r="G488" t="s">
        <v>42</v>
      </c>
      <c r="H488" t="s">
        <v>89</v>
      </c>
      <c r="I488">
        <v>2</v>
      </c>
      <c r="J488">
        <v>399.1</v>
      </c>
      <c r="K488">
        <v>5</v>
      </c>
      <c r="L488">
        <v>758.29</v>
      </c>
      <c r="M488">
        <v>10.3</v>
      </c>
      <c r="N488">
        <v>269.07</v>
      </c>
      <c r="O488" t="s">
        <v>39</v>
      </c>
      <c r="P488">
        <v>2023</v>
      </c>
      <c r="Q488" t="s">
        <v>3645</v>
      </c>
      <c r="R488">
        <v>720.37549999999999</v>
      </c>
      <c r="S488">
        <v>0.37351353564911599</v>
      </c>
      <c r="T488" t="s">
        <v>3635</v>
      </c>
      <c r="U488" t="s">
        <v>3633</v>
      </c>
    </row>
    <row r="489" spans="1:21" x14ac:dyDescent="0.25">
      <c r="A489" t="s">
        <v>1037</v>
      </c>
      <c r="B489" s="1">
        <v>45202</v>
      </c>
      <c r="C489" t="s">
        <v>1038</v>
      </c>
      <c r="D489" t="s">
        <v>30</v>
      </c>
      <c r="E489" t="s">
        <v>85</v>
      </c>
      <c r="F489" t="s">
        <v>60</v>
      </c>
      <c r="G489" t="s">
        <v>42</v>
      </c>
      <c r="H489" t="s">
        <v>93</v>
      </c>
      <c r="I489">
        <v>6</v>
      </c>
      <c r="J489">
        <v>241.8</v>
      </c>
      <c r="K489">
        <v>5</v>
      </c>
      <c r="L489">
        <v>1378.26</v>
      </c>
      <c r="M489">
        <v>22.07</v>
      </c>
      <c r="N489">
        <v>485.71</v>
      </c>
      <c r="O489" t="s">
        <v>22</v>
      </c>
      <c r="P489">
        <v>2023</v>
      </c>
      <c r="Q489" t="s">
        <v>3645</v>
      </c>
      <c r="R489">
        <v>1309.347</v>
      </c>
      <c r="S489">
        <v>0.37095590397350697</v>
      </c>
      <c r="T489" t="s">
        <v>3635</v>
      </c>
      <c r="U489" t="s">
        <v>3633</v>
      </c>
    </row>
    <row r="490" spans="1:21" x14ac:dyDescent="0.25">
      <c r="A490" t="s">
        <v>1039</v>
      </c>
      <c r="B490" s="1">
        <v>45203</v>
      </c>
      <c r="C490" t="s">
        <v>1040</v>
      </c>
      <c r="D490" t="s">
        <v>17</v>
      </c>
      <c r="E490" t="s">
        <v>59</v>
      </c>
      <c r="F490" t="s">
        <v>60</v>
      </c>
      <c r="G490" t="s">
        <v>42</v>
      </c>
      <c r="H490" t="s">
        <v>371</v>
      </c>
      <c r="I490">
        <v>4</v>
      </c>
      <c r="J490">
        <v>162.94</v>
      </c>
      <c r="K490">
        <v>5</v>
      </c>
      <c r="L490">
        <v>619.16999999999996</v>
      </c>
      <c r="M490">
        <v>15.93</v>
      </c>
      <c r="N490">
        <v>212.18</v>
      </c>
      <c r="O490" t="s">
        <v>56</v>
      </c>
      <c r="P490">
        <v>2023</v>
      </c>
      <c r="Q490" t="s">
        <v>3645</v>
      </c>
      <c r="R490">
        <v>588.2115</v>
      </c>
      <c r="S490">
        <v>0.360720591147912</v>
      </c>
      <c r="T490" t="s">
        <v>3635</v>
      </c>
      <c r="U490" t="s">
        <v>3633</v>
      </c>
    </row>
    <row r="491" spans="1:21" x14ac:dyDescent="0.25">
      <c r="A491" t="s">
        <v>1041</v>
      </c>
      <c r="B491" s="1">
        <v>45203</v>
      </c>
      <c r="C491" t="s">
        <v>1042</v>
      </c>
      <c r="D491" t="s">
        <v>30</v>
      </c>
      <c r="E491" t="s">
        <v>67</v>
      </c>
      <c r="F491" t="s">
        <v>68</v>
      </c>
      <c r="G491" t="s">
        <v>20</v>
      </c>
      <c r="H491" t="s">
        <v>170</v>
      </c>
      <c r="I491">
        <v>1</v>
      </c>
      <c r="J491">
        <v>44.26</v>
      </c>
      <c r="K491">
        <v>0</v>
      </c>
      <c r="L491">
        <v>44.26</v>
      </c>
      <c r="M491">
        <v>12.32</v>
      </c>
      <c r="N491">
        <v>7.6</v>
      </c>
      <c r="O491" t="s">
        <v>39</v>
      </c>
      <c r="P491">
        <v>2023</v>
      </c>
      <c r="Q491" t="s">
        <v>3645</v>
      </c>
      <c r="R491">
        <v>44.26</v>
      </c>
      <c r="S491">
        <v>0.17171260732037999</v>
      </c>
      <c r="T491" t="s">
        <v>3634</v>
      </c>
      <c r="U491" t="s">
        <v>3633</v>
      </c>
    </row>
    <row r="492" spans="1:21" x14ac:dyDescent="0.25">
      <c r="A492" t="s">
        <v>1043</v>
      </c>
      <c r="B492" s="1">
        <v>45203</v>
      </c>
      <c r="C492" t="s">
        <v>1044</v>
      </c>
      <c r="D492" t="s">
        <v>49</v>
      </c>
      <c r="E492" t="s">
        <v>18</v>
      </c>
      <c r="F492" t="s">
        <v>19</v>
      </c>
      <c r="G492" t="s">
        <v>32</v>
      </c>
      <c r="H492" t="s">
        <v>115</v>
      </c>
      <c r="I492">
        <v>4</v>
      </c>
      <c r="J492">
        <v>6.82</v>
      </c>
      <c r="K492">
        <v>5</v>
      </c>
      <c r="L492">
        <v>25.92</v>
      </c>
      <c r="M492">
        <v>9.89</v>
      </c>
      <c r="N492">
        <v>3.75</v>
      </c>
      <c r="O492" t="s">
        <v>39</v>
      </c>
      <c r="P492">
        <v>2023</v>
      </c>
      <c r="Q492" t="s">
        <v>3645</v>
      </c>
      <c r="R492">
        <v>24.623999999999999</v>
      </c>
      <c r="S492">
        <v>0.15229044834308</v>
      </c>
      <c r="T492" t="s">
        <v>3634</v>
      </c>
      <c r="U492" t="s">
        <v>3633</v>
      </c>
    </row>
    <row r="493" spans="1:21" x14ac:dyDescent="0.25">
      <c r="A493" t="s">
        <v>1045</v>
      </c>
      <c r="B493" s="1">
        <v>45203</v>
      </c>
      <c r="C493" t="s">
        <v>1046</v>
      </c>
      <c r="D493" t="s">
        <v>49</v>
      </c>
      <c r="E493" t="s">
        <v>53</v>
      </c>
      <c r="F493" t="s">
        <v>54</v>
      </c>
      <c r="G493" t="s">
        <v>69</v>
      </c>
      <c r="H493" t="s">
        <v>98</v>
      </c>
      <c r="I493">
        <v>3</v>
      </c>
      <c r="J493">
        <v>59.55</v>
      </c>
      <c r="K493">
        <v>0</v>
      </c>
      <c r="L493">
        <v>178.65</v>
      </c>
      <c r="M493">
        <v>14.68</v>
      </c>
      <c r="N493">
        <v>74.650000000000006</v>
      </c>
      <c r="O493" t="s">
        <v>39</v>
      </c>
      <c r="P493">
        <v>2023</v>
      </c>
      <c r="Q493" t="s">
        <v>3645</v>
      </c>
      <c r="R493">
        <v>178.65</v>
      </c>
      <c r="S493">
        <v>0.41785614329694898</v>
      </c>
      <c r="T493" t="s">
        <v>3632</v>
      </c>
      <c r="U493" t="s">
        <v>3633</v>
      </c>
    </row>
    <row r="494" spans="1:21" x14ac:dyDescent="0.25">
      <c r="A494" t="s">
        <v>1047</v>
      </c>
      <c r="B494" s="1">
        <v>45204</v>
      </c>
      <c r="C494" t="s">
        <v>1048</v>
      </c>
      <c r="D494" t="s">
        <v>17</v>
      </c>
      <c r="E494" t="s">
        <v>169</v>
      </c>
      <c r="F494" t="s">
        <v>68</v>
      </c>
      <c r="G494" t="s">
        <v>69</v>
      </c>
      <c r="H494" t="s">
        <v>305</v>
      </c>
      <c r="I494">
        <v>13</v>
      </c>
      <c r="J494">
        <v>74.959999999999994</v>
      </c>
      <c r="K494">
        <v>20</v>
      </c>
      <c r="L494">
        <v>779.58</v>
      </c>
      <c r="M494">
        <v>19.8</v>
      </c>
      <c r="N494">
        <v>272.54000000000002</v>
      </c>
      <c r="O494" t="s">
        <v>22</v>
      </c>
      <c r="P494">
        <v>2023</v>
      </c>
      <c r="Q494" t="s">
        <v>3645</v>
      </c>
      <c r="R494">
        <v>623.66399999999999</v>
      </c>
      <c r="S494">
        <v>0.43699812719669601</v>
      </c>
      <c r="T494" t="s">
        <v>3635</v>
      </c>
      <c r="U494" t="s">
        <v>3633</v>
      </c>
    </row>
    <row r="495" spans="1:21" x14ac:dyDescent="0.25">
      <c r="A495" t="s">
        <v>1049</v>
      </c>
      <c r="B495" s="1">
        <v>45204</v>
      </c>
      <c r="C495" t="s">
        <v>1050</v>
      </c>
      <c r="D495" t="s">
        <v>17</v>
      </c>
      <c r="E495" t="s">
        <v>31</v>
      </c>
      <c r="F495" t="s">
        <v>19</v>
      </c>
      <c r="G495" t="s">
        <v>42</v>
      </c>
      <c r="H495" t="s">
        <v>255</v>
      </c>
      <c r="I495">
        <v>1</v>
      </c>
      <c r="J495">
        <v>35.29</v>
      </c>
      <c r="K495">
        <v>10</v>
      </c>
      <c r="L495">
        <v>31.76</v>
      </c>
      <c r="M495">
        <v>6.93</v>
      </c>
      <c r="N495">
        <v>3.66</v>
      </c>
      <c r="O495" t="s">
        <v>34</v>
      </c>
      <c r="P495">
        <v>2023</v>
      </c>
      <c r="Q495" t="s">
        <v>3645</v>
      </c>
      <c r="R495">
        <v>28.584</v>
      </c>
      <c r="S495">
        <v>0.128043660789253</v>
      </c>
      <c r="T495" t="s">
        <v>3634</v>
      </c>
      <c r="U495" t="s">
        <v>3633</v>
      </c>
    </row>
    <row r="496" spans="1:21" x14ac:dyDescent="0.25">
      <c r="A496" t="s">
        <v>1051</v>
      </c>
      <c r="B496" s="1">
        <v>45204</v>
      </c>
      <c r="C496" t="s">
        <v>1052</v>
      </c>
      <c r="D496" t="s">
        <v>17</v>
      </c>
      <c r="E496" t="s">
        <v>129</v>
      </c>
      <c r="F496" t="s">
        <v>19</v>
      </c>
      <c r="G496" t="s">
        <v>42</v>
      </c>
      <c r="H496" t="s">
        <v>371</v>
      </c>
      <c r="I496">
        <v>4</v>
      </c>
      <c r="J496">
        <v>129.80000000000001</v>
      </c>
      <c r="K496">
        <v>10</v>
      </c>
      <c r="L496">
        <v>467.28</v>
      </c>
      <c r="M496">
        <v>10.02</v>
      </c>
      <c r="N496">
        <v>145.74</v>
      </c>
      <c r="O496" t="s">
        <v>39</v>
      </c>
      <c r="P496">
        <v>2023</v>
      </c>
      <c r="Q496" t="s">
        <v>3645</v>
      </c>
      <c r="R496">
        <v>420.55200000000002</v>
      </c>
      <c r="S496">
        <v>0.34654454145979602</v>
      </c>
      <c r="T496" t="s">
        <v>3632</v>
      </c>
      <c r="U496" t="s">
        <v>3633</v>
      </c>
    </row>
    <row r="497" spans="1:21" x14ac:dyDescent="0.25">
      <c r="A497" t="s">
        <v>1053</v>
      </c>
      <c r="B497" s="1">
        <v>45204</v>
      </c>
      <c r="C497" t="s">
        <v>1054</v>
      </c>
      <c r="D497" t="s">
        <v>30</v>
      </c>
      <c r="E497" t="s">
        <v>169</v>
      </c>
      <c r="F497" t="s">
        <v>68</v>
      </c>
      <c r="G497" t="s">
        <v>32</v>
      </c>
      <c r="H497" t="s">
        <v>115</v>
      </c>
      <c r="I497">
        <v>1</v>
      </c>
      <c r="J497">
        <v>6.83</v>
      </c>
      <c r="K497">
        <v>0</v>
      </c>
      <c r="L497">
        <v>6.83</v>
      </c>
      <c r="M497">
        <v>12.47</v>
      </c>
      <c r="N497">
        <v>-8.7100000000000009</v>
      </c>
      <c r="O497" t="s">
        <v>39</v>
      </c>
      <c r="P497">
        <v>2023</v>
      </c>
      <c r="Q497" t="s">
        <v>3645</v>
      </c>
      <c r="R497">
        <v>6.83</v>
      </c>
      <c r="S497">
        <v>-1.2752562225475801</v>
      </c>
      <c r="T497" t="s">
        <v>3634</v>
      </c>
      <c r="U497" t="s">
        <v>3636</v>
      </c>
    </row>
    <row r="498" spans="1:21" x14ac:dyDescent="0.25">
      <c r="A498" t="s">
        <v>1055</v>
      </c>
      <c r="B498" s="1">
        <v>45204</v>
      </c>
      <c r="C498" t="s">
        <v>1056</v>
      </c>
      <c r="D498" t="s">
        <v>17</v>
      </c>
      <c r="E498" t="s">
        <v>169</v>
      </c>
      <c r="F498" t="s">
        <v>68</v>
      </c>
      <c r="G498" t="s">
        <v>42</v>
      </c>
      <c r="H498" t="s">
        <v>89</v>
      </c>
      <c r="I498">
        <v>1</v>
      </c>
      <c r="J498">
        <v>340.77</v>
      </c>
      <c r="K498">
        <v>30</v>
      </c>
      <c r="L498">
        <v>238.54</v>
      </c>
      <c r="M498">
        <v>11.54</v>
      </c>
      <c r="N498">
        <v>22.54</v>
      </c>
      <c r="O498" t="s">
        <v>56</v>
      </c>
      <c r="P498">
        <v>2023</v>
      </c>
      <c r="Q498" t="s">
        <v>3645</v>
      </c>
      <c r="R498">
        <v>166.97800000000001</v>
      </c>
      <c r="S498">
        <v>0.13498784270981801</v>
      </c>
      <c r="T498" t="s">
        <v>3632</v>
      </c>
      <c r="U498" t="s">
        <v>3633</v>
      </c>
    </row>
    <row r="499" spans="1:21" x14ac:dyDescent="0.25">
      <c r="A499" t="s">
        <v>1057</v>
      </c>
      <c r="B499" s="1">
        <v>45205</v>
      </c>
      <c r="C499" t="s">
        <v>1058</v>
      </c>
      <c r="D499" t="s">
        <v>30</v>
      </c>
      <c r="E499" t="s">
        <v>92</v>
      </c>
      <c r="F499" t="s">
        <v>60</v>
      </c>
      <c r="G499" t="s">
        <v>20</v>
      </c>
      <c r="H499" t="s">
        <v>27</v>
      </c>
      <c r="I499">
        <v>2</v>
      </c>
      <c r="J499">
        <v>131.68</v>
      </c>
      <c r="K499">
        <v>0</v>
      </c>
      <c r="L499">
        <v>263.36</v>
      </c>
      <c r="M499">
        <v>10.63</v>
      </c>
      <c r="N499">
        <v>107.88</v>
      </c>
      <c r="O499" t="s">
        <v>39</v>
      </c>
      <c r="P499">
        <v>2023</v>
      </c>
      <c r="Q499" t="s">
        <v>3645</v>
      </c>
      <c r="R499">
        <v>263.36</v>
      </c>
      <c r="S499">
        <v>0.409629404617254</v>
      </c>
      <c r="T499" t="s">
        <v>3632</v>
      </c>
      <c r="U499" t="s">
        <v>3633</v>
      </c>
    </row>
    <row r="500" spans="1:21" x14ac:dyDescent="0.25">
      <c r="A500" t="s">
        <v>1059</v>
      </c>
      <c r="B500" s="1">
        <v>45206</v>
      </c>
      <c r="C500" t="s">
        <v>1060</v>
      </c>
      <c r="D500" t="s">
        <v>49</v>
      </c>
      <c r="E500" t="s">
        <v>109</v>
      </c>
      <c r="F500" t="s">
        <v>54</v>
      </c>
      <c r="G500" t="s">
        <v>32</v>
      </c>
      <c r="H500" t="s">
        <v>110</v>
      </c>
      <c r="I500">
        <v>3</v>
      </c>
      <c r="J500">
        <v>12.07</v>
      </c>
      <c r="K500">
        <v>15</v>
      </c>
      <c r="L500">
        <v>30.78</v>
      </c>
      <c r="M500">
        <v>17.690000000000001</v>
      </c>
      <c r="N500">
        <v>-3.2</v>
      </c>
      <c r="O500" t="s">
        <v>39</v>
      </c>
      <c r="P500">
        <v>2023</v>
      </c>
      <c r="Q500" t="s">
        <v>3645</v>
      </c>
      <c r="R500">
        <v>26.163</v>
      </c>
      <c r="S500">
        <v>-0.12231013263005</v>
      </c>
      <c r="T500" t="s">
        <v>3634</v>
      </c>
      <c r="U500" t="s">
        <v>3636</v>
      </c>
    </row>
    <row r="501" spans="1:21" x14ac:dyDescent="0.25">
      <c r="A501" t="s">
        <v>1061</v>
      </c>
      <c r="B501" s="1">
        <v>45207</v>
      </c>
      <c r="C501" t="s">
        <v>1062</v>
      </c>
      <c r="D501" t="s">
        <v>17</v>
      </c>
      <c r="E501" t="s">
        <v>109</v>
      </c>
      <c r="F501" t="s">
        <v>54</v>
      </c>
      <c r="G501" t="s">
        <v>42</v>
      </c>
      <c r="H501" t="s">
        <v>255</v>
      </c>
      <c r="I501">
        <v>2</v>
      </c>
      <c r="J501">
        <v>50.05</v>
      </c>
      <c r="K501">
        <v>25</v>
      </c>
      <c r="L501">
        <v>75.069999999999993</v>
      </c>
      <c r="M501">
        <v>12.65</v>
      </c>
      <c r="N501">
        <v>2.36</v>
      </c>
      <c r="O501" t="s">
        <v>34</v>
      </c>
      <c r="P501">
        <v>2023</v>
      </c>
      <c r="Q501" t="s">
        <v>3645</v>
      </c>
      <c r="R501">
        <v>56.302500000000002</v>
      </c>
      <c r="S501">
        <v>4.1916433550908003E-2</v>
      </c>
      <c r="T501" t="s">
        <v>3634</v>
      </c>
      <c r="U501" t="s">
        <v>3633</v>
      </c>
    </row>
    <row r="502" spans="1:21" x14ac:dyDescent="0.25">
      <c r="A502" t="s">
        <v>1063</v>
      </c>
      <c r="B502" s="1">
        <v>45207</v>
      </c>
      <c r="C502" t="s">
        <v>1064</v>
      </c>
      <c r="D502" t="s">
        <v>30</v>
      </c>
      <c r="E502" t="s">
        <v>121</v>
      </c>
      <c r="F502" t="s">
        <v>68</v>
      </c>
      <c r="G502" t="s">
        <v>32</v>
      </c>
      <c r="H502" t="s">
        <v>82</v>
      </c>
      <c r="I502">
        <v>3</v>
      </c>
      <c r="J502">
        <v>21.94</v>
      </c>
      <c r="K502">
        <v>5</v>
      </c>
      <c r="L502">
        <v>62.53</v>
      </c>
      <c r="M502">
        <v>17.25</v>
      </c>
      <c r="N502">
        <v>15.66</v>
      </c>
      <c r="O502" t="s">
        <v>22</v>
      </c>
      <c r="P502">
        <v>2023</v>
      </c>
      <c r="Q502" t="s">
        <v>3645</v>
      </c>
      <c r="R502">
        <v>59.403500000000001</v>
      </c>
      <c r="S502">
        <v>0.26362083042244999</v>
      </c>
      <c r="T502" t="s">
        <v>3634</v>
      </c>
      <c r="U502" t="s">
        <v>3633</v>
      </c>
    </row>
    <row r="503" spans="1:21" x14ac:dyDescent="0.25">
      <c r="A503" t="s">
        <v>1065</v>
      </c>
      <c r="B503" s="1">
        <v>45207</v>
      </c>
      <c r="C503" t="s">
        <v>1066</v>
      </c>
      <c r="D503" t="s">
        <v>49</v>
      </c>
      <c r="E503" t="s">
        <v>76</v>
      </c>
      <c r="F503" t="s">
        <v>26</v>
      </c>
      <c r="G503" t="s">
        <v>69</v>
      </c>
      <c r="H503" t="s">
        <v>163</v>
      </c>
      <c r="I503">
        <v>5</v>
      </c>
      <c r="J503">
        <v>68.42</v>
      </c>
      <c r="K503">
        <v>10</v>
      </c>
      <c r="L503">
        <v>307.89</v>
      </c>
      <c r="M503">
        <v>11.72</v>
      </c>
      <c r="N503">
        <v>125.12</v>
      </c>
      <c r="O503" t="s">
        <v>34</v>
      </c>
      <c r="P503">
        <v>2023</v>
      </c>
      <c r="Q503" t="s">
        <v>3645</v>
      </c>
      <c r="R503">
        <v>277.101</v>
      </c>
      <c r="S503">
        <v>0.451532112839723</v>
      </c>
      <c r="T503" t="s">
        <v>3632</v>
      </c>
      <c r="U503" t="s">
        <v>3633</v>
      </c>
    </row>
    <row r="504" spans="1:21" x14ac:dyDescent="0.25">
      <c r="A504" t="s">
        <v>1067</v>
      </c>
      <c r="B504" s="1">
        <v>45207</v>
      </c>
      <c r="C504" t="s">
        <v>1068</v>
      </c>
      <c r="D504" t="s">
        <v>30</v>
      </c>
      <c r="E504" t="s">
        <v>63</v>
      </c>
      <c r="F504" t="s">
        <v>54</v>
      </c>
      <c r="G504" t="s">
        <v>42</v>
      </c>
      <c r="H504" t="s">
        <v>118</v>
      </c>
      <c r="I504">
        <v>5</v>
      </c>
      <c r="J504">
        <v>85.91</v>
      </c>
      <c r="K504">
        <v>5</v>
      </c>
      <c r="L504">
        <v>408.07</v>
      </c>
      <c r="M504">
        <v>19.75</v>
      </c>
      <c r="N504">
        <v>130.59</v>
      </c>
      <c r="O504" t="s">
        <v>39</v>
      </c>
      <c r="P504">
        <v>2023</v>
      </c>
      <c r="Q504" t="s">
        <v>3645</v>
      </c>
      <c r="R504">
        <v>387.66649999999998</v>
      </c>
      <c r="S504">
        <v>0.33686170974278201</v>
      </c>
      <c r="T504" t="s">
        <v>3632</v>
      </c>
      <c r="U504" t="s">
        <v>3633</v>
      </c>
    </row>
    <row r="505" spans="1:21" x14ac:dyDescent="0.25">
      <c r="A505" t="s">
        <v>1069</v>
      </c>
      <c r="B505" s="1">
        <v>45207</v>
      </c>
      <c r="C505" t="s">
        <v>1070</v>
      </c>
      <c r="D505" t="s">
        <v>30</v>
      </c>
      <c r="E505" t="s">
        <v>18</v>
      </c>
      <c r="F505" t="s">
        <v>19</v>
      </c>
      <c r="G505" t="s">
        <v>20</v>
      </c>
      <c r="H505" t="s">
        <v>38</v>
      </c>
      <c r="I505">
        <v>1</v>
      </c>
      <c r="J505">
        <v>43.09</v>
      </c>
      <c r="K505">
        <v>15</v>
      </c>
      <c r="L505">
        <v>36.630000000000003</v>
      </c>
      <c r="M505">
        <v>7.3</v>
      </c>
      <c r="N505">
        <v>5.63</v>
      </c>
      <c r="O505" t="s">
        <v>34</v>
      </c>
      <c r="P505">
        <v>2023</v>
      </c>
      <c r="Q505" t="s">
        <v>3645</v>
      </c>
      <c r="R505">
        <v>31.1355</v>
      </c>
      <c r="S505">
        <v>0.18082253376370999</v>
      </c>
      <c r="T505" t="s">
        <v>3634</v>
      </c>
      <c r="U505" t="s">
        <v>3633</v>
      </c>
    </row>
    <row r="506" spans="1:21" x14ac:dyDescent="0.25">
      <c r="A506" t="s">
        <v>1071</v>
      </c>
      <c r="B506" s="1">
        <v>45208</v>
      </c>
      <c r="C506" t="s">
        <v>1072</v>
      </c>
      <c r="D506" t="s">
        <v>49</v>
      </c>
      <c r="E506" t="s">
        <v>169</v>
      </c>
      <c r="F506" t="s">
        <v>68</v>
      </c>
      <c r="G506" t="s">
        <v>42</v>
      </c>
      <c r="H506" t="s">
        <v>43</v>
      </c>
      <c r="I506">
        <v>1</v>
      </c>
      <c r="J506">
        <v>184.6</v>
      </c>
      <c r="K506">
        <v>5</v>
      </c>
      <c r="L506">
        <v>175.37</v>
      </c>
      <c r="M506">
        <v>11.24</v>
      </c>
      <c r="N506">
        <v>53.37</v>
      </c>
      <c r="O506" t="s">
        <v>34</v>
      </c>
      <c r="P506">
        <v>2023</v>
      </c>
      <c r="Q506" t="s">
        <v>3645</v>
      </c>
      <c r="R506">
        <v>166.60149999999999</v>
      </c>
      <c r="S506">
        <v>0.32034525499470301</v>
      </c>
      <c r="T506" t="s">
        <v>3632</v>
      </c>
      <c r="U506" t="s">
        <v>3633</v>
      </c>
    </row>
    <row r="507" spans="1:21" x14ac:dyDescent="0.25">
      <c r="A507" t="s">
        <v>1073</v>
      </c>
      <c r="B507" s="1">
        <v>45208</v>
      </c>
      <c r="C507" t="s">
        <v>1074</v>
      </c>
      <c r="D507" t="s">
        <v>49</v>
      </c>
      <c r="E507" t="s">
        <v>37</v>
      </c>
      <c r="F507" t="s">
        <v>26</v>
      </c>
      <c r="G507" t="s">
        <v>42</v>
      </c>
      <c r="H507" t="s">
        <v>43</v>
      </c>
      <c r="I507">
        <v>11</v>
      </c>
      <c r="J507">
        <v>272.86</v>
      </c>
      <c r="K507">
        <v>10</v>
      </c>
      <c r="L507">
        <v>2701.31</v>
      </c>
      <c r="M507">
        <v>26.06</v>
      </c>
      <c r="N507">
        <v>874.37</v>
      </c>
      <c r="O507" t="s">
        <v>34</v>
      </c>
      <c r="P507">
        <v>2023</v>
      </c>
      <c r="Q507" t="s">
        <v>3645</v>
      </c>
      <c r="R507">
        <v>2431.1790000000001</v>
      </c>
      <c r="S507">
        <v>0.35964854911958399</v>
      </c>
      <c r="T507" t="s">
        <v>3635</v>
      </c>
      <c r="U507" t="s">
        <v>3633</v>
      </c>
    </row>
    <row r="508" spans="1:21" x14ac:dyDescent="0.25">
      <c r="A508" t="s">
        <v>1075</v>
      </c>
      <c r="B508" s="1">
        <v>45209</v>
      </c>
      <c r="C508" t="s">
        <v>1076</v>
      </c>
      <c r="D508" t="s">
        <v>17</v>
      </c>
      <c r="E508" t="s">
        <v>135</v>
      </c>
      <c r="F508" t="s">
        <v>26</v>
      </c>
      <c r="G508" t="s">
        <v>69</v>
      </c>
      <c r="H508" t="s">
        <v>305</v>
      </c>
      <c r="I508">
        <v>7</v>
      </c>
      <c r="J508">
        <v>74.92</v>
      </c>
      <c r="K508">
        <v>25</v>
      </c>
      <c r="L508">
        <v>393.33</v>
      </c>
      <c r="M508">
        <v>17.73</v>
      </c>
      <c r="N508">
        <v>113.38</v>
      </c>
      <c r="O508" t="s">
        <v>39</v>
      </c>
      <c r="P508">
        <v>2023</v>
      </c>
      <c r="Q508" t="s">
        <v>3645</v>
      </c>
      <c r="R508">
        <v>294.9975</v>
      </c>
      <c r="S508">
        <v>0.38434224018847601</v>
      </c>
      <c r="T508" t="s">
        <v>3632</v>
      </c>
      <c r="U508" t="s">
        <v>3633</v>
      </c>
    </row>
    <row r="509" spans="1:21" x14ac:dyDescent="0.25">
      <c r="A509" t="s">
        <v>1077</v>
      </c>
      <c r="B509" s="1">
        <v>45209</v>
      </c>
      <c r="C509" t="s">
        <v>1078</v>
      </c>
      <c r="D509" t="s">
        <v>30</v>
      </c>
      <c r="E509" t="s">
        <v>76</v>
      </c>
      <c r="F509" t="s">
        <v>26</v>
      </c>
      <c r="G509" t="s">
        <v>42</v>
      </c>
      <c r="H509" t="s">
        <v>294</v>
      </c>
      <c r="I509">
        <v>5</v>
      </c>
      <c r="J509">
        <v>216.45</v>
      </c>
      <c r="K509">
        <v>0</v>
      </c>
      <c r="L509">
        <v>1082.25</v>
      </c>
      <c r="M509">
        <v>16.23</v>
      </c>
      <c r="N509">
        <v>416.67</v>
      </c>
      <c r="O509" t="s">
        <v>56</v>
      </c>
      <c r="P509">
        <v>2023</v>
      </c>
      <c r="Q509" t="s">
        <v>3645</v>
      </c>
      <c r="R509">
        <v>1082.25</v>
      </c>
      <c r="S509">
        <v>0.385003465003465</v>
      </c>
      <c r="T509" t="s">
        <v>3635</v>
      </c>
      <c r="U509" t="s">
        <v>3633</v>
      </c>
    </row>
    <row r="510" spans="1:21" x14ac:dyDescent="0.25">
      <c r="A510" t="s">
        <v>1079</v>
      </c>
      <c r="B510" s="1">
        <v>45209</v>
      </c>
      <c r="C510" t="s">
        <v>1080</v>
      </c>
      <c r="D510" t="s">
        <v>30</v>
      </c>
      <c r="E510" t="s">
        <v>92</v>
      </c>
      <c r="F510" t="s">
        <v>60</v>
      </c>
      <c r="G510" t="s">
        <v>42</v>
      </c>
      <c r="H510" t="s">
        <v>46</v>
      </c>
      <c r="I510">
        <v>3</v>
      </c>
      <c r="J510">
        <v>82.78</v>
      </c>
      <c r="K510">
        <v>5</v>
      </c>
      <c r="L510">
        <v>235.92</v>
      </c>
      <c r="M510">
        <v>13.57</v>
      </c>
      <c r="N510">
        <v>73.349999999999994</v>
      </c>
      <c r="O510" t="s">
        <v>34</v>
      </c>
      <c r="P510">
        <v>2023</v>
      </c>
      <c r="Q510" t="s">
        <v>3645</v>
      </c>
      <c r="R510">
        <v>224.124</v>
      </c>
      <c r="S510">
        <v>0.32727418750334603</v>
      </c>
      <c r="T510" t="s">
        <v>3632</v>
      </c>
      <c r="U510" t="s">
        <v>3633</v>
      </c>
    </row>
    <row r="511" spans="1:21" x14ac:dyDescent="0.25">
      <c r="A511" t="s">
        <v>1081</v>
      </c>
      <c r="B511" s="1">
        <v>45209</v>
      </c>
      <c r="C511" t="s">
        <v>1082</v>
      </c>
      <c r="D511" t="s">
        <v>30</v>
      </c>
      <c r="E511" t="s">
        <v>18</v>
      </c>
      <c r="F511" t="s">
        <v>19</v>
      </c>
      <c r="G511" t="s">
        <v>20</v>
      </c>
      <c r="H511" t="s">
        <v>21</v>
      </c>
      <c r="I511">
        <v>4</v>
      </c>
      <c r="J511">
        <v>211.07</v>
      </c>
      <c r="K511">
        <v>5</v>
      </c>
      <c r="L511">
        <v>802.07</v>
      </c>
      <c r="M511">
        <v>7.73</v>
      </c>
      <c r="N511">
        <v>329.99</v>
      </c>
      <c r="O511" t="s">
        <v>39</v>
      </c>
      <c r="P511">
        <v>2023</v>
      </c>
      <c r="Q511" t="s">
        <v>3645</v>
      </c>
      <c r="R511">
        <v>761.9665</v>
      </c>
      <c r="S511">
        <v>0.43307678224698898</v>
      </c>
      <c r="T511" t="s">
        <v>3635</v>
      </c>
      <c r="U511" t="s">
        <v>3633</v>
      </c>
    </row>
    <row r="512" spans="1:21" x14ac:dyDescent="0.25">
      <c r="A512" t="s">
        <v>1083</v>
      </c>
      <c r="B512" s="1">
        <v>45209</v>
      </c>
      <c r="C512" t="s">
        <v>1084</v>
      </c>
      <c r="D512" t="s">
        <v>17</v>
      </c>
      <c r="E512" t="s">
        <v>129</v>
      </c>
      <c r="F512" t="s">
        <v>19</v>
      </c>
      <c r="G512" t="s">
        <v>42</v>
      </c>
      <c r="H512" t="s">
        <v>255</v>
      </c>
      <c r="I512">
        <v>1</v>
      </c>
      <c r="J512">
        <v>19.95</v>
      </c>
      <c r="K512">
        <v>0</v>
      </c>
      <c r="L512">
        <v>19.95</v>
      </c>
      <c r="M512">
        <v>6.89</v>
      </c>
      <c r="N512">
        <v>1.0900000000000001</v>
      </c>
      <c r="O512" t="s">
        <v>34</v>
      </c>
      <c r="P512">
        <v>2023</v>
      </c>
      <c r="Q512" t="s">
        <v>3645</v>
      </c>
      <c r="R512">
        <v>19.95</v>
      </c>
      <c r="S512">
        <v>5.4636591478696803E-2</v>
      </c>
      <c r="T512" t="s">
        <v>3634</v>
      </c>
      <c r="U512" t="s">
        <v>3633</v>
      </c>
    </row>
    <row r="513" spans="1:21" x14ac:dyDescent="0.25">
      <c r="A513" t="s">
        <v>1085</v>
      </c>
      <c r="B513" s="1">
        <v>45210</v>
      </c>
      <c r="C513" t="s">
        <v>78</v>
      </c>
      <c r="D513" t="s">
        <v>17</v>
      </c>
      <c r="E513" t="s">
        <v>109</v>
      </c>
      <c r="F513" t="s">
        <v>54</v>
      </c>
      <c r="G513" t="s">
        <v>42</v>
      </c>
      <c r="H513" t="s">
        <v>255</v>
      </c>
      <c r="I513">
        <v>4</v>
      </c>
      <c r="J513">
        <v>37.67</v>
      </c>
      <c r="K513">
        <v>10</v>
      </c>
      <c r="L513">
        <v>135.61000000000001</v>
      </c>
      <c r="M513">
        <v>15.83</v>
      </c>
      <c r="N513">
        <v>29.37</v>
      </c>
      <c r="O513" t="s">
        <v>39</v>
      </c>
      <c r="P513">
        <v>2023</v>
      </c>
      <c r="Q513" t="s">
        <v>3645</v>
      </c>
      <c r="R513">
        <v>122.04900000000001</v>
      </c>
      <c r="S513">
        <v>0.24064105400290001</v>
      </c>
      <c r="T513" t="s">
        <v>3632</v>
      </c>
      <c r="U513" t="s">
        <v>3633</v>
      </c>
    </row>
    <row r="514" spans="1:21" x14ac:dyDescent="0.25">
      <c r="A514" t="s">
        <v>1086</v>
      </c>
      <c r="B514" s="1">
        <v>45210</v>
      </c>
      <c r="C514" t="s">
        <v>1087</v>
      </c>
      <c r="D514" t="s">
        <v>30</v>
      </c>
      <c r="E514" t="s">
        <v>248</v>
      </c>
      <c r="F514" t="s">
        <v>26</v>
      </c>
      <c r="G514" t="s">
        <v>32</v>
      </c>
      <c r="H514" t="s">
        <v>82</v>
      </c>
      <c r="I514">
        <v>3</v>
      </c>
      <c r="J514">
        <v>24.08</v>
      </c>
      <c r="K514">
        <v>0</v>
      </c>
      <c r="L514">
        <v>72.239999999999995</v>
      </c>
      <c r="M514">
        <v>8.67</v>
      </c>
      <c r="N514">
        <v>31.06</v>
      </c>
      <c r="O514" t="s">
        <v>39</v>
      </c>
      <c r="P514">
        <v>2023</v>
      </c>
      <c r="Q514" t="s">
        <v>3645</v>
      </c>
      <c r="R514">
        <v>72.239999999999995</v>
      </c>
      <c r="S514">
        <v>0.42995570321151699</v>
      </c>
      <c r="T514" t="s">
        <v>3634</v>
      </c>
      <c r="U514" t="s">
        <v>3633</v>
      </c>
    </row>
    <row r="515" spans="1:21" x14ac:dyDescent="0.25">
      <c r="A515" t="s">
        <v>1088</v>
      </c>
      <c r="B515" s="1">
        <v>45210</v>
      </c>
      <c r="C515" t="s">
        <v>496</v>
      </c>
      <c r="D515" t="s">
        <v>17</v>
      </c>
      <c r="E515" t="s">
        <v>129</v>
      </c>
      <c r="F515" t="s">
        <v>19</v>
      </c>
      <c r="G515" t="s">
        <v>20</v>
      </c>
      <c r="H515" t="s">
        <v>175</v>
      </c>
      <c r="I515">
        <v>2</v>
      </c>
      <c r="J515">
        <v>19.41</v>
      </c>
      <c r="K515">
        <v>15</v>
      </c>
      <c r="L515">
        <v>33</v>
      </c>
      <c r="M515">
        <v>7.48</v>
      </c>
      <c r="N515">
        <v>4.17</v>
      </c>
      <c r="O515" t="s">
        <v>34</v>
      </c>
      <c r="P515">
        <v>2023</v>
      </c>
      <c r="Q515" t="s">
        <v>3645</v>
      </c>
      <c r="R515">
        <v>28.05</v>
      </c>
      <c r="S515">
        <v>0.14866310160427801</v>
      </c>
      <c r="T515" t="s">
        <v>3634</v>
      </c>
      <c r="U515" t="s">
        <v>3633</v>
      </c>
    </row>
    <row r="516" spans="1:21" x14ac:dyDescent="0.25">
      <c r="A516" t="s">
        <v>1089</v>
      </c>
      <c r="B516" s="1">
        <v>45212</v>
      </c>
      <c r="C516" t="s">
        <v>1090</v>
      </c>
      <c r="D516" t="s">
        <v>30</v>
      </c>
      <c r="E516" t="s">
        <v>135</v>
      </c>
      <c r="F516" t="s">
        <v>26</v>
      </c>
      <c r="G516" t="s">
        <v>69</v>
      </c>
      <c r="H516" t="s">
        <v>139</v>
      </c>
      <c r="I516">
        <v>4</v>
      </c>
      <c r="J516">
        <v>37.35</v>
      </c>
      <c r="K516">
        <v>10</v>
      </c>
      <c r="L516">
        <v>134.46</v>
      </c>
      <c r="M516">
        <v>13.42</v>
      </c>
      <c r="N516">
        <v>46.34</v>
      </c>
      <c r="O516" t="s">
        <v>34</v>
      </c>
      <c r="P516">
        <v>2023</v>
      </c>
      <c r="Q516" t="s">
        <v>3645</v>
      </c>
      <c r="R516">
        <v>121.014</v>
      </c>
      <c r="S516">
        <v>0.38293090055696</v>
      </c>
      <c r="T516" t="s">
        <v>3632</v>
      </c>
      <c r="U516" t="s">
        <v>3633</v>
      </c>
    </row>
    <row r="517" spans="1:21" x14ac:dyDescent="0.25">
      <c r="A517" t="s">
        <v>1091</v>
      </c>
      <c r="B517" s="1">
        <v>45213</v>
      </c>
      <c r="C517" t="s">
        <v>1092</v>
      </c>
      <c r="D517" t="s">
        <v>30</v>
      </c>
      <c r="E517" t="s">
        <v>109</v>
      </c>
      <c r="F517" t="s">
        <v>54</v>
      </c>
      <c r="G517" t="s">
        <v>32</v>
      </c>
      <c r="H517" t="s">
        <v>132</v>
      </c>
      <c r="I517">
        <v>2</v>
      </c>
      <c r="J517">
        <v>18.53</v>
      </c>
      <c r="K517">
        <v>15</v>
      </c>
      <c r="L517">
        <v>31.5</v>
      </c>
      <c r="M517">
        <v>15.09</v>
      </c>
      <c r="N517">
        <v>-0.27</v>
      </c>
      <c r="O517" t="s">
        <v>39</v>
      </c>
      <c r="P517">
        <v>2023</v>
      </c>
      <c r="Q517" t="s">
        <v>3645</v>
      </c>
      <c r="R517">
        <v>26.774999999999999</v>
      </c>
      <c r="S517">
        <v>-1.00840336134454E-2</v>
      </c>
      <c r="T517" t="s">
        <v>3634</v>
      </c>
      <c r="U517" t="s">
        <v>3636</v>
      </c>
    </row>
    <row r="518" spans="1:21" x14ac:dyDescent="0.25">
      <c r="A518" t="s">
        <v>1093</v>
      </c>
      <c r="B518" s="1">
        <v>45213</v>
      </c>
      <c r="C518" t="s">
        <v>1094</v>
      </c>
      <c r="D518" t="s">
        <v>30</v>
      </c>
      <c r="E518" t="s">
        <v>148</v>
      </c>
      <c r="F518" t="s">
        <v>60</v>
      </c>
      <c r="G518" t="s">
        <v>32</v>
      </c>
      <c r="H518" t="s">
        <v>82</v>
      </c>
      <c r="I518">
        <v>1</v>
      </c>
      <c r="J518">
        <v>20.54</v>
      </c>
      <c r="K518">
        <v>5</v>
      </c>
      <c r="L518">
        <v>19.510000000000002</v>
      </c>
      <c r="M518">
        <v>9.89</v>
      </c>
      <c r="N518">
        <v>0.38</v>
      </c>
      <c r="O518" t="s">
        <v>56</v>
      </c>
      <c r="P518">
        <v>2023</v>
      </c>
      <c r="Q518" t="s">
        <v>3645</v>
      </c>
      <c r="R518">
        <v>18.534500000000001</v>
      </c>
      <c r="S518">
        <v>2.0502306509482301E-2</v>
      </c>
      <c r="T518" t="s">
        <v>3634</v>
      </c>
      <c r="U518" t="s">
        <v>3633</v>
      </c>
    </row>
    <row r="519" spans="1:21" x14ac:dyDescent="0.25">
      <c r="A519" t="s">
        <v>1095</v>
      </c>
      <c r="B519" s="1">
        <v>45214</v>
      </c>
      <c r="C519" t="s">
        <v>1096</v>
      </c>
      <c r="D519" t="s">
        <v>49</v>
      </c>
      <c r="E519" t="s">
        <v>76</v>
      </c>
      <c r="F519" t="s">
        <v>26</v>
      </c>
      <c r="G519" t="s">
        <v>20</v>
      </c>
      <c r="H519" t="s">
        <v>175</v>
      </c>
      <c r="I519">
        <v>2</v>
      </c>
      <c r="J519">
        <v>34.81</v>
      </c>
      <c r="K519">
        <v>0</v>
      </c>
      <c r="L519">
        <v>69.62</v>
      </c>
      <c r="M519">
        <v>8.7200000000000006</v>
      </c>
      <c r="N519">
        <v>22.61</v>
      </c>
      <c r="O519" t="s">
        <v>34</v>
      </c>
      <c r="P519">
        <v>2023</v>
      </c>
      <c r="Q519" t="s">
        <v>3645</v>
      </c>
      <c r="R519">
        <v>69.62</v>
      </c>
      <c r="S519">
        <v>0.32476299913817902</v>
      </c>
      <c r="T519" t="s">
        <v>3634</v>
      </c>
      <c r="U519" t="s">
        <v>3633</v>
      </c>
    </row>
    <row r="520" spans="1:21" x14ac:dyDescent="0.25">
      <c r="A520" t="s">
        <v>1097</v>
      </c>
      <c r="B520" s="1">
        <v>45216</v>
      </c>
      <c r="C520" t="s">
        <v>1098</v>
      </c>
      <c r="D520" t="s">
        <v>17</v>
      </c>
      <c r="E520" t="s">
        <v>248</v>
      </c>
      <c r="F520" t="s">
        <v>26</v>
      </c>
      <c r="G520" t="s">
        <v>69</v>
      </c>
      <c r="H520" t="s">
        <v>139</v>
      </c>
      <c r="I520">
        <v>1</v>
      </c>
      <c r="J520">
        <v>62.32</v>
      </c>
      <c r="K520">
        <v>5</v>
      </c>
      <c r="L520">
        <v>59.2</v>
      </c>
      <c r="M520">
        <v>9.2799999999999994</v>
      </c>
      <c r="N520">
        <v>18.760000000000002</v>
      </c>
      <c r="O520" t="s">
        <v>39</v>
      </c>
      <c r="P520">
        <v>2023</v>
      </c>
      <c r="Q520" t="s">
        <v>3645</v>
      </c>
      <c r="R520">
        <v>56.24</v>
      </c>
      <c r="S520">
        <v>0.33357041251778102</v>
      </c>
      <c r="T520" t="s">
        <v>3634</v>
      </c>
      <c r="U520" t="s">
        <v>3633</v>
      </c>
    </row>
    <row r="521" spans="1:21" x14ac:dyDescent="0.25">
      <c r="A521" t="s">
        <v>1099</v>
      </c>
      <c r="B521" s="1">
        <v>45216</v>
      </c>
      <c r="C521" t="s">
        <v>1100</v>
      </c>
      <c r="D521" t="s">
        <v>17</v>
      </c>
      <c r="E521" t="s">
        <v>138</v>
      </c>
      <c r="F521" t="s">
        <v>54</v>
      </c>
      <c r="G521" t="s">
        <v>32</v>
      </c>
      <c r="H521" t="s">
        <v>33</v>
      </c>
      <c r="I521">
        <v>3</v>
      </c>
      <c r="J521">
        <v>9.4499999999999993</v>
      </c>
      <c r="K521">
        <v>25</v>
      </c>
      <c r="L521">
        <v>21.26</v>
      </c>
      <c r="M521">
        <v>14.95</v>
      </c>
      <c r="N521">
        <v>-6.45</v>
      </c>
      <c r="O521" t="s">
        <v>39</v>
      </c>
      <c r="P521">
        <v>2023</v>
      </c>
      <c r="Q521" t="s">
        <v>3645</v>
      </c>
      <c r="R521">
        <v>15.945</v>
      </c>
      <c r="S521">
        <v>-0.40451552210724401</v>
      </c>
      <c r="T521" t="s">
        <v>3634</v>
      </c>
      <c r="U521" t="s">
        <v>3636</v>
      </c>
    </row>
    <row r="522" spans="1:21" x14ac:dyDescent="0.25">
      <c r="A522" t="s">
        <v>1101</v>
      </c>
      <c r="B522" s="1">
        <v>45216</v>
      </c>
      <c r="C522" t="s">
        <v>1102</v>
      </c>
      <c r="D522" t="s">
        <v>17</v>
      </c>
      <c r="E522" t="s">
        <v>37</v>
      </c>
      <c r="F522" t="s">
        <v>26</v>
      </c>
      <c r="G522" t="s">
        <v>69</v>
      </c>
      <c r="H522" t="s">
        <v>160</v>
      </c>
      <c r="I522">
        <v>2</v>
      </c>
      <c r="J522">
        <v>34.22</v>
      </c>
      <c r="K522">
        <v>0</v>
      </c>
      <c r="L522">
        <v>68.44</v>
      </c>
      <c r="M522">
        <v>9.61</v>
      </c>
      <c r="N522">
        <v>24.61</v>
      </c>
      <c r="O522" t="s">
        <v>56</v>
      </c>
      <c r="P522">
        <v>2023</v>
      </c>
      <c r="Q522" t="s">
        <v>3645</v>
      </c>
      <c r="R522">
        <v>68.44</v>
      </c>
      <c r="S522">
        <v>0.35958503798947999</v>
      </c>
      <c r="T522" t="s">
        <v>3634</v>
      </c>
      <c r="U522" t="s">
        <v>3633</v>
      </c>
    </row>
    <row r="523" spans="1:21" x14ac:dyDescent="0.25">
      <c r="A523" t="s">
        <v>1103</v>
      </c>
      <c r="B523" s="1">
        <v>45217</v>
      </c>
      <c r="C523" t="s">
        <v>1104</v>
      </c>
      <c r="D523" t="s">
        <v>17</v>
      </c>
      <c r="E523" t="s">
        <v>138</v>
      </c>
      <c r="F523" t="s">
        <v>54</v>
      </c>
      <c r="G523" t="s">
        <v>20</v>
      </c>
      <c r="H523" t="s">
        <v>27</v>
      </c>
      <c r="I523">
        <v>4</v>
      </c>
      <c r="J523">
        <v>65.64</v>
      </c>
      <c r="K523">
        <v>25</v>
      </c>
      <c r="L523">
        <v>196.92</v>
      </c>
      <c r="M523">
        <v>19.34</v>
      </c>
      <c r="N523">
        <v>33.17</v>
      </c>
      <c r="O523" t="s">
        <v>22</v>
      </c>
      <c r="P523">
        <v>2023</v>
      </c>
      <c r="Q523" t="s">
        <v>3645</v>
      </c>
      <c r="R523">
        <v>147.69</v>
      </c>
      <c r="S523">
        <v>0.22459205091746201</v>
      </c>
      <c r="T523" t="s">
        <v>3632</v>
      </c>
      <c r="U523" t="s">
        <v>3633</v>
      </c>
    </row>
    <row r="524" spans="1:21" x14ac:dyDescent="0.25">
      <c r="A524" t="s">
        <v>1105</v>
      </c>
      <c r="B524" s="1">
        <v>45217</v>
      </c>
      <c r="C524" t="s">
        <v>1106</v>
      </c>
      <c r="D524" t="s">
        <v>49</v>
      </c>
      <c r="E524" t="s">
        <v>63</v>
      </c>
      <c r="F524" t="s">
        <v>54</v>
      </c>
      <c r="G524" t="s">
        <v>69</v>
      </c>
      <c r="H524" t="s">
        <v>163</v>
      </c>
      <c r="I524">
        <v>3</v>
      </c>
      <c r="J524">
        <v>38.42</v>
      </c>
      <c r="K524">
        <v>0</v>
      </c>
      <c r="L524">
        <v>115.26</v>
      </c>
      <c r="M524">
        <v>18.100000000000001</v>
      </c>
      <c r="N524">
        <v>39.53</v>
      </c>
      <c r="O524" t="s">
        <v>34</v>
      </c>
      <c r="P524">
        <v>2023</v>
      </c>
      <c r="Q524" t="s">
        <v>3645</v>
      </c>
      <c r="R524">
        <v>115.26</v>
      </c>
      <c r="S524">
        <v>0.34296373416623299</v>
      </c>
      <c r="T524" t="s">
        <v>3632</v>
      </c>
      <c r="U524" t="s">
        <v>3633</v>
      </c>
    </row>
    <row r="525" spans="1:21" x14ac:dyDescent="0.25">
      <c r="A525" t="s">
        <v>1107</v>
      </c>
      <c r="B525" s="1">
        <v>45217</v>
      </c>
      <c r="C525" t="s">
        <v>325</v>
      </c>
      <c r="D525" t="s">
        <v>30</v>
      </c>
      <c r="E525" t="s">
        <v>148</v>
      </c>
      <c r="F525" t="s">
        <v>60</v>
      </c>
      <c r="G525" t="s">
        <v>20</v>
      </c>
      <c r="H525" t="s">
        <v>106</v>
      </c>
      <c r="I525">
        <v>1</v>
      </c>
      <c r="J525">
        <v>46.22</v>
      </c>
      <c r="K525">
        <v>15</v>
      </c>
      <c r="L525">
        <v>39.29</v>
      </c>
      <c r="M525">
        <v>10.54</v>
      </c>
      <c r="N525">
        <v>3.33</v>
      </c>
      <c r="O525" t="s">
        <v>34</v>
      </c>
      <c r="P525">
        <v>2023</v>
      </c>
      <c r="Q525" t="s">
        <v>3645</v>
      </c>
      <c r="R525">
        <v>33.396500000000003</v>
      </c>
      <c r="S525">
        <v>9.9711047564864597E-2</v>
      </c>
      <c r="T525" t="s">
        <v>3634</v>
      </c>
      <c r="U525" t="s">
        <v>3633</v>
      </c>
    </row>
    <row r="526" spans="1:21" x14ac:dyDescent="0.25">
      <c r="A526" t="s">
        <v>1108</v>
      </c>
      <c r="B526" s="1">
        <v>45219</v>
      </c>
      <c r="C526" t="s">
        <v>1109</v>
      </c>
      <c r="D526" t="s">
        <v>30</v>
      </c>
      <c r="E526" t="s">
        <v>53</v>
      </c>
      <c r="F526" t="s">
        <v>54</v>
      </c>
      <c r="G526" t="s">
        <v>20</v>
      </c>
      <c r="H526" t="s">
        <v>27</v>
      </c>
      <c r="I526">
        <v>3</v>
      </c>
      <c r="J526">
        <v>146.85</v>
      </c>
      <c r="K526">
        <v>10</v>
      </c>
      <c r="L526">
        <v>396.49</v>
      </c>
      <c r="M526">
        <v>15.07</v>
      </c>
      <c r="N526">
        <v>139.12</v>
      </c>
      <c r="O526" t="s">
        <v>39</v>
      </c>
      <c r="P526">
        <v>2023</v>
      </c>
      <c r="Q526" t="s">
        <v>3645</v>
      </c>
      <c r="R526">
        <v>356.84100000000001</v>
      </c>
      <c r="S526">
        <v>0.38986551433271399</v>
      </c>
      <c r="T526" t="s">
        <v>3632</v>
      </c>
      <c r="U526" t="s">
        <v>3633</v>
      </c>
    </row>
    <row r="527" spans="1:21" x14ac:dyDescent="0.25">
      <c r="A527" t="s">
        <v>1110</v>
      </c>
      <c r="B527" s="1">
        <v>45219</v>
      </c>
      <c r="C527" t="s">
        <v>1111</v>
      </c>
      <c r="D527" t="s">
        <v>17</v>
      </c>
      <c r="E527" t="s">
        <v>59</v>
      </c>
      <c r="F527" t="s">
        <v>60</v>
      </c>
      <c r="G527" t="s">
        <v>20</v>
      </c>
      <c r="H527" t="s">
        <v>175</v>
      </c>
      <c r="I527">
        <v>4</v>
      </c>
      <c r="J527">
        <v>15.34</v>
      </c>
      <c r="K527">
        <v>10</v>
      </c>
      <c r="L527">
        <v>55.22</v>
      </c>
      <c r="M527">
        <v>16.78</v>
      </c>
      <c r="N527">
        <v>4.6900000000000004</v>
      </c>
      <c r="O527" t="s">
        <v>39</v>
      </c>
      <c r="P527">
        <v>2023</v>
      </c>
      <c r="Q527" t="s">
        <v>3645</v>
      </c>
      <c r="R527">
        <v>49.698</v>
      </c>
      <c r="S527">
        <v>9.4369994768401105E-2</v>
      </c>
      <c r="T527" t="s">
        <v>3634</v>
      </c>
      <c r="U527" t="s">
        <v>3633</v>
      </c>
    </row>
    <row r="528" spans="1:21" x14ac:dyDescent="0.25">
      <c r="A528" t="s">
        <v>1112</v>
      </c>
      <c r="B528" s="1">
        <v>45219</v>
      </c>
      <c r="C528" t="s">
        <v>1113</v>
      </c>
      <c r="D528" t="s">
        <v>17</v>
      </c>
      <c r="E528" t="s">
        <v>25</v>
      </c>
      <c r="F528" t="s">
        <v>26</v>
      </c>
      <c r="G528" t="s">
        <v>32</v>
      </c>
      <c r="H528" t="s">
        <v>82</v>
      </c>
      <c r="I528">
        <v>2</v>
      </c>
      <c r="J528">
        <v>22.13</v>
      </c>
      <c r="K528">
        <v>25</v>
      </c>
      <c r="L528">
        <v>33.200000000000003</v>
      </c>
      <c r="M528">
        <v>8.4600000000000009</v>
      </c>
      <c r="N528">
        <v>4.82</v>
      </c>
      <c r="O528" t="s">
        <v>34</v>
      </c>
      <c r="P528">
        <v>2023</v>
      </c>
      <c r="Q528" t="s">
        <v>3645</v>
      </c>
      <c r="R528">
        <v>24.9</v>
      </c>
      <c r="S528">
        <v>0.19357429718875499</v>
      </c>
      <c r="T528" t="s">
        <v>3634</v>
      </c>
      <c r="U528" t="s">
        <v>3633</v>
      </c>
    </row>
    <row r="529" spans="1:21" x14ac:dyDescent="0.25">
      <c r="A529" t="s">
        <v>1114</v>
      </c>
      <c r="B529" s="1">
        <v>45219</v>
      </c>
      <c r="C529" t="s">
        <v>1115</v>
      </c>
      <c r="D529" t="s">
        <v>17</v>
      </c>
      <c r="E529" t="s">
        <v>37</v>
      </c>
      <c r="F529" t="s">
        <v>26</v>
      </c>
      <c r="G529" t="s">
        <v>20</v>
      </c>
      <c r="H529" t="s">
        <v>199</v>
      </c>
      <c r="I529">
        <v>5</v>
      </c>
      <c r="J529">
        <v>68.150000000000006</v>
      </c>
      <c r="K529">
        <v>20</v>
      </c>
      <c r="L529">
        <v>272.60000000000002</v>
      </c>
      <c r="M529">
        <v>12.18</v>
      </c>
      <c r="N529">
        <v>73.010000000000005</v>
      </c>
      <c r="O529" t="s">
        <v>34</v>
      </c>
      <c r="P529">
        <v>2023</v>
      </c>
      <c r="Q529" t="s">
        <v>3645</v>
      </c>
      <c r="R529">
        <v>218.08</v>
      </c>
      <c r="S529">
        <v>0.334785399853265</v>
      </c>
      <c r="T529" t="s">
        <v>3632</v>
      </c>
      <c r="U529" t="s">
        <v>3633</v>
      </c>
    </row>
    <row r="530" spans="1:21" x14ac:dyDescent="0.25">
      <c r="A530" t="s">
        <v>1116</v>
      </c>
      <c r="B530" s="1">
        <v>45219</v>
      </c>
      <c r="C530" t="s">
        <v>807</v>
      </c>
      <c r="D530" t="s">
        <v>17</v>
      </c>
      <c r="E530" t="s">
        <v>18</v>
      </c>
      <c r="F530" t="s">
        <v>19</v>
      </c>
      <c r="G530" t="s">
        <v>42</v>
      </c>
      <c r="H530" t="s">
        <v>64</v>
      </c>
      <c r="I530">
        <v>1</v>
      </c>
      <c r="J530">
        <v>129.24</v>
      </c>
      <c r="K530">
        <v>20</v>
      </c>
      <c r="L530">
        <v>103.39</v>
      </c>
      <c r="M530">
        <v>5.96</v>
      </c>
      <c r="N530">
        <v>19.89</v>
      </c>
      <c r="O530" t="s">
        <v>34</v>
      </c>
      <c r="P530">
        <v>2023</v>
      </c>
      <c r="Q530" t="s">
        <v>3645</v>
      </c>
      <c r="R530">
        <v>82.712000000000003</v>
      </c>
      <c r="S530">
        <v>0.24047296643776001</v>
      </c>
      <c r="T530" t="s">
        <v>3632</v>
      </c>
      <c r="U530" t="s">
        <v>3633</v>
      </c>
    </row>
    <row r="531" spans="1:21" x14ac:dyDescent="0.25">
      <c r="A531" t="s">
        <v>1117</v>
      </c>
      <c r="B531" s="1">
        <v>45219</v>
      </c>
      <c r="C531" t="s">
        <v>1118</v>
      </c>
      <c r="D531" t="s">
        <v>17</v>
      </c>
      <c r="E531" t="s">
        <v>85</v>
      </c>
      <c r="F531" t="s">
        <v>60</v>
      </c>
      <c r="G531" t="s">
        <v>69</v>
      </c>
      <c r="H531" t="s">
        <v>79</v>
      </c>
      <c r="I531">
        <v>1</v>
      </c>
      <c r="J531">
        <v>82.52</v>
      </c>
      <c r="K531">
        <v>20</v>
      </c>
      <c r="L531">
        <v>66.02</v>
      </c>
      <c r="M531">
        <v>9.64</v>
      </c>
      <c r="N531">
        <v>15.12</v>
      </c>
      <c r="O531" t="s">
        <v>22</v>
      </c>
      <c r="P531">
        <v>2023</v>
      </c>
      <c r="Q531" t="s">
        <v>3645</v>
      </c>
      <c r="R531">
        <v>52.816000000000003</v>
      </c>
      <c r="S531">
        <v>0.28627688579218402</v>
      </c>
      <c r="T531" t="s">
        <v>3634</v>
      </c>
      <c r="U531" t="s">
        <v>3633</v>
      </c>
    </row>
    <row r="532" spans="1:21" x14ac:dyDescent="0.25">
      <c r="A532" t="s">
        <v>1119</v>
      </c>
      <c r="B532" s="1">
        <v>45220</v>
      </c>
      <c r="C532" t="s">
        <v>1120</v>
      </c>
      <c r="D532" t="s">
        <v>17</v>
      </c>
      <c r="E532" t="s">
        <v>85</v>
      </c>
      <c r="F532" t="s">
        <v>60</v>
      </c>
      <c r="G532" t="s">
        <v>42</v>
      </c>
      <c r="H532" t="s">
        <v>64</v>
      </c>
      <c r="I532">
        <v>5</v>
      </c>
      <c r="J532">
        <v>127.98</v>
      </c>
      <c r="K532">
        <v>20</v>
      </c>
      <c r="L532">
        <v>511.92</v>
      </c>
      <c r="M532">
        <v>13.19</v>
      </c>
      <c r="N532">
        <v>114.79</v>
      </c>
      <c r="O532" t="s">
        <v>34</v>
      </c>
      <c r="P532">
        <v>2023</v>
      </c>
      <c r="Q532" t="s">
        <v>3645</v>
      </c>
      <c r="R532">
        <v>409.536</v>
      </c>
      <c r="S532">
        <v>0.28029281919049898</v>
      </c>
      <c r="T532" t="s">
        <v>3635</v>
      </c>
      <c r="U532" t="s">
        <v>3633</v>
      </c>
    </row>
    <row r="533" spans="1:21" x14ac:dyDescent="0.25">
      <c r="A533" t="s">
        <v>1121</v>
      </c>
      <c r="B533" s="1">
        <v>45221</v>
      </c>
      <c r="C533" t="s">
        <v>238</v>
      </c>
      <c r="D533" t="s">
        <v>49</v>
      </c>
      <c r="E533" t="s">
        <v>248</v>
      </c>
      <c r="F533" t="s">
        <v>26</v>
      </c>
      <c r="G533" t="s">
        <v>20</v>
      </c>
      <c r="H533" t="s">
        <v>55</v>
      </c>
      <c r="I533">
        <v>9</v>
      </c>
      <c r="J533">
        <v>33.479999999999997</v>
      </c>
      <c r="K533">
        <v>10</v>
      </c>
      <c r="L533">
        <v>271.19</v>
      </c>
      <c r="M533">
        <v>12.56</v>
      </c>
      <c r="N533">
        <v>92.9</v>
      </c>
      <c r="O533" t="s">
        <v>22</v>
      </c>
      <c r="P533">
        <v>2023</v>
      </c>
      <c r="Q533" t="s">
        <v>3645</v>
      </c>
      <c r="R533">
        <v>244.071</v>
      </c>
      <c r="S533">
        <v>0.38062694871574299</v>
      </c>
      <c r="T533" t="s">
        <v>3632</v>
      </c>
      <c r="U533" t="s">
        <v>3633</v>
      </c>
    </row>
    <row r="534" spans="1:21" x14ac:dyDescent="0.25">
      <c r="A534" t="s">
        <v>1122</v>
      </c>
      <c r="B534" s="1">
        <v>45221</v>
      </c>
      <c r="C534" t="s">
        <v>724</v>
      </c>
      <c r="D534" t="s">
        <v>30</v>
      </c>
      <c r="E534" t="s">
        <v>129</v>
      </c>
      <c r="F534" t="s">
        <v>19</v>
      </c>
      <c r="G534" t="s">
        <v>32</v>
      </c>
      <c r="H534" t="s">
        <v>50</v>
      </c>
      <c r="I534">
        <v>1</v>
      </c>
      <c r="J534">
        <v>20.53</v>
      </c>
      <c r="K534">
        <v>0</v>
      </c>
      <c r="L534">
        <v>20.53</v>
      </c>
      <c r="M534">
        <v>6.24</v>
      </c>
      <c r="N534">
        <v>5.05</v>
      </c>
      <c r="O534" t="s">
        <v>34</v>
      </c>
      <c r="P534">
        <v>2023</v>
      </c>
      <c r="Q534" t="s">
        <v>3645</v>
      </c>
      <c r="R534">
        <v>20.53</v>
      </c>
      <c r="S534">
        <v>0.24598149050170501</v>
      </c>
      <c r="T534" t="s">
        <v>3634</v>
      </c>
      <c r="U534" t="s">
        <v>3633</v>
      </c>
    </row>
    <row r="535" spans="1:21" x14ac:dyDescent="0.25">
      <c r="A535" t="s">
        <v>1123</v>
      </c>
      <c r="B535" s="1">
        <v>45222</v>
      </c>
      <c r="C535" t="s">
        <v>1115</v>
      </c>
      <c r="D535" t="s">
        <v>17</v>
      </c>
      <c r="E535" t="s">
        <v>121</v>
      </c>
      <c r="F535" t="s">
        <v>68</v>
      </c>
      <c r="G535" t="s">
        <v>42</v>
      </c>
      <c r="H535" t="s">
        <v>371</v>
      </c>
      <c r="I535">
        <v>7</v>
      </c>
      <c r="J535">
        <v>151.91999999999999</v>
      </c>
      <c r="K535">
        <v>15</v>
      </c>
      <c r="L535">
        <v>903.92</v>
      </c>
      <c r="M535">
        <v>23.57</v>
      </c>
      <c r="N535">
        <v>242.29</v>
      </c>
      <c r="O535" t="s">
        <v>34</v>
      </c>
      <c r="P535">
        <v>2023</v>
      </c>
      <c r="Q535" t="s">
        <v>3645</v>
      </c>
      <c r="R535">
        <v>768.33199999999999</v>
      </c>
      <c r="S535">
        <v>0.31534544962333999</v>
      </c>
      <c r="T535" t="s">
        <v>3635</v>
      </c>
      <c r="U535" t="s">
        <v>3633</v>
      </c>
    </row>
    <row r="536" spans="1:21" x14ac:dyDescent="0.25">
      <c r="A536" t="s">
        <v>1124</v>
      </c>
      <c r="B536" s="1">
        <v>45222</v>
      </c>
      <c r="C536" t="s">
        <v>141</v>
      </c>
      <c r="D536" t="s">
        <v>30</v>
      </c>
      <c r="E536" t="s">
        <v>85</v>
      </c>
      <c r="F536" t="s">
        <v>60</v>
      </c>
      <c r="G536" t="s">
        <v>20</v>
      </c>
      <c r="H536" t="s">
        <v>122</v>
      </c>
      <c r="I536">
        <v>3</v>
      </c>
      <c r="J536">
        <v>108.96</v>
      </c>
      <c r="K536">
        <v>10</v>
      </c>
      <c r="L536">
        <v>294.19</v>
      </c>
      <c r="M536">
        <v>14.91</v>
      </c>
      <c r="N536">
        <v>99.5</v>
      </c>
      <c r="O536" t="s">
        <v>39</v>
      </c>
      <c r="P536">
        <v>2023</v>
      </c>
      <c r="Q536" t="s">
        <v>3645</v>
      </c>
      <c r="R536">
        <v>264.77100000000002</v>
      </c>
      <c r="S536">
        <v>0.37579644296392001</v>
      </c>
      <c r="T536" t="s">
        <v>3632</v>
      </c>
      <c r="U536" t="s">
        <v>3633</v>
      </c>
    </row>
    <row r="537" spans="1:21" x14ac:dyDescent="0.25">
      <c r="A537" t="s">
        <v>1125</v>
      </c>
      <c r="B537" s="1">
        <v>45222</v>
      </c>
      <c r="C537" t="s">
        <v>1126</v>
      </c>
      <c r="D537" t="s">
        <v>17</v>
      </c>
      <c r="E537" t="s">
        <v>121</v>
      </c>
      <c r="F537" t="s">
        <v>68</v>
      </c>
      <c r="G537" t="s">
        <v>32</v>
      </c>
      <c r="H537" t="s">
        <v>33</v>
      </c>
      <c r="I537">
        <v>7</v>
      </c>
      <c r="J537">
        <v>11.09</v>
      </c>
      <c r="K537">
        <v>10</v>
      </c>
      <c r="L537">
        <v>69.87</v>
      </c>
      <c r="M537">
        <v>22.14</v>
      </c>
      <c r="N537">
        <v>12.8</v>
      </c>
      <c r="O537" t="s">
        <v>34</v>
      </c>
      <c r="P537">
        <v>2023</v>
      </c>
      <c r="Q537" t="s">
        <v>3645</v>
      </c>
      <c r="R537">
        <v>62.883000000000003</v>
      </c>
      <c r="S537">
        <v>0.20355262948650699</v>
      </c>
      <c r="T537" t="s">
        <v>3634</v>
      </c>
      <c r="U537" t="s">
        <v>3633</v>
      </c>
    </row>
    <row r="538" spans="1:21" x14ac:dyDescent="0.25">
      <c r="A538" t="s">
        <v>1127</v>
      </c>
      <c r="B538" s="1">
        <v>45223</v>
      </c>
      <c r="C538" t="s">
        <v>1050</v>
      </c>
      <c r="D538" t="s">
        <v>30</v>
      </c>
      <c r="E538" t="s">
        <v>31</v>
      </c>
      <c r="F538" t="s">
        <v>19</v>
      </c>
      <c r="G538" t="s">
        <v>69</v>
      </c>
      <c r="H538" t="s">
        <v>98</v>
      </c>
      <c r="I538">
        <v>4</v>
      </c>
      <c r="J538">
        <v>33.979999999999997</v>
      </c>
      <c r="K538">
        <v>5</v>
      </c>
      <c r="L538">
        <v>129.12</v>
      </c>
      <c r="M538">
        <v>14.26</v>
      </c>
      <c r="N538">
        <v>46.9</v>
      </c>
      <c r="O538" t="s">
        <v>34</v>
      </c>
      <c r="P538">
        <v>2023</v>
      </c>
      <c r="Q538" t="s">
        <v>3645</v>
      </c>
      <c r="R538">
        <v>122.664</v>
      </c>
      <c r="S538">
        <v>0.38234526837539901</v>
      </c>
      <c r="T538" t="s">
        <v>3632</v>
      </c>
      <c r="U538" t="s">
        <v>3633</v>
      </c>
    </row>
    <row r="539" spans="1:21" x14ac:dyDescent="0.25">
      <c r="A539" t="s">
        <v>1128</v>
      </c>
      <c r="B539" s="1">
        <v>45223</v>
      </c>
      <c r="C539" t="s">
        <v>1129</v>
      </c>
      <c r="D539" t="s">
        <v>49</v>
      </c>
      <c r="E539" t="s">
        <v>59</v>
      </c>
      <c r="F539" t="s">
        <v>60</v>
      </c>
      <c r="G539" t="s">
        <v>20</v>
      </c>
      <c r="H539" t="s">
        <v>264</v>
      </c>
      <c r="I539">
        <v>11</v>
      </c>
      <c r="J539">
        <v>52.9</v>
      </c>
      <c r="K539">
        <v>0</v>
      </c>
      <c r="L539">
        <v>581.9</v>
      </c>
      <c r="M539">
        <v>17.52</v>
      </c>
      <c r="N539">
        <v>244.33</v>
      </c>
      <c r="O539" t="s">
        <v>56</v>
      </c>
      <c r="P539">
        <v>2023</v>
      </c>
      <c r="Q539" t="s">
        <v>3645</v>
      </c>
      <c r="R539">
        <v>581.9</v>
      </c>
      <c r="S539">
        <v>0.41988314143323602</v>
      </c>
      <c r="T539" t="s">
        <v>3635</v>
      </c>
      <c r="U539" t="s">
        <v>3633</v>
      </c>
    </row>
    <row r="540" spans="1:21" x14ac:dyDescent="0.25">
      <c r="A540" t="s">
        <v>1130</v>
      </c>
      <c r="B540" s="1">
        <v>45223</v>
      </c>
      <c r="C540" t="s">
        <v>1131</v>
      </c>
      <c r="D540" t="s">
        <v>17</v>
      </c>
      <c r="E540" t="s">
        <v>129</v>
      </c>
      <c r="F540" t="s">
        <v>19</v>
      </c>
      <c r="G540" t="s">
        <v>20</v>
      </c>
      <c r="H540" t="s">
        <v>175</v>
      </c>
      <c r="I540">
        <v>2</v>
      </c>
      <c r="J540">
        <v>33.200000000000003</v>
      </c>
      <c r="K540">
        <v>0</v>
      </c>
      <c r="L540">
        <v>66.400000000000006</v>
      </c>
      <c r="M540">
        <v>8.8800000000000008</v>
      </c>
      <c r="N540">
        <v>21</v>
      </c>
      <c r="O540" t="s">
        <v>39</v>
      </c>
      <c r="P540">
        <v>2023</v>
      </c>
      <c r="Q540" t="s">
        <v>3645</v>
      </c>
      <c r="R540">
        <v>66.400000000000006</v>
      </c>
      <c r="S540">
        <v>0.31626506024096401</v>
      </c>
      <c r="T540" t="s">
        <v>3634</v>
      </c>
      <c r="U540" t="s">
        <v>3633</v>
      </c>
    </row>
    <row r="541" spans="1:21" x14ac:dyDescent="0.25">
      <c r="A541" t="s">
        <v>1132</v>
      </c>
      <c r="B541" s="1">
        <v>45224</v>
      </c>
      <c r="C541" t="s">
        <v>1133</v>
      </c>
      <c r="D541" t="s">
        <v>30</v>
      </c>
      <c r="E541" t="s">
        <v>67</v>
      </c>
      <c r="F541" t="s">
        <v>68</v>
      </c>
      <c r="G541" t="s">
        <v>32</v>
      </c>
      <c r="H541" t="s">
        <v>82</v>
      </c>
      <c r="I541">
        <v>5</v>
      </c>
      <c r="J541">
        <v>18.760000000000002</v>
      </c>
      <c r="K541">
        <v>15</v>
      </c>
      <c r="L541">
        <v>79.73</v>
      </c>
      <c r="M541">
        <v>18.239999999999998</v>
      </c>
      <c r="N541">
        <v>19.28</v>
      </c>
      <c r="O541" t="s">
        <v>22</v>
      </c>
      <c r="P541">
        <v>2023</v>
      </c>
      <c r="Q541" t="s">
        <v>3645</v>
      </c>
      <c r="R541">
        <v>67.770499999999998</v>
      </c>
      <c r="S541">
        <v>0.28448956404335202</v>
      </c>
      <c r="T541" t="s">
        <v>3634</v>
      </c>
      <c r="U541" t="s">
        <v>3633</v>
      </c>
    </row>
    <row r="542" spans="1:21" x14ac:dyDescent="0.25">
      <c r="A542" t="s">
        <v>1134</v>
      </c>
      <c r="B542" s="1">
        <v>45225</v>
      </c>
      <c r="C542" t="s">
        <v>1135</v>
      </c>
      <c r="D542" t="s">
        <v>49</v>
      </c>
      <c r="E542" t="s">
        <v>92</v>
      </c>
      <c r="F542" t="s">
        <v>60</v>
      </c>
      <c r="G542" t="s">
        <v>42</v>
      </c>
      <c r="H542" t="s">
        <v>371</v>
      </c>
      <c r="I542">
        <v>2</v>
      </c>
      <c r="J542">
        <v>113.95</v>
      </c>
      <c r="K542">
        <v>15</v>
      </c>
      <c r="L542">
        <v>193.72</v>
      </c>
      <c r="M542">
        <v>13.41</v>
      </c>
      <c r="N542">
        <v>43.57</v>
      </c>
      <c r="O542" t="s">
        <v>34</v>
      </c>
      <c r="P542">
        <v>2023</v>
      </c>
      <c r="Q542" t="s">
        <v>3645</v>
      </c>
      <c r="R542">
        <v>164.66200000000001</v>
      </c>
      <c r="S542">
        <v>0.26460264056066402</v>
      </c>
      <c r="T542" t="s">
        <v>3632</v>
      </c>
      <c r="U542" t="s">
        <v>3633</v>
      </c>
    </row>
    <row r="543" spans="1:21" x14ac:dyDescent="0.25">
      <c r="A543" t="s">
        <v>1136</v>
      </c>
      <c r="B543" s="1">
        <v>45225</v>
      </c>
      <c r="C543" t="s">
        <v>1137</v>
      </c>
      <c r="D543" t="s">
        <v>17</v>
      </c>
      <c r="E543" t="s">
        <v>37</v>
      </c>
      <c r="F543" t="s">
        <v>26</v>
      </c>
      <c r="G543" t="s">
        <v>20</v>
      </c>
      <c r="H543" t="s">
        <v>122</v>
      </c>
      <c r="I543">
        <v>2</v>
      </c>
      <c r="J543">
        <v>81.19</v>
      </c>
      <c r="K543">
        <v>5</v>
      </c>
      <c r="L543">
        <v>154.26</v>
      </c>
      <c r="M543">
        <v>10.33</v>
      </c>
      <c r="N543">
        <v>54.62</v>
      </c>
      <c r="O543" t="s">
        <v>39</v>
      </c>
      <c r="P543">
        <v>2023</v>
      </c>
      <c r="Q543" t="s">
        <v>3645</v>
      </c>
      <c r="R543">
        <v>146.547</v>
      </c>
      <c r="S543">
        <v>0.37271319098992101</v>
      </c>
      <c r="T543" t="s">
        <v>3632</v>
      </c>
      <c r="U543" t="s">
        <v>3633</v>
      </c>
    </row>
    <row r="544" spans="1:21" x14ac:dyDescent="0.25">
      <c r="A544" t="s">
        <v>1138</v>
      </c>
      <c r="B544" s="1">
        <v>45226</v>
      </c>
      <c r="C544" t="s">
        <v>1139</v>
      </c>
      <c r="D544" t="s">
        <v>17</v>
      </c>
      <c r="E544" t="s">
        <v>135</v>
      </c>
      <c r="F544" t="s">
        <v>26</v>
      </c>
      <c r="G544" t="s">
        <v>32</v>
      </c>
      <c r="H544" t="s">
        <v>348</v>
      </c>
      <c r="I544">
        <v>1</v>
      </c>
      <c r="J544">
        <v>13.39</v>
      </c>
      <c r="K544">
        <v>15</v>
      </c>
      <c r="L544">
        <v>11.38</v>
      </c>
      <c r="M544">
        <v>7.96</v>
      </c>
      <c r="N544">
        <v>-2.61</v>
      </c>
      <c r="O544" t="s">
        <v>34</v>
      </c>
      <c r="P544">
        <v>2023</v>
      </c>
      <c r="Q544" t="s">
        <v>3645</v>
      </c>
      <c r="R544">
        <v>9.673</v>
      </c>
      <c r="S544">
        <v>-0.26982321927013297</v>
      </c>
      <c r="T544" t="s">
        <v>3634</v>
      </c>
      <c r="U544" t="s">
        <v>3636</v>
      </c>
    </row>
    <row r="545" spans="1:21" x14ac:dyDescent="0.25">
      <c r="A545" t="s">
        <v>1140</v>
      </c>
      <c r="B545" s="1">
        <v>45227</v>
      </c>
      <c r="C545" t="s">
        <v>1141</v>
      </c>
      <c r="D545" t="s">
        <v>30</v>
      </c>
      <c r="E545" t="s">
        <v>169</v>
      </c>
      <c r="F545" t="s">
        <v>68</v>
      </c>
      <c r="G545" t="s">
        <v>42</v>
      </c>
      <c r="H545" t="s">
        <v>294</v>
      </c>
      <c r="I545">
        <v>5</v>
      </c>
      <c r="J545">
        <v>183.81</v>
      </c>
      <c r="K545">
        <v>25</v>
      </c>
      <c r="L545">
        <v>689.29</v>
      </c>
      <c r="M545">
        <v>20.65</v>
      </c>
      <c r="N545">
        <v>117.21</v>
      </c>
      <c r="O545" t="s">
        <v>34</v>
      </c>
      <c r="P545">
        <v>2023</v>
      </c>
      <c r="Q545" t="s">
        <v>3645</v>
      </c>
      <c r="R545">
        <v>516.96749999999997</v>
      </c>
      <c r="S545">
        <v>0.22672605144423999</v>
      </c>
      <c r="T545" t="s">
        <v>3635</v>
      </c>
      <c r="U545" t="s">
        <v>3633</v>
      </c>
    </row>
    <row r="546" spans="1:21" x14ac:dyDescent="0.25">
      <c r="A546" t="s">
        <v>1142</v>
      </c>
      <c r="B546" s="1">
        <v>45227</v>
      </c>
      <c r="C546" t="s">
        <v>1143</v>
      </c>
      <c r="D546" t="s">
        <v>49</v>
      </c>
      <c r="E546" t="s">
        <v>129</v>
      </c>
      <c r="F546" t="s">
        <v>19</v>
      </c>
      <c r="G546" t="s">
        <v>20</v>
      </c>
      <c r="H546" t="s">
        <v>106</v>
      </c>
      <c r="I546">
        <v>8</v>
      </c>
      <c r="J546">
        <v>58.27</v>
      </c>
      <c r="K546">
        <v>10</v>
      </c>
      <c r="L546">
        <v>419.54</v>
      </c>
      <c r="M546">
        <v>24.05</v>
      </c>
      <c r="N546">
        <v>139.1</v>
      </c>
      <c r="O546" t="s">
        <v>39</v>
      </c>
      <c r="P546">
        <v>2023</v>
      </c>
      <c r="Q546" t="s">
        <v>3645</v>
      </c>
      <c r="R546">
        <v>377.58600000000001</v>
      </c>
      <c r="S546">
        <v>0.36839289592304802</v>
      </c>
      <c r="T546" t="s">
        <v>3632</v>
      </c>
      <c r="U546" t="s">
        <v>3633</v>
      </c>
    </row>
    <row r="547" spans="1:21" x14ac:dyDescent="0.25">
      <c r="A547" t="s">
        <v>1144</v>
      </c>
      <c r="B547" s="1">
        <v>45228</v>
      </c>
      <c r="C547" t="s">
        <v>1030</v>
      </c>
      <c r="D547" t="s">
        <v>49</v>
      </c>
      <c r="E547" t="s">
        <v>148</v>
      </c>
      <c r="F547" t="s">
        <v>60</v>
      </c>
      <c r="G547" t="s">
        <v>32</v>
      </c>
      <c r="H547" t="s">
        <v>348</v>
      </c>
      <c r="I547">
        <v>1</v>
      </c>
      <c r="J547">
        <v>7.39</v>
      </c>
      <c r="K547">
        <v>5</v>
      </c>
      <c r="L547">
        <v>7.02</v>
      </c>
      <c r="M547">
        <v>9.58</v>
      </c>
      <c r="N547">
        <v>-5.89</v>
      </c>
      <c r="O547" t="s">
        <v>39</v>
      </c>
      <c r="P547">
        <v>2023</v>
      </c>
      <c r="Q547" t="s">
        <v>3645</v>
      </c>
      <c r="R547">
        <v>6.6689999999999996</v>
      </c>
      <c r="S547">
        <v>-0.88319088319088301</v>
      </c>
      <c r="T547" t="s">
        <v>3634</v>
      </c>
      <c r="U547" t="s">
        <v>3636</v>
      </c>
    </row>
    <row r="548" spans="1:21" x14ac:dyDescent="0.25">
      <c r="A548" t="s">
        <v>1145</v>
      </c>
      <c r="B548" s="1">
        <v>45231</v>
      </c>
      <c r="C548" t="s">
        <v>1146</v>
      </c>
      <c r="D548" t="s">
        <v>17</v>
      </c>
      <c r="E548" t="s">
        <v>59</v>
      </c>
      <c r="F548" t="s">
        <v>60</v>
      </c>
      <c r="G548" t="s">
        <v>20</v>
      </c>
      <c r="H548" t="s">
        <v>170</v>
      </c>
      <c r="I548">
        <v>2</v>
      </c>
      <c r="J548">
        <v>38.06</v>
      </c>
      <c r="K548">
        <v>5</v>
      </c>
      <c r="L548">
        <v>72.31</v>
      </c>
      <c r="M548">
        <v>10.58</v>
      </c>
      <c r="N548">
        <v>19.86</v>
      </c>
      <c r="O548" t="s">
        <v>34</v>
      </c>
      <c r="P548">
        <v>2023</v>
      </c>
      <c r="Q548" t="s">
        <v>3646</v>
      </c>
      <c r="R548">
        <v>68.694500000000005</v>
      </c>
      <c r="S548">
        <v>0.28910611475445602</v>
      </c>
      <c r="T548" t="s">
        <v>3634</v>
      </c>
      <c r="U548" t="s">
        <v>3633</v>
      </c>
    </row>
    <row r="549" spans="1:21" x14ac:dyDescent="0.25">
      <c r="A549" t="s">
        <v>1147</v>
      </c>
      <c r="B549" s="1">
        <v>45231</v>
      </c>
      <c r="C549" t="s">
        <v>1148</v>
      </c>
      <c r="D549" t="s">
        <v>49</v>
      </c>
      <c r="E549" t="s">
        <v>53</v>
      </c>
      <c r="F549" t="s">
        <v>54</v>
      </c>
      <c r="G549" t="s">
        <v>20</v>
      </c>
      <c r="H549" t="s">
        <v>175</v>
      </c>
      <c r="I549">
        <v>1</v>
      </c>
      <c r="J549">
        <v>17.559999999999999</v>
      </c>
      <c r="K549">
        <v>0</v>
      </c>
      <c r="L549">
        <v>17.559999999999999</v>
      </c>
      <c r="M549">
        <v>13.21</v>
      </c>
      <c r="N549">
        <v>-5.31</v>
      </c>
      <c r="O549" t="s">
        <v>34</v>
      </c>
      <c r="P549">
        <v>2023</v>
      </c>
      <c r="Q549" t="s">
        <v>3646</v>
      </c>
      <c r="R549">
        <v>17.559999999999999</v>
      </c>
      <c r="S549">
        <v>-0.30239179954441903</v>
      </c>
      <c r="T549" t="s">
        <v>3634</v>
      </c>
      <c r="U549" t="s">
        <v>3636</v>
      </c>
    </row>
    <row r="550" spans="1:21" x14ac:dyDescent="0.25">
      <c r="A550" t="s">
        <v>1149</v>
      </c>
      <c r="B550" s="1">
        <v>45231</v>
      </c>
      <c r="C550" t="s">
        <v>1150</v>
      </c>
      <c r="D550" t="s">
        <v>30</v>
      </c>
      <c r="E550" t="s">
        <v>76</v>
      </c>
      <c r="F550" t="s">
        <v>26</v>
      </c>
      <c r="G550" t="s">
        <v>20</v>
      </c>
      <c r="H550" t="s">
        <v>122</v>
      </c>
      <c r="I550">
        <v>3</v>
      </c>
      <c r="J550">
        <v>145.72999999999999</v>
      </c>
      <c r="K550">
        <v>10</v>
      </c>
      <c r="L550">
        <v>393.47</v>
      </c>
      <c r="M550">
        <v>9.99</v>
      </c>
      <c r="N550">
        <v>143.03</v>
      </c>
      <c r="O550" t="s">
        <v>56</v>
      </c>
      <c r="P550">
        <v>2023</v>
      </c>
      <c r="Q550" t="s">
        <v>3646</v>
      </c>
      <c r="R550">
        <v>354.12299999999999</v>
      </c>
      <c r="S550">
        <v>0.40389921016144098</v>
      </c>
      <c r="T550" t="s">
        <v>3632</v>
      </c>
      <c r="U550" t="s">
        <v>3633</v>
      </c>
    </row>
    <row r="551" spans="1:21" x14ac:dyDescent="0.25">
      <c r="A551" t="s">
        <v>1151</v>
      </c>
      <c r="B551" s="1">
        <v>45232</v>
      </c>
      <c r="C551" t="s">
        <v>1152</v>
      </c>
      <c r="D551" t="s">
        <v>17</v>
      </c>
      <c r="E551" t="s">
        <v>59</v>
      </c>
      <c r="F551" t="s">
        <v>60</v>
      </c>
      <c r="G551" t="s">
        <v>69</v>
      </c>
      <c r="H551" t="s">
        <v>139</v>
      </c>
      <c r="I551">
        <v>1</v>
      </c>
      <c r="J551">
        <v>30.54</v>
      </c>
      <c r="K551">
        <v>10</v>
      </c>
      <c r="L551">
        <v>27.49</v>
      </c>
      <c r="M551">
        <v>10.33</v>
      </c>
      <c r="N551">
        <v>1.89</v>
      </c>
      <c r="O551" t="s">
        <v>39</v>
      </c>
      <c r="P551">
        <v>2023</v>
      </c>
      <c r="Q551" t="s">
        <v>3646</v>
      </c>
      <c r="R551">
        <v>24.741</v>
      </c>
      <c r="S551">
        <v>7.6391415060021797E-2</v>
      </c>
      <c r="T551" t="s">
        <v>3634</v>
      </c>
      <c r="U551" t="s">
        <v>3633</v>
      </c>
    </row>
    <row r="552" spans="1:21" x14ac:dyDescent="0.25">
      <c r="A552" t="s">
        <v>1153</v>
      </c>
      <c r="B552" s="1">
        <v>45232</v>
      </c>
      <c r="C552" t="s">
        <v>1154</v>
      </c>
      <c r="D552" t="s">
        <v>30</v>
      </c>
      <c r="E552" t="s">
        <v>248</v>
      </c>
      <c r="F552" t="s">
        <v>26</v>
      </c>
      <c r="G552" t="s">
        <v>20</v>
      </c>
      <c r="H552" t="s">
        <v>38</v>
      </c>
      <c r="I552">
        <v>3</v>
      </c>
      <c r="J552">
        <v>40.21</v>
      </c>
      <c r="K552">
        <v>0</v>
      </c>
      <c r="L552">
        <v>120.63</v>
      </c>
      <c r="M552">
        <v>11.66</v>
      </c>
      <c r="N552">
        <v>42.62</v>
      </c>
      <c r="O552" t="s">
        <v>56</v>
      </c>
      <c r="P552">
        <v>2023</v>
      </c>
      <c r="Q552" t="s">
        <v>3646</v>
      </c>
      <c r="R552">
        <v>120.63</v>
      </c>
      <c r="S552">
        <v>0.35331177982259798</v>
      </c>
      <c r="T552" t="s">
        <v>3632</v>
      </c>
      <c r="U552" t="s">
        <v>3633</v>
      </c>
    </row>
    <row r="553" spans="1:21" x14ac:dyDescent="0.25">
      <c r="A553" t="s">
        <v>1155</v>
      </c>
      <c r="B553" s="1">
        <v>45232</v>
      </c>
      <c r="C553" t="s">
        <v>1156</v>
      </c>
      <c r="D553" t="s">
        <v>49</v>
      </c>
      <c r="E553" t="s">
        <v>92</v>
      </c>
      <c r="F553" t="s">
        <v>60</v>
      </c>
      <c r="G553" t="s">
        <v>42</v>
      </c>
      <c r="H553" t="s">
        <v>93</v>
      </c>
      <c r="I553">
        <v>6</v>
      </c>
      <c r="J553">
        <v>302.02999999999997</v>
      </c>
      <c r="K553">
        <v>20</v>
      </c>
      <c r="L553">
        <v>1449.74</v>
      </c>
      <c r="M553">
        <v>13.81</v>
      </c>
      <c r="N553">
        <v>348.62</v>
      </c>
      <c r="O553" t="s">
        <v>22</v>
      </c>
      <c r="P553">
        <v>2023</v>
      </c>
      <c r="Q553" t="s">
        <v>3646</v>
      </c>
      <c r="R553">
        <v>1159.7919999999999</v>
      </c>
      <c r="S553">
        <v>0.30058838136493399</v>
      </c>
      <c r="T553" t="s">
        <v>3635</v>
      </c>
      <c r="U553" t="s">
        <v>3633</v>
      </c>
    </row>
    <row r="554" spans="1:21" x14ac:dyDescent="0.25">
      <c r="A554" t="s">
        <v>1157</v>
      </c>
      <c r="B554" s="1">
        <v>45232</v>
      </c>
      <c r="C554" t="s">
        <v>1158</v>
      </c>
      <c r="D554" t="s">
        <v>30</v>
      </c>
      <c r="E554" t="s">
        <v>166</v>
      </c>
      <c r="F554" t="s">
        <v>60</v>
      </c>
      <c r="G554" t="s">
        <v>20</v>
      </c>
      <c r="H554" t="s">
        <v>175</v>
      </c>
      <c r="I554">
        <v>2</v>
      </c>
      <c r="J554">
        <v>34.799999999999997</v>
      </c>
      <c r="K554">
        <v>5</v>
      </c>
      <c r="L554">
        <v>66.12</v>
      </c>
      <c r="M554">
        <v>10.050000000000001</v>
      </c>
      <c r="N554">
        <v>17.79</v>
      </c>
      <c r="O554" t="s">
        <v>22</v>
      </c>
      <c r="P554">
        <v>2023</v>
      </c>
      <c r="Q554" t="s">
        <v>3646</v>
      </c>
      <c r="R554">
        <v>62.814</v>
      </c>
      <c r="S554">
        <v>0.283217117203171</v>
      </c>
      <c r="T554" t="s">
        <v>3634</v>
      </c>
      <c r="U554" t="s">
        <v>3633</v>
      </c>
    </row>
    <row r="555" spans="1:21" x14ac:dyDescent="0.25">
      <c r="A555" t="s">
        <v>1159</v>
      </c>
      <c r="B555" s="1">
        <v>45232</v>
      </c>
      <c r="C555" t="s">
        <v>1160</v>
      </c>
      <c r="D555" t="s">
        <v>30</v>
      </c>
      <c r="E555" t="s">
        <v>138</v>
      </c>
      <c r="F555" t="s">
        <v>54</v>
      </c>
      <c r="G555" t="s">
        <v>32</v>
      </c>
      <c r="H555" t="s">
        <v>33</v>
      </c>
      <c r="I555">
        <v>6</v>
      </c>
      <c r="J555">
        <v>14.97</v>
      </c>
      <c r="K555">
        <v>5</v>
      </c>
      <c r="L555">
        <v>85.33</v>
      </c>
      <c r="M555">
        <v>22.3</v>
      </c>
      <c r="N555">
        <v>22.61</v>
      </c>
      <c r="O555" t="s">
        <v>39</v>
      </c>
      <c r="P555">
        <v>2023</v>
      </c>
      <c r="Q555" t="s">
        <v>3646</v>
      </c>
      <c r="R555">
        <v>81.063500000000005</v>
      </c>
      <c r="S555">
        <v>0.27891714520098398</v>
      </c>
      <c r="T555" t="s">
        <v>3634</v>
      </c>
      <c r="U555" t="s">
        <v>3633</v>
      </c>
    </row>
    <row r="556" spans="1:21" x14ac:dyDescent="0.25">
      <c r="A556" t="s">
        <v>1161</v>
      </c>
      <c r="B556" s="1">
        <v>45233</v>
      </c>
      <c r="C556" t="s">
        <v>1162</v>
      </c>
      <c r="D556" t="s">
        <v>30</v>
      </c>
      <c r="E556" t="s">
        <v>121</v>
      </c>
      <c r="F556" t="s">
        <v>68</v>
      </c>
      <c r="G556" t="s">
        <v>20</v>
      </c>
      <c r="H556" t="s">
        <v>38</v>
      </c>
      <c r="I556">
        <v>1</v>
      </c>
      <c r="J556">
        <v>83.28</v>
      </c>
      <c r="K556">
        <v>0</v>
      </c>
      <c r="L556">
        <v>83.28</v>
      </c>
      <c r="M556">
        <v>12.13</v>
      </c>
      <c r="N556">
        <v>25.35</v>
      </c>
      <c r="O556" t="s">
        <v>34</v>
      </c>
      <c r="P556">
        <v>2023</v>
      </c>
      <c r="Q556" t="s">
        <v>3646</v>
      </c>
      <c r="R556">
        <v>83.28</v>
      </c>
      <c r="S556">
        <v>0.30439481268011498</v>
      </c>
      <c r="T556" t="s">
        <v>3634</v>
      </c>
      <c r="U556" t="s">
        <v>3633</v>
      </c>
    </row>
    <row r="557" spans="1:21" x14ac:dyDescent="0.25">
      <c r="A557" t="s">
        <v>1163</v>
      </c>
      <c r="B557" s="1">
        <v>45233</v>
      </c>
      <c r="C557" t="s">
        <v>1164</v>
      </c>
      <c r="D557" t="s">
        <v>30</v>
      </c>
      <c r="E557" t="s">
        <v>248</v>
      </c>
      <c r="F557" t="s">
        <v>26</v>
      </c>
      <c r="G557" t="s">
        <v>20</v>
      </c>
      <c r="H557" t="s">
        <v>199</v>
      </c>
      <c r="I557">
        <v>7</v>
      </c>
      <c r="J557">
        <v>95.46</v>
      </c>
      <c r="K557">
        <v>5</v>
      </c>
      <c r="L557">
        <v>634.80999999999995</v>
      </c>
      <c r="M557">
        <v>20.14</v>
      </c>
      <c r="N557">
        <v>247.15</v>
      </c>
      <c r="O557" t="s">
        <v>22</v>
      </c>
      <c r="P557">
        <v>2023</v>
      </c>
      <c r="Q557" t="s">
        <v>3646</v>
      </c>
      <c r="R557">
        <v>603.06949999999995</v>
      </c>
      <c r="S557">
        <v>0.40982009536214298</v>
      </c>
      <c r="T557" t="s">
        <v>3635</v>
      </c>
      <c r="U557" t="s">
        <v>3633</v>
      </c>
    </row>
    <row r="558" spans="1:21" x14ac:dyDescent="0.25">
      <c r="A558" t="s">
        <v>1165</v>
      </c>
      <c r="B558" s="1">
        <v>45235</v>
      </c>
      <c r="C558" t="s">
        <v>1166</v>
      </c>
      <c r="D558" t="s">
        <v>30</v>
      </c>
      <c r="E558" t="s">
        <v>135</v>
      </c>
      <c r="F558" t="s">
        <v>26</v>
      </c>
      <c r="G558" t="s">
        <v>32</v>
      </c>
      <c r="H558" t="s">
        <v>73</v>
      </c>
      <c r="I558">
        <v>2</v>
      </c>
      <c r="J558">
        <v>8.91</v>
      </c>
      <c r="K558">
        <v>15</v>
      </c>
      <c r="L558">
        <v>15.15</v>
      </c>
      <c r="M558">
        <v>11.64</v>
      </c>
      <c r="N558">
        <v>-4.51</v>
      </c>
      <c r="O558" t="s">
        <v>39</v>
      </c>
      <c r="P558">
        <v>2023</v>
      </c>
      <c r="Q558" t="s">
        <v>3646</v>
      </c>
      <c r="R558">
        <v>12.8775</v>
      </c>
      <c r="S558">
        <v>-0.35022325761987999</v>
      </c>
      <c r="T558" t="s">
        <v>3634</v>
      </c>
      <c r="U558" t="s">
        <v>3636</v>
      </c>
    </row>
    <row r="559" spans="1:21" x14ac:dyDescent="0.25">
      <c r="A559" t="s">
        <v>1167</v>
      </c>
      <c r="B559" s="1">
        <v>45236</v>
      </c>
      <c r="C559" t="s">
        <v>553</v>
      </c>
      <c r="D559" t="s">
        <v>30</v>
      </c>
      <c r="E559" t="s">
        <v>67</v>
      </c>
      <c r="F559" t="s">
        <v>68</v>
      </c>
      <c r="G559" t="s">
        <v>69</v>
      </c>
      <c r="H559" t="s">
        <v>70</v>
      </c>
      <c r="I559">
        <v>3</v>
      </c>
      <c r="J559">
        <v>64.75</v>
      </c>
      <c r="K559">
        <v>0</v>
      </c>
      <c r="L559">
        <v>194.25</v>
      </c>
      <c r="M559">
        <v>14.63</v>
      </c>
      <c r="N559">
        <v>82.5</v>
      </c>
      <c r="O559" t="s">
        <v>34</v>
      </c>
      <c r="P559">
        <v>2023</v>
      </c>
      <c r="Q559" t="s">
        <v>3646</v>
      </c>
      <c r="R559">
        <v>194.25</v>
      </c>
      <c r="S559">
        <v>0.42471042471042503</v>
      </c>
      <c r="T559" t="s">
        <v>3632</v>
      </c>
      <c r="U559" t="s">
        <v>3633</v>
      </c>
    </row>
    <row r="560" spans="1:21" x14ac:dyDescent="0.25">
      <c r="A560" t="s">
        <v>1168</v>
      </c>
      <c r="B560" s="1">
        <v>45236</v>
      </c>
      <c r="C560" t="s">
        <v>1169</v>
      </c>
      <c r="D560" t="s">
        <v>17</v>
      </c>
      <c r="E560" t="s">
        <v>59</v>
      </c>
      <c r="F560" t="s">
        <v>60</v>
      </c>
      <c r="G560" t="s">
        <v>42</v>
      </c>
      <c r="H560" t="s">
        <v>64</v>
      </c>
      <c r="I560">
        <v>4</v>
      </c>
      <c r="J560">
        <v>127.45</v>
      </c>
      <c r="K560">
        <v>15</v>
      </c>
      <c r="L560">
        <v>433.33</v>
      </c>
      <c r="M560">
        <v>12.43</v>
      </c>
      <c r="N560">
        <v>115.02</v>
      </c>
      <c r="O560" t="s">
        <v>34</v>
      </c>
      <c r="P560">
        <v>2023</v>
      </c>
      <c r="Q560" t="s">
        <v>3646</v>
      </c>
      <c r="R560">
        <v>368.33049999999997</v>
      </c>
      <c r="S560">
        <v>0.31227389531955702</v>
      </c>
      <c r="T560" t="s">
        <v>3632</v>
      </c>
      <c r="U560" t="s">
        <v>3633</v>
      </c>
    </row>
    <row r="561" spans="1:21" x14ac:dyDescent="0.25">
      <c r="A561" t="s">
        <v>1170</v>
      </c>
      <c r="B561" s="1">
        <v>45237</v>
      </c>
      <c r="C561" t="s">
        <v>1171</v>
      </c>
      <c r="D561" t="s">
        <v>17</v>
      </c>
      <c r="E561" t="s">
        <v>135</v>
      </c>
      <c r="F561" t="s">
        <v>26</v>
      </c>
      <c r="G561" t="s">
        <v>42</v>
      </c>
      <c r="H561" t="s">
        <v>64</v>
      </c>
      <c r="I561">
        <v>4</v>
      </c>
      <c r="J561">
        <v>70.540000000000006</v>
      </c>
      <c r="K561">
        <v>15</v>
      </c>
      <c r="L561">
        <v>239.84</v>
      </c>
      <c r="M561">
        <v>11.23</v>
      </c>
      <c r="N561">
        <v>59.31</v>
      </c>
      <c r="O561" t="s">
        <v>56</v>
      </c>
      <c r="P561">
        <v>2023</v>
      </c>
      <c r="Q561" t="s">
        <v>3646</v>
      </c>
      <c r="R561">
        <v>203.864</v>
      </c>
      <c r="S561">
        <v>0.29092924694894601</v>
      </c>
      <c r="T561" t="s">
        <v>3632</v>
      </c>
      <c r="U561" t="s">
        <v>3633</v>
      </c>
    </row>
    <row r="562" spans="1:21" x14ac:dyDescent="0.25">
      <c r="A562" t="s">
        <v>1172</v>
      </c>
      <c r="B562" s="1">
        <v>45237</v>
      </c>
      <c r="C562" t="s">
        <v>1173</v>
      </c>
      <c r="D562" t="s">
        <v>49</v>
      </c>
      <c r="E562" t="s">
        <v>85</v>
      </c>
      <c r="F562" t="s">
        <v>60</v>
      </c>
      <c r="G562" t="s">
        <v>32</v>
      </c>
      <c r="H562" t="s">
        <v>101</v>
      </c>
      <c r="I562">
        <v>7</v>
      </c>
      <c r="J562">
        <v>9.27</v>
      </c>
      <c r="K562">
        <v>5</v>
      </c>
      <c r="L562">
        <v>61.65</v>
      </c>
      <c r="M562">
        <v>19.21</v>
      </c>
      <c r="N562">
        <v>13.24</v>
      </c>
      <c r="O562" t="s">
        <v>34</v>
      </c>
      <c r="P562">
        <v>2023</v>
      </c>
      <c r="Q562" t="s">
        <v>3646</v>
      </c>
      <c r="R562">
        <v>58.567500000000003</v>
      </c>
      <c r="S562">
        <v>0.22606394331327101</v>
      </c>
      <c r="T562" t="s">
        <v>3634</v>
      </c>
      <c r="U562" t="s">
        <v>3633</v>
      </c>
    </row>
    <row r="563" spans="1:21" x14ac:dyDescent="0.25">
      <c r="A563" t="s">
        <v>1174</v>
      </c>
      <c r="B563" s="1">
        <v>45239</v>
      </c>
      <c r="C563" t="s">
        <v>1175</v>
      </c>
      <c r="D563" t="s">
        <v>30</v>
      </c>
      <c r="E563" t="s">
        <v>18</v>
      </c>
      <c r="F563" t="s">
        <v>19</v>
      </c>
      <c r="G563" t="s">
        <v>20</v>
      </c>
      <c r="H563" t="s">
        <v>264</v>
      </c>
      <c r="I563">
        <v>3</v>
      </c>
      <c r="J563">
        <v>53.47</v>
      </c>
      <c r="K563">
        <v>0</v>
      </c>
      <c r="L563">
        <v>160.41</v>
      </c>
      <c r="M563">
        <v>10.7</v>
      </c>
      <c r="N563">
        <v>61.48</v>
      </c>
      <c r="O563" t="s">
        <v>56</v>
      </c>
      <c r="P563">
        <v>2023</v>
      </c>
      <c r="Q563" t="s">
        <v>3646</v>
      </c>
      <c r="R563">
        <v>160.41</v>
      </c>
      <c r="S563">
        <v>0.38326787606757701</v>
      </c>
      <c r="T563" t="s">
        <v>3632</v>
      </c>
      <c r="U563" t="s">
        <v>3633</v>
      </c>
    </row>
    <row r="564" spans="1:21" x14ac:dyDescent="0.25">
      <c r="A564" t="s">
        <v>1176</v>
      </c>
      <c r="B564" s="1">
        <v>45239</v>
      </c>
      <c r="C564" t="s">
        <v>1177</v>
      </c>
      <c r="D564" t="s">
        <v>30</v>
      </c>
      <c r="E564" t="s">
        <v>59</v>
      </c>
      <c r="F564" t="s">
        <v>60</v>
      </c>
      <c r="G564" t="s">
        <v>42</v>
      </c>
      <c r="H564" t="s">
        <v>46</v>
      </c>
      <c r="I564">
        <v>1</v>
      </c>
      <c r="J564">
        <v>94.39</v>
      </c>
      <c r="K564">
        <v>15</v>
      </c>
      <c r="L564">
        <v>80.23</v>
      </c>
      <c r="M564">
        <v>11.03</v>
      </c>
      <c r="N564">
        <v>12.57</v>
      </c>
      <c r="O564" t="s">
        <v>39</v>
      </c>
      <c r="P564">
        <v>2023</v>
      </c>
      <c r="Q564" t="s">
        <v>3646</v>
      </c>
      <c r="R564">
        <v>68.195499999999996</v>
      </c>
      <c r="S564">
        <v>0.18432301251548899</v>
      </c>
      <c r="T564" t="s">
        <v>3634</v>
      </c>
      <c r="U564" t="s">
        <v>3633</v>
      </c>
    </row>
    <row r="565" spans="1:21" x14ac:dyDescent="0.25">
      <c r="A565" t="s">
        <v>1178</v>
      </c>
      <c r="B565" s="1">
        <v>45240</v>
      </c>
      <c r="C565" t="s">
        <v>1179</v>
      </c>
      <c r="D565" t="s">
        <v>30</v>
      </c>
      <c r="E565" t="s">
        <v>18</v>
      </c>
      <c r="F565" t="s">
        <v>19</v>
      </c>
      <c r="G565" t="s">
        <v>20</v>
      </c>
      <c r="H565" t="s">
        <v>199</v>
      </c>
      <c r="I565">
        <v>1</v>
      </c>
      <c r="J565">
        <v>187.3</v>
      </c>
      <c r="K565">
        <v>5</v>
      </c>
      <c r="L565">
        <v>177.94</v>
      </c>
      <c r="M565">
        <v>6.98</v>
      </c>
      <c r="N565">
        <v>67.94</v>
      </c>
      <c r="O565" t="s">
        <v>34</v>
      </c>
      <c r="P565">
        <v>2023</v>
      </c>
      <c r="Q565" t="s">
        <v>3646</v>
      </c>
      <c r="R565">
        <v>169.04300000000001</v>
      </c>
      <c r="S565">
        <v>0.40190957330383398</v>
      </c>
      <c r="T565" t="s">
        <v>3632</v>
      </c>
      <c r="U565" t="s">
        <v>3633</v>
      </c>
    </row>
    <row r="566" spans="1:21" x14ac:dyDescent="0.25">
      <c r="A566" t="s">
        <v>1180</v>
      </c>
      <c r="B566" s="1">
        <v>45242</v>
      </c>
      <c r="C566" t="s">
        <v>1181</v>
      </c>
      <c r="D566" t="s">
        <v>30</v>
      </c>
      <c r="E566" t="s">
        <v>129</v>
      </c>
      <c r="F566" t="s">
        <v>19</v>
      </c>
      <c r="G566" t="s">
        <v>42</v>
      </c>
      <c r="H566" t="s">
        <v>46</v>
      </c>
      <c r="I566">
        <v>2</v>
      </c>
      <c r="J566">
        <v>163.55000000000001</v>
      </c>
      <c r="K566">
        <v>0</v>
      </c>
      <c r="L566">
        <v>327.10000000000002</v>
      </c>
      <c r="M566">
        <v>6.02</v>
      </c>
      <c r="N566">
        <v>124.82</v>
      </c>
      <c r="O566" t="s">
        <v>34</v>
      </c>
      <c r="P566">
        <v>2023</v>
      </c>
      <c r="Q566" t="s">
        <v>3646</v>
      </c>
      <c r="R566">
        <v>327.10000000000002</v>
      </c>
      <c r="S566">
        <v>0.38159584225007598</v>
      </c>
      <c r="T566" t="s">
        <v>3632</v>
      </c>
      <c r="U566" t="s">
        <v>3633</v>
      </c>
    </row>
    <row r="567" spans="1:21" x14ac:dyDescent="0.25">
      <c r="A567" t="s">
        <v>1182</v>
      </c>
      <c r="B567" s="1">
        <v>45242</v>
      </c>
      <c r="C567" t="s">
        <v>851</v>
      </c>
      <c r="D567" t="s">
        <v>30</v>
      </c>
      <c r="E567" t="s">
        <v>166</v>
      </c>
      <c r="F567" t="s">
        <v>60</v>
      </c>
      <c r="G567" t="s">
        <v>69</v>
      </c>
      <c r="H567" t="s">
        <v>196</v>
      </c>
      <c r="I567">
        <v>1</v>
      </c>
      <c r="J567">
        <v>22.15</v>
      </c>
      <c r="K567">
        <v>0</v>
      </c>
      <c r="L567">
        <v>22.15</v>
      </c>
      <c r="M567">
        <v>10.89</v>
      </c>
      <c r="N567">
        <v>0.18</v>
      </c>
      <c r="O567" t="s">
        <v>56</v>
      </c>
      <c r="P567">
        <v>2023</v>
      </c>
      <c r="Q567" t="s">
        <v>3646</v>
      </c>
      <c r="R567">
        <v>22.15</v>
      </c>
      <c r="S567">
        <v>8.1264108352144503E-3</v>
      </c>
      <c r="T567" t="s">
        <v>3634</v>
      </c>
      <c r="U567" t="s">
        <v>3633</v>
      </c>
    </row>
    <row r="568" spans="1:21" x14ac:dyDescent="0.25">
      <c r="A568" t="s">
        <v>1183</v>
      </c>
      <c r="B568" s="1">
        <v>45243</v>
      </c>
      <c r="C568" t="s">
        <v>1184</v>
      </c>
      <c r="D568" t="s">
        <v>17</v>
      </c>
      <c r="E568" t="s">
        <v>148</v>
      </c>
      <c r="F568" t="s">
        <v>60</v>
      </c>
      <c r="G568" t="s">
        <v>20</v>
      </c>
      <c r="H568" t="s">
        <v>264</v>
      </c>
      <c r="I568">
        <v>1</v>
      </c>
      <c r="J568">
        <v>37.78</v>
      </c>
      <c r="K568">
        <v>10</v>
      </c>
      <c r="L568">
        <v>34</v>
      </c>
      <c r="M568">
        <v>10.66</v>
      </c>
      <c r="N568">
        <v>2.56</v>
      </c>
      <c r="O568" t="s">
        <v>34</v>
      </c>
      <c r="P568">
        <v>2023</v>
      </c>
      <c r="Q568" t="s">
        <v>3646</v>
      </c>
      <c r="R568">
        <v>30.6</v>
      </c>
      <c r="S568">
        <v>8.3660130718954201E-2</v>
      </c>
      <c r="T568" t="s">
        <v>3634</v>
      </c>
      <c r="U568" t="s">
        <v>3633</v>
      </c>
    </row>
    <row r="569" spans="1:21" x14ac:dyDescent="0.25">
      <c r="A569" t="s">
        <v>1185</v>
      </c>
      <c r="B569" s="1">
        <v>45243</v>
      </c>
      <c r="C569" t="s">
        <v>1186</v>
      </c>
      <c r="D569" t="s">
        <v>17</v>
      </c>
      <c r="E569" t="s">
        <v>135</v>
      </c>
      <c r="F569" t="s">
        <v>26</v>
      </c>
      <c r="G569" t="s">
        <v>42</v>
      </c>
      <c r="H569" t="s">
        <v>234</v>
      </c>
      <c r="I569">
        <v>8</v>
      </c>
      <c r="J569">
        <v>64.55</v>
      </c>
      <c r="K569">
        <v>20</v>
      </c>
      <c r="L569">
        <v>413.12</v>
      </c>
      <c r="M569">
        <v>20.98</v>
      </c>
      <c r="N569">
        <v>82.3</v>
      </c>
      <c r="O569" t="s">
        <v>34</v>
      </c>
      <c r="P569">
        <v>2023</v>
      </c>
      <c r="Q569" t="s">
        <v>3646</v>
      </c>
      <c r="R569">
        <v>330.49599999999998</v>
      </c>
      <c r="S569">
        <v>0.24901965530596401</v>
      </c>
      <c r="T569" t="s">
        <v>3632</v>
      </c>
      <c r="U569" t="s">
        <v>3633</v>
      </c>
    </row>
    <row r="570" spans="1:21" x14ac:dyDescent="0.25">
      <c r="A570" t="s">
        <v>1187</v>
      </c>
      <c r="B570" s="1">
        <v>45244</v>
      </c>
      <c r="C570" t="s">
        <v>1188</v>
      </c>
      <c r="D570" t="s">
        <v>17</v>
      </c>
      <c r="E570" t="s">
        <v>25</v>
      </c>
      <c r="F570" t="s">
        <v>26</v>
      </c>
      <c r="G570" t="s">
        <v>42</v>
      </c>
      <c r="H570" t="s">
        <v>43</v>
      </c>
      <c r="I570">
        <v>3</v>
      </c>
      <c r="J570">
        <v>162.18</v>
      </c>
      <c r="K570">
        <v>15</v>
      </c>
      <c r="L570">
        <v>413.56</v>
      </c>
      <c r="M570">
        <v>10.53</v>
      </c>
      <c r="N570">
        <v>111.11</v>
      </c>
      <c r="O570" t="s">
        <v>22</v>
      </c>
      <c r="P570">
        <v>2023</v>
      </c>
      <c r="Q570" t="s">
        <v>3646</v>
      </c>
      <c r="R570">
        <v>351.52600000000001</v>
      </c>
      <c r="S570">
        <v>0.31607903825037098</v>
      </c>
      <c r="T570" t="s">
        <v>3632</v>
      </c>
      <c r="U570" t="s">
        <v>3633</v>
      </c>
    </row>
    <row r="571" spans="1:21" x14ac:dyDescent="0.25">
      <c r="A571" t="s">
        <v>1189</v>
      </c>
      <c r="B571" s="1">
        <v>45245</v>
      </c>
      <c r="C571" t="s">
        <v>1190</v>
      </c>
      <c r="D571" t="s">
        <v>17</v>
      </c>
      <c r="E571" t="s">
        <v>129</v>
      </c>
      <c r="F571" t="s">
        <v>19</v>
      </c>
      <c r="G571" t="s">
        <v>20</v>
      </c>
      <c r="H571" t="s">
        <v>106</v>
      </c>
      <c r="I571">
        <v>1</v>
      </c>
      <c r="J571">
        <v>40.47</v>
      </c>
      <c r="K571">
        <v>5</v>
      </c>
      <c r="L571">
        <v>38.450000000000003</v>
      </c>
      <c r="M571">
        <v>6.75</v>
      </c>
      <c r="N571">
        <v>9.44</v>
      </c>
      <c r="O571" t="s">
        <v>34</v>
      </c>
      <c r="P571">
        <v>2023</v>
      </c>
      <c r="Q571" t="s">
        <v>3646</v>
      </c>
      <c r="R571">
        <v>36.527500000000003</v>
      </c>
      <c r="S571">
        <v>0.25843542536445102</v>
      </c>
      <c r="T571" t="s">
        <v>3634</v>
      </c>
      <c r="U571" t="s">
        <v>3633</v>
      </c>
    </row>
    <row r="572" spans="1:21" x14ac:dyDescent="0.25">
      <c r="A572" t="s">
        <v>1191</v>
      </c>
      <c r="B572" s="1">
        <v>45245</v>
      </c>
      <c r="C572" t="s">
        <v>1192</v>
      </c>
      <c r="D572" t="s">
        <v>30</v>
      </c>
      <c r="E572" t="s">
        <v>121</v>
      </c>
      <c r="F572" t="s">
        <v>68</v>
      </c>
      <c r="G572" t="s">
        <v>32</v>
      </c>
      <c r="H572" t="s">
        <v>50</v>
      </c>
      <c r="I572">
        <v>2</v>
      </c>
      <c r="J572">
        <v>10.67</v>
      </c>
      <c r="K572">
        <v>15</v>
      </c>
      <c r="L572">
        <v>18.14</v>
      </c>
      <c r="M572">
        <v>14.02</v>
      </c>
      <c r="N572">
        <v>-5.48</v>
      </c>
      <c r="O572" t="s">
        <v>34</v>
      </c>
      <c r="P572">
        <v>2023</v>
      </c>
      <c r="Q572" t="s">
        <v>3646</v>
      </c>
      <c r="R572">
        <v>15.419</v>
      </c>
      <c r="S572">
        <v>-0.35540566833128001</v>
      </c>
      <c r="T572" t="s">
        <v>3634</v>
      </c>
      <c r="U572" t="s">
        <v>3636</v>
      </c>
    </row>
    <row r="573" spans="1:21" x14ac:dyDescent="0.25">
      <c r="A573" t="s">
        <v>1193</v>
      </c>
      <c r="B573" s="1">
        <v>45248</v>
      </c>
      <c r="C573" t="s">
        <v>857</v>
      </c>
      <c r="D573" t="s">
        <v>30</v>
      </c>
      <c r="E573" t="s">
        <v>129</v>
      </c>
      <c r="F573" t="s">
        <v>19</v>
      </c>
      <c r="G573" t="s">
        <v>32</v>
      </c>
      <c r="H573" t="s">
        <v>348</v>
      </c>
      <c r="I573">
        <v>3</v>
      </c>
      <c r="J573">
        <v>11.62</v>
      </c>
      <c r="K573">
        <v>15</v>
      </c>
      <c r="L573">
        <v>29.63</v>
      </c>
      <c r="M573">
        <v>7.43</v>
      </c>
      <c r="N573">
        <v>6.51</v>
      </c>
      <c r="O573" t="s">
        <v>34</v>
      </c>
      <c r="P573">
        <v>2023</v>
      </c>
      <c r="Q573" t="s">
        <v>3646</v>
      </c>
      <c r="R573">
        <v>25.185500000000001</v>
      </c>
      <c r="S573">
        <v>0.25848206309185801</v>
      </c>
      <c r="T573" t="s">
        <v>3634</v>
      </c>
      <c r="U573" t="s">
        <v>3633</v>
      </c>
    </row>
    <row r="574" spans="1:21" x14ac:dyDescent="0.25">
      <c r="A574" t="s">
        <v>1194</v>
      </c>
      <c r="B574" s="1">
        <v>45248</v>
      </c>
      <c r="C574" t="s">
        <v>1195</v>
      </c>
      <c r="D574" t="s">
        <v>17</v>
      </c>
      <c r="E574" t="s">
        <v>92</v>
      </c>
      <c r="F574" t="s">
        <v>60</v>
      </c>
      <c r="G574" t="s">
        <v>20</v>
      </c>
      <c r="H574" t="s">
        <v>55</v>
      </c>
      <c r="I574">
        <v>11</v>
      </c>
      <c r="J574">
        <v>53.68</v>
      </c>
      <c r="K574">
        <v>0</v>
      </c>
      <c r="L574">
        <v>590.48</v>
      </c>
      <c r="M574">
        <v>19.16</v>
      </c>
      <c r="N574">
        <v>246.56</v>
      </c>
      <c r="O574" t="s">
        <v>39</v>
      </c>
      <c r="P574">
        <v>2023</v>
      </c>
      <c r="Q574" t="s">
        <v>3646</v>
      </c>
      <c r="R574">
        <v>590.48</v>
      </c>
      <c r="S574">
        <v>0.417558596396152</v>
      </c>
      <c r="T574" t="s">
        <v>3635</v>
      </c>
      <c r="U574" t="s">
        <v>3633</v>
      </c>
    </row>
    <row r="575" spans="1:21" x14ac:dyDescent="0.25">
      <c r="A575" t="s">
        <v>1196</v>
      </c>
      <c r="B575" s="1">
        <v>45249</v>
      </c>
      <c r="C575" t="s">
        <v>1197</v>
      </c>
      <c r="D575" t="s">
        <v>17</v>
      </c>
      <c r="E575" t="s">
        <v>129</v>
      </c>
      <c r="F575" t="s">
        <v>19</v>
      </c>
      <c r="G575" t="s">
        <v>32</v>
      </c>
      <c r="H575" t="s">
        <v>101</v>
      </c>
      <c r="I575">
        <v>7</v>
      </c>
      <c r="J575">
        <v>7.45</v>
      </c>
      <c r="K575">
        <v>5</v>
      </c>
      <c r="L575">
        <v>49.54</v>
      </c>
      <c r="M575">
        <v>14.62</v>
      </c>
      <c r="N575">
        <v>11.45</v>
      </c>
      <c r="O575" t="s">
        <v>39</v>
      </c>
      <c r="P575">
        <v>2023</v>
      </c>
      <c r="Q575" t="s">
        <v>3646</v>
      </c>
      <c r="R575">
        <v>47.063000000000002</v>
      </c>
      <c r="S575">
        <v>0.24329090793192101</v>
      </c>
      <c r="T575" t="s">
        <v>3634</v>
      </c>
      <c r="U575" t="s">
        <v>3633</v>
      </c>
    </row>
    <row r="576" spans="1:21" x14ac:dyDescent="0.25">
      <c r="A576" t="s">
        <v>1198</v>
      </c>
      <c r="B576" s="1">
        <v>45250</v>
      </c>
      <c r="C576" t="s">
        <v>1199</v>
      </c>
      <c r="D576" t="s">
        <v>30</v>
      </c>
      <c r="E576" t="s">
        <v>59</v>
      </c>
      <c r="F576" t="s">
        <v>60</v>
      </c>
      <c r="G576" t="s">
        <v>32</v>
      </c>
      <c r="H576" t="s">
        <v>115</v>
      </c>
      <c r="I576">
        <v>3</v>
      </c>
      <c r="J576">
        <v>10.56</v>
      </c>
      <c r="K576">
        <v>5</v>
      </c>
      <c r="L576">
        <v>30.1</v>
      </c>
      <c r="M576">
        <v>14.07</v>
      </c>
      <c r="N576">
        <v>1.77</v>
      </c>
      <c r="O576" t="s">
        <v>39</v>
      </c>
      <c r="P576">
        <v>2023</v>
      </c>
      <c r="Q576" t="s">
        <v>3646</v>
      </c>
      <c r="R576">
        <v>28.594999999999999</v>
      </c>
      <c r="S576">
        <v>6.1898933379961503E-2</v>
      </c>
      <c r="T576" t="s">
        <v>3634</v>
      </c>
      <c r="U576" t="s">
        <v>3633</v>
      </c>
    </row>
    <row r="577" spans="1:21" x14ac:dyDescent="0.25">
      <c r="A577" t="s">
        <v>1200</v>
      </c>
      <c r="B577" s="1">
        <v>45250</v>
      </c>
      <c r="C577" t="s">
        <v>1201</v>
      </c>
      <c r="D577" t="s">
        <v>30</v>
      </c>
      <c r="E577" t="s">
        <v>67</v>
      </c>
      <c r="F577" t="s">
        <v>68</v>
      </c>
      <c r="G577" t="s">
        <v>20</v>
      </c>
      <c r="H577" t="s">
        <v>175</v>
      </c>
      <c r="I577">
        <v>2</v>
      </c>
      <c r="J577">
        <v>53.62</v>
      </c>
      <c r="K577">
        <v>0</v>
      </c>
      <c r="L577">
        <v>107.24</v>
      </c>
      <c r="M577">
        <v>11.75</v>
      </c>
      <c r="N577">
        <v>36.51</v>
      </c>
      <c r="O577" t="s">
        <v>56</v>
      </c>
      <c r="P577">
        <v>2023</v>
      </c>
      <c r="Q577" t="s">
        <v>3646</v>
      </c>
      <c r="R577">
        <v>107.24</v>
      </c>
      <c r="S577">
        <v>0.340451324132786</v>
      </c>
      <c r="T577" t="s">
        <v>3632</v>
      </c>
      <c r="U577" t="s">
        <v>3633</v>
      </c>
    </row>
    <row r="578" spans="1:21" x14ac:dyDescent="0.25">
      <c r="A578" t="s">
        <v>1202</v>
      </c>
      <c r="B578" s="1">
        <v>45251</v>
      </c>
      <c r="C578" t="s">
        <v>1203</v>
      </c>
      <c r="D578" t="s">
        <v>30</v>
      </c>
      <c r="E578" t="s">
        <v>121</v>
      </c>
      <c r="F578" t="s">
        <v>68</v>
      </c>
      <c r="G578" t="s">
        <v>32</v>
      </c>
      <c r="H578" t="s">
        <v>50</v>
      </c>
      <c r="I578">
        <v>3</v>
      </c>
      <c r="J578">
        <v>20.66</v>
      </c>
      <c r="K578">
        <v>0</v>
      </c>
      <c r="L578">
        <v>61.98</v>
      </c>
      <c r="M578">
        <v>14.39</v>
      </c>
      <c r="N578">
        <v>19.7</v>
      </c>
      <c r="O578" t="s">
        <v>34</v>
      </c>
      <c r="P578">
        <v>2023</v>
      </c>
      <c r="Q578" t="s">
        <v>3646</v>
      </c>
      <c r="R578">
        <v>61.98</v>
      </c>
      <c r="S578">
        <v>0.31784446595676003</v>
      </c>
      <c r="T578" t="s">
        <v>3634</v>
      </c>
      <c r="U578" t="s">
        <v>3633</v>
      </c>
    </row>
    <row r="579" spans="1:21" x14ac:dyDescent="0.25">
      <c r="A579" t="s">
        <v>1204</v>
      </c>
      <c r="B579" s="1">
        <v>45251</v>
      </c>
      <c r="C579" t="s">
        <v>1205</v>
      </c>
      <c r="D579" t="s">
        <v>17</v>
      </c>
      <c r="E579" t="s">
        <v>85</v>
      </c>
      <c r="F579" t="s">
        <v>60</v>
      </c>
      <c r="G579" t="s">
        <v>32</v>
      </c>
      <c r="H579" t="s">
        <v>115</v>
      </c>
      <c r="I579">
        <v>1</v>
      </c>
      <c r="J579">
        <v>18.510000000000002</v>
      </c>
      <c r="K579">
        <v>10</v>
      </c>
      <c r="L579">
        <v>16.66</v>
      </c>
      <c r="M579">
        <v>11.16</v>
      </c>
      <c r="N579">
        <v>-2.83</v>
      </c>
      <c r="O579" t="s">
        <v>39</v>
      </c>
      <c r="P579">
        <v>2023</v>
      </c>
      <c r="Q579" t="s">
        <v>3646</v>
      </c>
      <c r="R579">
        <v>14.994</v>
      </c>
      <c r="S579">
        <v>-0.18874216353208001</v>
      </c>
      <c r="T579" t="s">
        <v>3634</v>
      </c>
      <c r="U579" t="s">
        <v>3636</v>
      </c>
    </row>
    <row r="580" spans="1:21" x14ac:dyDescent="0.25">
      <c r="A580" t="s">
        <v>1206</v>
      </c>
      <c r="B580" s="1">
        <v>45252</v>
      </c>
      <c r="C580" t="s">
        <v>1207</v>
      </c>
      <c r="D580" t="s">
        <v>17</v>
      </c>
      <c r="E580" t="s">
        <v>18</v>
      </c>
      <c r="F580" t="s">
        <v>19</v>
      </c>
      <c r="G580" t="s">
        <v>42</v>
      </c>
      <c r="H580" t="s">
        <v>93</v>
      </c>
      <c r="I580">
        <v>1</v>
      </c>
      <c r="J580">
        <v>209.98</v>
      </c>
      <c r="K580">
        <v>5</v>
      </c>
      <c r="L580">
        <v>199.48</v>
      </c>
      <c r="M580">
        <v>7.19</v>
      </c>
      <c r="N580">
        <v>66.3</v>
      </c>
      <c r="O580" t="s">
        <v>39</v>
      </c>
      <c r="P580">
        <v>2023</v>
      </c>
      <c r="Q580" t="s">
        <v>3646</v>
      </c>
      <c r="R580">
        <v>189.506</v>
      </c>
      <c r="S580">
        <v>0.34985699661224401</v>
      </c>
      <c r="T580" t="s">
        <v>3632</v>
      </c>
      <c r="U580" t="s">
        <v>3633</v>
      </c>
    </row>
    <row r="581" spans="1:21" x14ac:dyDescent="0.25">
      <c r="A581" t="s">
        <v>1208</v>
      </c>
      <c r="B581" s="1">
        <v>45253</v>
      </c>
      <c r="C581" t="s">
        <v>1209</v>
      </c>
      <c r="D581" t="s">
        <v>30</v>
      </c>
      <c r="E581" t="s">
        <v>248</v>
      </c>
      <c r="F581" t="s">
        <v>26</v>
      </c>
      <c r="G581" t="s">
        <v>69</v>
      </c>
      <c r="H581" t="s">
        <v>98</v>
      </c>
      <c r="I581">
        <v>1</v>
      </c>
      <c r="J581">
        <v>15.72</v>
      </c>
      <c r="K581">
        <v>5</v>
      </c>
      <c r="L581">
        <v>14.93</v>
      </c>
      <c r="M581">
        <v>8.51</v>
      </c>
      <c r="N581">
        <v>-1.44</v>
      </c>
      <c r="O581" t="s">
        <v>39</v>
      </c>
      <c r="P581">
        <v>2023</v>
      </c>
      <c r="Q581" t="s">
        <v>3646</v>
      </c>
      <c r="R581">
        <v>14.1835</v>
      </c>
      <c r="S581">
        <v>-0.101526421546163</v>
      </c>
      <c r="T581" t="s">
        <v>3634</v>
      </c>
      <c r="U581" t="s">
        <v>3636</v>
      </c>
    </row>
    <row r="582" spans="1:21" x14ac:dyDescent="0.25">
      <c r="A582" t="s">
        <v>1210</v>
      </c>
      <c r="B582" s="1">
        <v>45255</v>
      </c>
      <c r="C582" t="s">
        <v>1211</v>
      </c>
      <c r="D582" t="s">
        <v>49</v>
      </c>
      <c r="E582" t="s">
        <v>37</v>
      </c>
      <c r="F582" t="s">
        <v>26</v>
      </c>
      <c r="G582" t="s">
        <v>20</v>
      </c>
      <c r="H582" t="s">
        <v>264</v>
      </c>
      <c r="I582">
        <v>2</v>
      </c>
      <c r="J582">
        <v>29.09</v>
      </c>
      <c r="K582">
        <v>5</v>
      </c>
      <c r="L582">
        <v>55.27</v>
      </c>
      <c r="M582">
        <v>9.82</v>
      </c>
      <c r="N582">
        <v>13.45</v>
      </c>
      <c r="O582" t="s">
        <v>34</v>
      </c>
      <c r="P582">
        <v>2023</v>
      </c>
      <c r="Q582" t="s">
        <v>3646</v>
      </c>
      <c r="R582">
        <v>52.506500000000003</v>
      </c>
      <c r="S582">
        <v>0.25615876129622001</v>
      </c>
      <c r="T582" t="s">
        <v>3634</v>
      </c>
      <c r="U582" t="s">
        <v>3633</v>
      </c>
    </row>
    <row r="583" spans="1:21" x14ac:dyDescent="0.25">
      <c r="A583" t="s">
        <v>1212</v>
      </c>
      <c r="B583" s="1">
        <v>45255</v>
      </c>
      <c r="C583" t="s">
        <v>1213</v>
      </c>
      <c r="D583" t="s">
        <v>17</v>
      </c>
      <c r="E583" t="s">
        <v>31</v>
      </c>
      <c r="F583" t="s">
        <v>19</v>
      </c>
      <c r="G583" t="s">
        <v>20</v>
      </c>
      <c r="H583" t="s">
        <v>170</v>
      </c>
      <c r="I583">
        <v>6</v>
      </c>
      <c r="J583">
        <v>40.22</v>
      </c>
      <c r="K583">
        <v>10</v>
      </c>
      <c r="L583">
        <v>217.19</v>
      </c>
      <c r="M583">
        <v>13.45</v>
      </c>
      <c r="N583">
        <v>71.010000000000005</v>
      </c>
      <c r="O583" t="s">
        <v>56</v>
      </c>
      <c r="P583">
        <v>2023</v>
      </c>
      <c r="Q583" t="s">
        <v>3646</v>
      </c>
      <c r="R583">
        <v>195.471</v>
      </c>
      <c r="S583">
        <v>0.36327639394078898</v>
      </c>
      <c r="T583" t="s">
        <v>3632</v>
      </c>
      <c r="U583" t="s">
        <v>3633</v>
      </c>
    </row>
    <row r="584" spans="1:21" x14ac:dyDescent="0.25">
      <c r="A584" t="s">
        <v>1214</v>
      </c>
      <c r="B584" s="1">
        <v>45255</v>
      </c>
      <c r="C584" t="s">
        <v>1215</v>
      </c>
      <c r="D584" t="s">
        <v>30</v>
      </c>
      <c r="E584" t="s">
        <v>76</v>
      </c>
      <c r="F584" t="s">
        <v>26</v>
      </c>
      <c r="G584" t="s">
        <v>32</v>
      </c>
      <c r="H584" t="s">
        <v>82</v>
      </c>
      <c r="I584">
        <v>2</v>
      </c>
      <c r="J584">
        <v>9.1300000000000008</v>
      </c>
      <c r="K584">
        <v>10</v>
      </c>
      <c r="L584">
        <v>16.43</v>
      </c>
      <c r="M584">
        <v>10.19</v>
      </c>
      <c r="N584">
        <v>-1.98</v>
      </c>
      <c r="O584" t="s">
        <v>34</v>
      </c>
      <c r="P584">
        <v>2023</v>
      </c>
      <c r="Q584" t="s">
        <v>3646</v>
      </c>
      <c r="R584">
        <v>14.787000000000001</v>
      </c>
      <c r="S584">
        <v>-0.13390139987827099</v>
      </c>
      <c r="T584" t="s">
        <v>3634</v>
      </c>
      <c r="U584" t="s">
        <v>3636</v>
      </c>
    </row>
    <row r="585" spans="1:21" x14ac:dyDescent="0.25">
      <c r="A585" t="s">
        <v>1216</v>
      </c>
      <c r="B585" s="1">
        <v>45255</v>
      </c>
      <c r="C585" t="s">
        <v>1217</v>
      </c>
      <c r="D585" t="s">
        <v>17</v>
      </c>
      <c r="E585" t="s">
        <v>37</v>
      </c>
      <c r="F585" t="s">
        <v>26</v>
      </c>
      <c r="G585" t="s">
        <v>32</v>
      </c>
      <c r="H585" t="s">
        <v>115</v>
      </c>
      <c r="I585">
        <v>1</v>
      </c>
      <c r="J585">
        <v>15.28</v>
      </c>
      <c r="K585">
        <v>10</v>
      </c>
      <c r="L585">
        <v>13.75</v>
      </c>
      <c r="M585">
        <v>9.42</v>
      </c>
      <c r="N585">
        <v>-2.5499999999999998</v>
      </c>
      <c r="O585" t="s">
        <v>56</v>
      </c>
      <c r="P585">
        <v>2023</v>
      </c>
      <c r="Q585" t="s">
        <v>3646</v>
      </c>
      <c r="R585">
        <v>12.375</v>
      </c>
      <c r="S585">
        <v>-0.206060606060606</v>
      </c>
      <c r="T585" t="s">
        <v>3634</v>
      </c>
      <c r="U585" t="s">
        <v>3636</v>
      </c>
    </row>
    <row r="586" spans="1:21" x14ac:dyDescent="0.25">
      <c r="A586" t="s">
        <v>1218</v>
      </c>
      <c r="B586" s="1">
        <v>45256</v>
      </c>
      <c r="C586" t="s">
        <v>1219</v>
      </c>
      <c r="D586" t="s">
        <v>30</v>
      </c>
      <c r="E586" t="s">
        <v>31</v>
      </c>
      <c r="F586" t="s">
        <v>19</v>
      </c>
      <c r="G586" t="s">
        <v>42</v>
      </c>
      <c r="H586" t="s">
        <v>64</v>
      </c>
      <c r="I586">
        <v>6</v>
      </c>
      <c r="J586">
        <v>90.7</v>
      </c>
      <c r="K586">
        <v>20</v>
      </c>
      <c r="L586">
        <v>435.36</v>
      </c>
      <c r="M586">
        <v>10.26</v>
      </c>
      <c r="N586">
        <v>98.58</v>
      </c>
      <c r="O586" t="s">
        <v>39</v>
      </c>
      <c r="P586">
        <v>2023</v>
      </c>
      <c r="Q586" t="s">
        <v>3646</v>
      </c>
      <c r="R586">
        <v>348.28800000000001</v>
      </c>
      <c r="S586">
        <v>0.28304162072767403</v>
      </c>
      <c r="T586" t="s">
        <v>3632</v>
      </c>
      <c r="U586" t="s">
        <v>3633</v>
      </c>
    </row>
    <row r="587" spans="1:21" x14ac:dyDescent="0.25">
      <c r="A587" t="s">
        <v>1220</v>
      </c>
      <c r="B587" s="1">
        <v>45256</v>
      </c>
      <c r="C587" t="s">
        <v>1221</v>
      </c>
      <c r="D587" t="s">
        <v>30</v>
      </c>
      <c r="E587" t="s">
        <v>67</v>
      </c>
      <c r="F587" t="s">
        <v>68</v>
      </c>
      <c r="G587" t="s">
        <v>20</v>
      </c>
      <c r="H587" t="s">
        <v>264</v>
      </c>
      <c r="I587">
        <v>5</v>
      </c>
      <c r="J587">
        <v>24.47</v>
      </c>
      <c r="K587">
        <v>0</v>
      </c>
      <c r="L587">
        <v>122.35</v>
      </c>
      <c r="M587">
        <v>17.010000000000002</v>
      </c>
      <c r="N587">
        <v>38.049999999999997</v>
      </c>
      <c r="O587" t="s">
        <v>34</v>
      </c>
      <c r="P587">
        <v>2023</v>
      </c>
      <c r="Q587" t="s">
        <v>3646</v>
      </c>
      <c r="R587">
        <v>122.35</v>
      </c>
      <c r="S587">
        <v>0.31099305271761302</v>
      </c>
      <c r="T587" t="s">
        <v>3632</v>
      </c>
      <c r="U587" t="s">
        <v>3633</v>
      </c>
    </row>
    <row r="588" spans="1:21" x14ac:dyDescent="0.25">
      <c r="A588" t="s">
        <v>1222</v>
      </c>
      <c r="B588" s="1">
        <v>45257</v>
      </c>
      <c r="C588" t="s">
        <v>1223</v>
      </c>
      <c r="D588" t="s">
        <v>30</v>
      </c>
      <c r="E588" t="s">
        <v>18</v>
      </c>
      <c r="F588" t="s">
        <v>19</v>
      </c>
      <c r="G588" t="s">
        <v>69</v>
      </c>
      <c r="H588" t="s">
        <v>163</v>
      </c>
      <c r="I588">
        <v>1</v>
      </c>
      <c r="J588">
        <v>45.68</v>
      </c>
      <c r="K588">
        <v>10</v>
      </c>
      <c r="L588">
        <v>41.11</v>
      </c>
      <c r="M588">
        <v>5.64</v>
      </c>
      <c r="N588">
        <v>12.63</v>
      </c>
      <c r="O588" t="s">
        <v>56</v>
      </c>
      <c r="P588">
        <v>2023</v>
      </c>
      <c r="Q588" t="s">
        <v>3646</v>
      </c>
      <c r="R588">
        <v>36.999000000000002</v>
      </c>
      <c r="S588">
        <v>0.34136057731289998</v>
      </c>
      <c r="T588" t="s">
        <v>3634</v>
      </c>
      <c r="U588" t="s">
        <v>3633</v>
      </c>
    </row>
    <row r="589" spans="1:21" x14ac:dyDescent="0.25">
      <c r="A589" t="s">
        <v>1224</v>
      </c>
      <c r="B589" s="1">
        <v>45258</v>
      </c>
      <c r="C589" t="s">
        <v>1225</v>
      </c>
      <c r="D589" t="s">
        <v>30</v>
      </c>
      <c r="E589" t="s">
        <v>59</v>
      </c>
      <c r="F589" t="s">
        <v>60</v>
      </c>
      <c r="G589" t="s">
        <v>32</v>
      </c>
      <c r="H589" t="s">
        <v>50</v>
      </c>
      <c r="I589">
        <v>2</v>
      </c>
      <c r="J589">
        <v>9.14</v>
      </c>
      <c r="K589">
        <v>0</v>
      </c>
      <c r="L589">
        <v>18.28</v>
      </c>
      <c r="M589">
        <v>11.84</v>
      </c>
      <c r="N589">
        <v>-1.79</v>
      </c>
      <c r="O589" t="s">
        <v>56</v>
      </c>
      <c r="P589">
        <v>2023</v>
      </c>
      <c r="Q589" t="s">
        <v>3646</v>
      </c>
      <c r="R589">
        <v>18.28</v>
      </c>
      <c r="S589">
        <v>-9.79212253829322E-2</v>
      </c>
      <c r="T589" t="s">
        <v>3634</v>
      </c>
      <c r="U589" t="s">
        <v>3636</v>
      </c>
    </row>
    <row r="590" spans="1:21" x14ac:dyDescent="0.25">
      <c r="A590" t="s">
        <v>1226</v>
      </c>
      <c r="B590" s="1">
        <v>45258</v>
      </c>
      <c r="C590" t="s">
        <v>1227</v>
      </c>
      <c r="D590" t="s">
        <v>17</v>
      </c>
      <c r="E590" t="s">
        <v>67</v>
      </c>
      <c r="F590" t="s">
        <v>68</v>
      </c>
      <c r="G590" t="s">
        <v>69</v>
      </c>
      <c r="H590" t="s">
        <v>79</v>
      </c>
      <c r="I590">
        <v>5</v>
      </c>
      <c r="J590">
        <v>43.67</v>
      </c>
      <c r="K590">
        <v>15</v>
      </c>
      <c r="L590">
        <v>185.6</v>
      </c>
      <c r="M590">
        <v>13.12</v>
      </c>
      <c r="N590">
        <v>63.3</v>
      </c>
      <c r="O590" t="s">
        <v>39</v>
      </c>
      <c r="P590">
        <v>2023</v>
      </c>
      <c r="Q590" t="s">
        <v>3646</v>
      </c>
      <c r="R590">
        <v>157.76</v>
      </c>
      <c r="S590">
        <v>0.40124239350912799</v>
      </c>
      <c r="T590" t="s">
        <v>3632</v>
      </c>
      <c r="U590" t="s">
        <v>3633</v>
      </c>
    </row>
    <row r="591" spans="1:21" x14ac:dyDescent="0.25">
      <c r="A591" t="s">
        <v>1228</v>
      </c>
      <c r="B591" s="1">
        <v>45259</v>
      </c>
      <c r="C591" t="s">
        <v>997</v>
      </c>
      <c r="D591" t="s">
        <v>30</v>
      </c>
      <c r="E591" t="s">
        <v>25</v>
      </c>
      <c r="F591" t="s">
        <v>26</v>
      </c>
      <c r="G591" t="s">
        <v>42</v>
      </c>
      <c r="H591" t="s">
        <v>371</v>
      </c>
      <c r="I591">
        <v>4</v>
      </c>
      <c r="J591">
        <v>182.4</v>
      </c>
      <c r="K591">
        <v>10</v>
      </c>
      <c r="L591">
        <v>656.64</v>
      </c>
      <c r="M591">
        <v>9.07</v>
      </c>
      <c r="N591">
        <v>209.81</v>
      </c>
      <c r="O591" t="s">
        <v>39</v>
      </c>
      <c r="P591">
        <v>2023</v>
      </c>
      <c r="Q591" t="s">
        <v>3646</v>
      </c>
      <c r="R591">
        <v>590.976</v>
      </c>
      <c r="S591">
        <v>0.355022877409573</v>
      </c>
      <c r="T591" t="s">
        <v>3635</v>
      </c>
      <c r="U591" t="s">
        <v>3633</v>
      </c>
    </row>
    <row r="592" spans="1:21" x14ac:dyDescent="0.25">
      <c r="A592" t="s">
        <v>1229</v>
      </c>
      <c r="B592" s="1">
        <v>45259</v>
      </c>
      <c r="C592" t="s">
        <v>1181</v>
      </c>
      <c r="D592" t="s">
        <v>17</v>
      </c>
      <c r="E592" t="s">
        <v>166</v>
      </c>
      <c r="F592" t="s">
        <v>60</v>
      </c>
      <c r="G592" t="s">
        <v>32</v>
      </c>
      <c r="H592" t="s">
        <v>101</v>
      </c>
      <c r="I592">
        <v>3</v>
      </c>
      <c r="J592">
        <v>9.44</v>
      </c>
      <c r="K592">
        <v>10</v>
      </c>
      <c r="L592">
        <v>25.49</v>
      </c>
      <c r="M592">
        <v>16.13</v>
      </c>
      <c r="N592">
        <v>-3.38</v>
      </c>
      <c r="O592" t="s">
        <v>34</v>
      </c>
      <c r="P592">
        <v>2023</v>
      </c>
      <c r="Q592" t="s">
        <v>3646</v>
      </c>
      <c r="R592">
        <v>22.940999999999999</v>
      </c>
      <c r="S592">
        <v>-0.147334466675385</v>
      </c>
      <c r="T592" t="s">
        <v>3634</v>
      </c>
      <c r="U592" t="s">
        <v>3636</v>
      </c>
    </row>
    <row r="593" spans="1:21" x14ac:dyDescent="0.25">
      <c r="A593" t="s">
        <v>1230</v>
      </c>
      <c r="B593" s="1">
        <v>45260</v>
      </c>
      <c r="C593" t="s">
        <v>1231</v>
      </c>
      <c r="D593" t="s">
        <v>30</v>
      </c>
      <c r="E593" t="s">
        <v>169</v>
      </c>
      <c r="F593" t="s">
        <v>68</v>
      </c>
      <c r="G593" t="s">
        <v>32</v>
      </c>
      <c r="H593" t="s">
        <v>50</v>
      </c>
      <c r="I593">
        <v>1</v>
      </c>
      <c r="J593">
        <v>8.8000000000000007</v>
      </c>
      <c r="K593">
        <v>10</v>
      </c>
      <c r="L593">
        <v>7.92</v>
      </c>
      <c r="M593">
        <v>11.94</v>
      </c>
      <c r="N593">
        <v>-7.98</v>
      </c>
      <c r="O593" t="s">
        <v>56</v>
      </c>
      <c r="P593">
        <v>2023</v>
      </c>
      <c r="Q593" t="s">
        <v>3646</v>
      </c>
      <c r="R593">
        <v>7.1280000000000001</v>
      </c>
      <c r="S593">
        <v>-1.11952861952862</v>
      </c>
      <c r="T593" t="s">
        <v>3634</v>
      </c>
      <c r="U593" t="s">
        <v>3636</v>
      </c>
    </row>
    <row r="594" spans="1:21" x14ac:dyDescent="0.25">
      <c r="A594" t="s">
        <v>1232</v>
      </c>
      <c r="B594" s="1">
        <v>45261</v>
      </c>
      <c r="C594" t="s">
        <v>1233</v>
      </c>
      <c r="D594" t="s">
        <v>30</v>
      </c>
      <c r="E594" t="s">
        <v>166</v>
      </c>
      <c r="F594" t="s">
        <v>60</v>
      </c>
      <c r="G594" t="s">
        <v>20</v>
      </c>
      <c r="H594" t="s">
        <v>38</v>
      </c>
      <c r="I594">
        <v>8</v>
      </c>
      <c r="J594">
        <v>55.17</v>
      </c>
      <c r="K594">
        <v>5</v>
      </c>
      <c r="L594">
        <v>419.29</v>
      </c>
      <c r="M594">
        <v>17.64</v>
      </c>
      <c r="N594">
        <v>158.9</v>
      </c>
      <c r="O594" t="s">
        <v>39</v>
      </c>
      <c r="P594">
        <v>2023</v>
      </c>
      <c r="Q594" t="s">
        <v>3647</v>
      </c>
      <c r="R594">
        <v>398.32549999999998</v>
      </c>
      <c r="S594">
        <v>0.39891997876108898</v>
      </c>
      <c r="T594" t="s">
        <v>3632</v>
      </c>
      <c r="U594" t="s">
        <v>3633</v>
      </c>
    </row>
    <row r="595" spans="1:21" x14ac:dyDescent="0.25">
      <c r="A595" t="s">
        <v>1234</v>
      </c>
      <c r="B595" s="1">
        <v>45261</v>
      </c>
      <c r="C595" t="s">
        <v>1235</v>
      </c>
      <c r="D595" t="s">
        <v>17</v>
      </c>
      <c r="E595" t="s">
        <v>31</v>
      </c>
      <c r="F595" t="s">
        <v>19</v>
      </c>
      <c r="G595" t="s">
        <v>42</v>
      </c>
      <c r="H595" t="s">
        <v>43</v>
      </c>
      <c r="I595">
        <v>4</v>
      </c>
      <c r="J595">
        <v>336.19</v>
      </c>
      <c r="K595">
        <v>25</v>
      </c>
      <c r="L595">
        <v>1008.57</v>
      </c>
      <c r="M595">
        <v>8.15</v>
      </c>
      <c r="N595">
        <v>193.56</v>
      </c>
      <c r="O595" t="s">
        <v>34</v>
      </c>
      <c r="P595">
        <v>2023</v>
      </c>
      <c r="Q595" t="s">
        <v>3647</v>
      </c>
      <c r="R595">
        <v>756.42750000000001</v>
      </c>
      <c r="S595">
        <v>0.25588704799865197</v>
      </c>
      <c r="T595" t="s">
        <v>3635</v>
      </c>
      <c r="U595" t="s">
        <v>3633</v>
      </c>
    </row>
    <row r="596" spans="1:21" x14ac:dyDescent="0.25">
      <c r="A596" t="s">
        <v>1236</v>
      </c>
      <c r="B596" s="1">
        <v>45262</v>
      </c>
      <c r="C596" t="s">
        <v>1237</v>
      </c>
      <c r="D596" t="s">
        <v>17</v>
      </c>
      <c r="E596" t="s">
        <v>85</v>
      </c>
      <c r="F596" t="s">
        <v>60</v>
      </c>
      <c r="G596" t="s">
        <v>69</v>
      </c>
      <c r="H596" t="s">
        <v>163</v>
      </c>
      <c r="I596">
        <v>8</v>
      </c>
      <c r="J596">
        <v>48.93</v>
      </c>
      <c r="K596">
        <v>10</v>
      </c>
      <c r="L596">
        <v>352.3</v>
      </c>
      <c r="M596">
        <v>27.53</v>
      </c>
      <c r="N596">
        <v>129.05000000000001</v>
      </c>
      <c r="O596" t="s">
        <v>34</v>
      </c>
      <c r="P596">
        <v>2023</v>
      </c>
      <c r="Q596" t="s">
        <v>3647</v>
      </c>
      <c r="R596">
        <v>317.07</v>
      </c>
      <c r="S596">
        <v>0.40700791623300803</v>
      </c>
      <c r="T596" t="s">
        <v>3632</v>
      </c>
      <c r="U596" t="s">
        <v>3633</v>
      </c>
    </row>
    <row r="597" spans="1:21" x14ac:dyDescent="0.25">
      <c r="A597" t="s">
        <v>1238</v>
      </c>
      <c r="B597" s="1">
        <v>45262</v>
      </c>
      <c r="C597" t="s">
        <v>1239</v>
      </c>
      <c r="D597" t="s">
        <v>49</v>
      </c>
      <c r="E597" t="s">
        <v>129</v>
      </c>
      <c r="F597" t="s">
        <v>19</v>
      </c>
      <c r="G597" t="s">
        <v>42</v>
      </c>
      <c r="H597" t="s">
        <v>46</v>
      </c>
      <c r="I597">
        <v>6</v>
      </c>
      <c r="J597">
        <v>191.06</v>
      </c>
      <c r="K597">
        <v>20</v>
      </c>
      <c r="L597">
        <v>917.09</v>
      </c>
      <c r="M597">
        <v>19.84</v>
      </c>
      <c r="N597">
        <v>209.43</v>
      </c>
      <c r="O597" t="s">
        <v>34</v>
      </c>
      <c r="P597">
        <v>2023</v>
      </c>
      <c r="Q597" t="s">
        <v>3647</v>
      </c>
      <c r="R597">
        <v>733.67200000000003</v>
      </c>
      <c r="S597">
        <v>0.28545453554176797</v>
      </c>
      <c r="T597" t="s">
        <v>3635</v>
      </c>
      <c r="U597" t="s">
        <v>3633</v>
      </c>
    </row>
    <row r="598" spans="1:21" x14ac:dyDescent="0.25">
      <c r="A598" t="s">
        <v>1240</v>
      </c>
      <c r="B598" s="1">
        <v>45263</v>
      </c>
      <c r="C598" t="s">
        <v>1241</v>
      </c>
      <c r="D598" t="s">
        <v>17</v>
      </c>
      <c r="E598" t="s">
        <v>85</v>
      </c>
      <c r="F598" t="s">
        <v>60</v>
      </c>
      <c r="G598" t="s">
        <v>42</v>
      </c>
      <c r="H598" t="s">
        <v>294</v>
      </c>
      <c r="I598">
        <v>4</v>
      </c>
      <c r="J598">
        <v>112.46</v>
      </c>
      <c r="K598">
        <v>5</v>
      </c>
      <c r="L598">
        <v>427.35</v>
      </c>
      <c r="M598">
        <v>18.440000000000001</v>
      </c>
      <c r="N598">
        <v>139.01</v>
      </c>
      <c r="O598" t="s">
        <v>34</v>
      </c>
      <c r="P598">
        <v>2023</v>
      </c>
      <c r="Q598" t="s">
        <v>3647</v>
      </c>
      <c r="R598">
        <v>405.98250000000002</v>
      </c>
      <c r="S598">
        <v>0.34240392135129</v>
      </c>
      <c r="T598" t="s">
        <v>3632</v>
      </c>
      <c r="U598" t="s">
        <v>3633</v>
      </c>
    </row>
    <row r="599" spans="1:21" x14ac:dyDescent="0.25">
      <c r="A599" t="s">
        <v>1242</v>
      </c>
      <c r="B599" s="1">
        <v>45263</v>
      </c>
      <c r="C599" t="s">
        <v>1190</v>
      </c>
      <c r="D599" t="s">
        <v>49</v>
      </c>
      <c r="E599" t="s">
        <v>92</v>
      </c>
      <c r="F599" t="s">
        <v>60</v>
      </c>
      <c r="G599" t="s">
        <v>69</v>
      </c>
      <c r="H599" t="s">
        <v>160</v>
      </c>
      <c r="I599">
        <v>2</v>
      </c>
      <c r="J599">
        <v>16.62</v>
      </c>
      <c r="K599">
        <v>5</v>
      </c>
      <c r="L599">
        <v>31.58</v>
      </c>
      <c r="M599">
        <v>12.84</v>
      </c>
      <c r="N599">
        <v>2.12</v>
      </c>
      <c r="O599" t="s">
        <v>39</v>
      </c>
      <c r="P599">
        <v>2023</v>
      </c>
      <c r="Q599" t="s">
        <v>3647</v>
      </c>
      <c r="R599">
        <v>30.001000000000001</v>
      </c>
      <c r="S599">
        <v>7.0664311189627002E-2</v>
      </c>
      <c r="T599" t="s">
        <v>3634</v>
      </c>
      <c r="U599" t="s">
        <v>3633</v>
      </c>
    </row>
    <row r="600" spans="1:21" x14ac:dyDescent="0.25">
      <c r="A600" t="s">
        <v>1243</v>
      </c>
      <c r="B600" s="1">
        <v>45263</v>
      </c>
      <c r="C600" t="s">
        <v>1244</v>
      </c>
      <c r="D600" t="s">
        <v>49</v>
      </c>
      <c r="E600" t="s">
        <v>76</v>
      </c>
      <c r="F600" t="s">
        <v>26</v>
      </c>
      <c r="G600" t="s">
        <v>42</v>
      </c>
      <c r="H600" t="s">
        <v>234</v>
      </c>
      <c r="I600">
        <v>4</v>
      </c>
      <c r="J600">
        <v>42.01</v>
      </c>
      <c r="K600">
        <v>5</v>
      </c>
      <c r="L600">
        <v>159.63999999999999</v>
      </c>
      <c r="M600">
        <v>12.21</v>
      </c>
      <c r="N600">
        <v>46.61</v>
      </c>
      <c r="O600" t="s">
        <v>39</v>
      </c>
      <c r="P600">
        <v>2023</v>
      </c>
      <c r="Q600" t="s">
        <v>3647</v>
      </c>
      <c r="R600">
        <v>151.65799999999999</v>
      </c>
      <c r="S600">
        <v>0.30733624338973198</v>
      </c>
      <c r="T600" t="s">
        <v>3632</v>
      </c>
      <c r="U600" t="s">
        <v>3633</v>
      </c>
    </row>
    <row r="601" spans="1:21" x14ac:dyDescent="0.25">
      <c r="A601" t="s">
        <v>1245</v>
      </c>
      <c r="B601" s="1">
        <v>45263</v>
      </c>
      <c r="C601" t="s">
        <v>1246</v>
      </c>
      <c r="D601" t="s">
        <v>30</v>
      </c>
      <c r="E601" t="s">
        <v>31</v>
      </c>
      <c r="F601" t="s">
        <v>19</v>
      </c>
      <c r="G601" t="s">
        <v>42</v>
      </c>
      <c r="H601" t="s">
        <v>234</v>
      </c>
      <c r="I601">
        <v>2</v>
      </c>
      <c r="J601">
        <v>43.95</v>
      </c>
      <c r="K601">
        <v>20</v>
      </c>
      <c r="L601">
        <v>70.319999999999993</v>
      </c>
      <c r="M601">
        <v>6.77</v>
      </c>
      <c r="N601">
        <v>10.81</v>
      </c>
      <c r="O601" t="s">
        <v>34</v>
      </c>
      <c r="P601">
        <v>2023</v>
      </c>
      <c r="Q601" t="s">
        <v>3647</v>
      </c>
      <c r="R601">
        <v>56.256</v>
      </c>
      <c r="S601">
        <v>0.19215728100113799</v>
      </c>
      <c r="T601" t="s">
        <v>3634</v>
      </c>
      <c r="U601" t="s">
        <v>3633</v>
      </c>
    </row>
    <row r="602" spans="1:21" x14ac:dyDescent="0.25">
      <c r="A602" t="s">
        <v>1247</v>
      </c>
      <c r="B602" s="1">
        <v>45263</v>
      </c>
      <c r="C602" t="s">
        <v>1248</v>
      </c>
      <c r="D602" t="s">
        <v>49</v>
      </c>
      <c r="E602" t="s">
        <v>129</v>
      </c>
      <c r="F602" t="s">
        <v>19</v>
      </c>
      <c r="G602" t="s">
        <v>42</v>
      </c>
      <c r="H602" t="s">
        <v>93</v>
      </c>
      <c r="I602">
        <v>5</v>
      </c>
      <c r="J602">
        <v>233.71</v>
      </c>
      <c r="K602">
        <v>0</v>
      </c>
      <c r="L602">
        <v>1168.55</v>
      </c>
      <c r="M602">
        <v>8.94</v>
      </c>
      <c r="N602">
        <v>458.48</v>
      </c>
      <c r="O602" t="s">
        <v>56</v>
      </c>
      <c r="P602">
        <v>2023</v>
      </c>
      <c r="Q602" t="s">
        <v>3647</v>
      </c>
      <c r="R602">
        <v>1168.55</v>
      </c>
      <c r="S602">
        <v>0.39234949296136201</v>
      </c>
      <c r="T602" t="s">
        <v>3635</v>
      </c>
      <c r="U602" t="s">
        <v>3633</v>
      </c>
    </row>
    <row r="603" spans="1:21" x14ac:dyDescent="0.25">
      <c r="A603" t="s">
        <v>1249</v>
      </c>
      <c r="B603" s="1">
        <v>45264</v>
      </c>
      <c r="C603" t="s">
        <v>1250</v>
      </c>
      <c r="D603" t="s">
        <v>30</v>
      </c>
      <c r="E603" t="s">
        <v>85</v>
      </c>
      <c r="F603" t="s">
        <v>60</v>
      </c>
      <c r="G603" t="s">
        <v>42</v>
      </c>
      <c r="H603" t="s">
        <v>118</v>
      </c>
      <c r="I603">
        <v>2</v>
      </c>
      <c r="J603">
        <v>55.94</v>
      </c>
      <c r="K603">
        <v>0</v>
      </c>
      <c r="L603">
        <v>111.88</v>
      </c>
      <c r="M603">
        <v>10.95</v>
      </c>
      <c r="N603">
        <v>33.799999999999997</v>
      </c>
      <c r="O603" t="s">
        <v>56</v>
      </c>
      <c r="P603">
        <v>2023</v>
      </c>
      <c r="Q603" t="s">
        <v>3647</v>
      </c>
      <c r="R603">
        <v>111.88</v>
      </c>
      <c r="S603">
        <v>0.30210940293171201</v>
      </c>
      <c r="T603" t="s">
        <v>3632</v>
      </c>
      <c r="U603" t="s">
        <v>3633</v>
      </c>
    </row>
    <row r="604" spans="1:21" x14ac:dyDescent="0.25">
      <c r="A604" t="s">
        <v>1251</v>
      </c>
      <c r="B604" s="1">
        <v>45265</v>
      </c>
      <c r="C604" t="s">
        <v>1252</v>
      </c>
      <c r="D604" t="s">
        <v>30</v>
      </c>
      <c r="E604" t="s">
        <v>18</v>
      </c>
      <c r="F604" t="s">
        <v>19</v>
      </c>
      <c r="G604" t="s">
        <v>42</v>
      </c>
      <c r="H604" t="s">
        <v>89</v>
      </c>
      <c r="I604">
        <v>1</v>
      </c>
      <c r="J604">
        <v>263.20999999999998</v>
      </c>
      <c r="K604">
        <v>20</v>
      </c>
      <c r="L604">
        <v>210.57</v>
      </c>
      <c r="M604">
        <v>6.52</v>
      </c>
      <c r="N604">
        <v>46.12</v>
      </c>
      <c r="O604" t="s">
        <v>39</v>
      </c>
      <c r="P604">
        <v>2023</v>
      </c>
      <c r="Q604" t="s">
        <v>3647</v>
      </c>
      <c r="R604">
        <v>168.45599999999999</v>
      </c>
      <c r="S604">
        <v>0.27378069050671999</v>
      </c>
      <c r="T604" t="s">
        <v>3632</v>
      </c>
      <c r="U604" t="s">
        <v>3633</v>
      </c>
    </row>
    <row r="605" spans="1:21" x14ac:dyDescent="0.25">
      <c r="A605" t="s">
        <v>1253</v>
      </c>
      <c r="B605" s="1">
        <v>45265</v>
      </c>
      <c r="C605" t="s">
        <v>1254</v>
      </c>
      <c r="D605" t="s">
        <v>30</v>
      </c>
      <c r="E605" t="s">
        <v>85</v>
      </c>
      <c r="F605" t="s">
        <v>60</v>
      </c>
      <c r="G605" t="s">
        <v>42</v>
      </c>
      <c r="H605" t="s">
        <v>234</v>
      </c>
      <c r="I605">
        <v>2</v>
      </c>
      <c r="J605">
        <v>67.5</v>
      </c>
      <c r="K605">
        <v>0</v>
      </c>
      <c r="L605">
        <v>135</v>
      </c>
      <c r="M605">
        <v>13.37</v>
      </c>
      <c r="N605">
        <v>40.630000000000003</v>
      </c>
      <c r="O605" t="s">
        <v>34</v>
      </c>
      <c r="P605">
        <v>2023</v>
      </c>
      <c r="Q605" t="s">
        <v>3647</v>
      </c>
      <c r="R605">
        <v>135</v>
      </c>
      <c r="S605">
        <v>0.30096296296296299</v>
      </c>
      <c r="T605" t="s">
        <v>3632</v>
      </c>
      <c r="U605" t="s">
        <v>3633</v>
      </c>
    </row>
    <row r="606" spans="1:21" x14ac:dyDescent="0.25">
      <c r="A606" t="s">
        <v>1255</v>
      </c>
      <c r="B606" s="1">
        <v>45265</v>
      </c>
      <c r="C606" t="s">
        <v>1256</v>
      </c>
      <c r="D606" t="s">
        <v>30</v>
      </c>
      <c r="E606" t="s">
        <v>129</v>
      </c>
      <c r="F606" t="s">
        <v>19</v>
      </c>
      <c r="G606" t="s">
        <v>32</v>
      </c>
      <c r="H606" t="s">
        <v>50</v>
      </c>
      <c r="I606">
        <v>1</v>
      </c>
      <c r="J606">
        <v>8.8699999999999992</v>
      </c>
      <c r="K606">
        <v>0</v>
      </c>
      <c r="L606">
        <v>8.8699999999999992</v>
      </c>
      <c r="M606">
        <v>7.47</v>
      </c>
      <c r="N606">
        <v>-2.59</v>
      </c>
      <c r="O606" t="s">
        <v>39</v>
      </c>
      <c r="P606">
        <v>2023</v>
      </c>
      <c r="Q606" t="s">
        <v>3647</v>
      </c>
      <c r="R606">
        <v>8.8699999999999992</v>
      </c>
      <c r="S606">
        <v>-0.29199549041713602</v>
      </c>
      <c r="T606" t="s">
        <v>3634</v>
      </c>
      <c r="U606" t="s">
        <v>3636</v>
      </c>
    </row>
    <row r="607" spans="1:21" x14ac:dyDescent="0.25">
      <c r="A607" t="s">
        <v>1257</v>
      </c>
      <c r="B607" s="1">
        <v>45266</v>
      </c>
      <c r="C607" t="s">
        <v>1258</v>
      </c>
      <c r="D607" t="s">
        <v>30</v>
      </c>
      <c r="E607" t="s">
        <v>31</v>
      </c>
      <c r="F607" t="s">
        <v>19</v>
      </c>
      <c r="G607" t="s">
        <v>32</v>
      </c>
      <c r="H607" t="s">
        <v>50</v>
      </c>
      <c r="I607">
        <v>4</v>
      </c>
      <c r="J607">
        <v>14.98</v>
      </c>
      <c r="K607">
        <v>0</v>
      </c>
      <c r="L607">
        <v>59.92</v>
      </c>
      <c r="M607">
        <v>10.55</v>
      </c>
      <c r="N607">
        <v>22.41</v>
      </c>
      <c r="O607" t="s">
        <v>34</v>
      </c>
      <c r="P607">
        <v>2023</v>
      </c>
      <c r="Q607" t="s">
        <v>3647</v>
      </c>
      <c r="R607">
        <v>59.92</v>
      </c>
      <c r="S607">
        <v>0.37399866488651501</v>
      </c>
      <c r="T607" t="s">
        <v>3634</v>
      </c>
      <c r="U607" t="s">
        <v>3633</v>
      </c>
    </row>
    <row r="608" spans="1:21" x14ac:dyDescent="0.25">
      <c r="A608" t="s">
        <v>1259</v>
      </c>
      <c r="B608" s="1">
        <v>45266</v>
      </c>
      <c r="C608" t="s">
        <v>1260</v>
      </c>
      <c r="D608" t="s">
        <v>30</v>
      </c>
      <c r="E608" t="s">
        <v>31</v>
      </c>
      <c r="F608" t="s">
        <v>19</v>
      </c>
      <c r="G608" t="s">
        <v>20</v>
      </c>
      <c r="H608" t="s">
        <v>55</v>
      </c>
      <c r="I608">
        <v>4</v>
      </c>
      <c r="J608">
        <v>33.03</v>
      </c>
      <c r="K608">
        <v>0</v>
      </c>
      <c r="L608">
        <v>132.12</v>
      </c>
      <c r="M608">
        <v>7.2</v>
      </c>
      <c r="N608">
        <v>52.25</v>
      </c>
      <c r="O608" t="s">
        <v>34</v>
      </c>
      <c r="P608">
        <v>2023</v>
      </c>
      <c r="Q608" t="s">
        <v>3647</v>
      </c>
      <c r="R608">
        <v>132.12</v>
      </c>
      <c r="S608">
        <v>0.39547381168634599</v>
      </c>
      <c r="T608" t="s">
        <v>3632</v>
      </c>
      <c r="U608" t="s">
        <v>3633</v>
      </c>
    </row>
    <row r="609" spans="1:21" x14ac:dyDescent="0.25">
      <c r="A609" t="s">
        <v>1261</v>
      </c>
      <c r="B609" s="1">
        <v>45266</v>
      </c>
      <c r="C609" t="s">
        <v>1262</v>
      </c>
      <c r="D609" t="s">
        <v>30</v>
      </c>
      <c r="E609" t="s">
        <v>109</v>
      </c>
      <c r="F609" t="s">
        <v>54</v>
      </c>
      <c r="G609" t="s">
        <v>42</v>
      </c>
      <c r="H609" t="s">
        <v>234</v>
      </c>
      <c r="I609">
        <v>3</v>
      </c>
      <c r="J609">
        <v>66.28</v>
      </c>
      <c r="K609">
        <v>0</v>
      </c>
      <c r="L609">
        <v>198.84</v>
      </c>
      <c r="M609">
        <v>16.2</v>
      </c>
      <c r="N609">
        <v>63.34</v>
      </c>
      <c r="O609" t="s">
        <v>39</v>
      </c>
      <c r="P609">
        <v>2023</v>
      </c>
      <c r="Q609" t="s">
        <v>3647</v>
      </c>
      <c r="R609">
        <v>198.84</v>
      </c>
      <c r="S609">
        <v>0.31854757594045502</v>
      </c>
      <c r="T609" t="s">
        <v>3632</v>
      </c>
      <c r="U609" t="s">
        <v>3633</v>
      </c>
    </row>
    <row r="610" spans="1:21" x14ac:dyDescent="0.25">
      <c r="A610" t="s">
        <v>1263</v>
      </c>
      <c r="B610" s="1">
        <v>45266</v>
      </c>
      <c r="C610" t="s">
        <v>1264</v>
      </c>
      <c r="D610" t="s">
        <v>17</v>
      </c>
      <c r="E610" t="s">
        <v>166</v>
      </c>
      <c r="F610" t="s">
        <v>60</v>
      </c>
      <c r="G610" t="s">
        <v>42</v>
      </c>
      <c r="H610" t="s">
        <v>89</v>
      </c>
      <c r="I610">
        <v>3</v>
      </c>
      <c r="J610">
        <v>216.54</v>
      </c>
      <c r="K610">
        <v>0</v>
      </c>
      <c r="L610">
        <v>649.62</v>
      </c>
      <c r="M610">
        <v>16.39</v>
      </c>
      <c r="N610">
        <v>243.46</v>
      </c>
      <c r="O610" t="s">
        <v>34</v>
      </c>
      <c r="P610">
        <v>2023</v>
      </c>
      <c r="Q610" t="s">
        <v>3647</v>
      </c>
      <c r="R610">
        <v>649.62</v>
      </c>
      <c r="S610">
        <v>0.37477294418275298</v>
      </c>
      <c r="T610" t="s">
        <v>3635</v>
      </c>
      <c r="U610" t="s">
        <v>3633</v>
      </c>
    </row>
    <row r="611" spans="1:21" x14ac:dyDescent="0.25">
      <c r="A611" t="s">
        <v>1265</v>
      </c>
      <c r="B611" s="1">
        <v>45267</v>
      </c>
      <c r="C611" t="s">
        <v>1266</v>
      </c>
      <c r="D611" t="s">
        <v>17</v>
      </c>
      <c r="E611" t="s">
        <v>166</v>
      </c>
      <c r="F611" t="s">
        <v>60</v>
      </c>
      <c r="G611" t="s">
        <v>32</v>
      </c>
      <c r="H611" t="s">
        <v>50</v>
      </c>
      <c r="I611">
        <v>4</v>
      </c>
      <c r="J611">
        <v>17.57</v>
      </c>
      <c r="K611">
        <v>15</v>
      </c>
      <c r="L611">
        <v>59.74</v>
      </c>
      <c r="M611">
        <v>18.73</v>
      </c>
      <c r="N611">
        <v>9.3800000000000008</v>
      </c>
      <c r="O611" t="s">
        <v>34</v>
      </c>
      <c r="P611">
        <v>2023</v>
      </c>
      <c r="Q611" t="s">
        <v>3647</v>
      </c>
      <c r="R611">
        <v>50.779000000000003</v>
      </c>
      <c r="S611">
        <v>0.184722030760748</v>
      </c>
      <c r="T611" t="s">
        <v>3634</v>
      </c>
      <c r="U611" t="s">
        <v>3633</v>
      </c>
    </row>
    <row r="612" spans="1:21" x14ac:dyDescent="0.25">
      <c r="A612" t="s">
        <v>1267</v>
      </c>
      <c r="B612" s="1">
        <v>45267</v>
      </c>
      <c r="C612" t="s">
        <v>1268</v>
      </c>
      <c r="D612" t="s">
        <v>17</v>
      </c>
      <c r="E612" t="s">
        <v>166</v>
      </c>
      <c r="F612" t="s">
        <v>60</v>
      </c>
      <c r="G612" t="s">
        <v>69</v>
      </c>
      <c r="H612" t="s">
        <v>79</v>
      </c>
      <c r="I612">
        <v>2</v>
      </c>
      <c r="J612">
        <v>68.14</v>
      </c>
      <c r="K612">
        <v>25</v>
      </c>
      <c r="L612">
        <v>102.21</v>
      </c>
      <c r="M612">
        <v>10.95</v>
      </c>
      <c r="N612">
        <v>23.12</v>
      </c>
      <c r="O612" t="s">
        <v>34</v>
      </c>
      <c r="P612">
        <v>2023</v>
      </c>
      <c r="Q612" t="s">
        <v>3647</v>
      </c>
      <c r="R612">
        <v>76.657499999999999</v>
      </c>
      <c r="S612">
        <v>0.30160127841372297</v>
      </c>
      <c r="T612" t="s">
        <v>3632</v>
      </c>
      <c r="U612" t="s">
        <v>3633</v>
      </c>
    </row>
    <row r="613" spans="1:21" x14ac:dyDescent="0.25">
      <c r="A613" t="s">
        <v>1269</v>
      </c>
      <c r="B613" s="1">
        <v>45267</v>
      </c>
      <c r="C613" t="s">
        <v>1270</v>
      </c>
      <c r="D613" t="s">
        <v>30</v>
      </c>
      <c r="E613" t="s">
        <v>129</v>
      </c>
      <c r="F613" t="s">
        <v>19</v>
      </c>
      <c r="G613" t="s">
        <v>32</v>
      </c>
      <c r="H613" t="s">
        <v>348</v>
      </c>
      <c r="I613">
        <v>1</v>
      </c>
      <c r="J613">
        <v>9.23</v>
      </c>
      <c r="K613">
        <v>0</v>
      </c>
      <c r="L613">
        <v>9.23</v>
      </c>
      <c r="M613">
        <v>6.44</v>
      </c>
      <c r="N613">
        <v>-1.36</v>
      </c>
      <c r="O613" t="s">
        <v>56</v>
      </c>
      <c r="P613">
        <v>2023</v>
      </c>
      <c r="Q613" t="s">
        <v>3647</v>
      </c>
      <c r="R613">
        <v>9.23</v>
      </c>
      <c r="S613">
        <v>-0.14734561213434499</v>
      </c>
      <c r="T613" t="s">
        <v>3634</v>
      </c>
      <c r="U613" t="s">
        <v>3636</v>
      </c>
    </row>
    <row r="614" spans="1:21" x14ac:dyDescent="0.25">
      <c r="A614" t="s">
        <v>1271</v>
      </c>
      <c r="B614" s="1">
        <v>45267</v>
      </c>
      <c r="C614" t="s">
        <v>1272</v>
      </c>
      <c r="D614" t="s">
        <v>49</v>
      </c>
      <c r="E614" t="s">
        <v>18</v>
      </c>
      <c r="F614" t="s">
        <v>19</v>
      </c>
      <c r="G614" t="s">
        <v>32</v>
      </c>
      <c r="H614" t="s">
        <v>149</v>
      </c>
      <c r="I614">
        <v>1</v>
      </c>
      <c r="J614">
        <v>9.6</v>
      </c>
      <c r="K614">
        <v>5</v>
      </c>
      <c r="L614">
        <v>9.1199999999999992</v>
      </c>
      <c r="M614">
        <v>5.52</v>
      </c>
      <c r="N614">
        <v>-0.72</v>
      </c>
      <c r="O614" t="s">
        <v>34</v>
      </c>
      <c r="P614">
        <v>2023</v>
      </c>
      <c r="Q614" t="s">
        <v>3647</v>
      </c>
      <c r="R614">
        <v>8.6639999999999997</v>
      </c>
      <c r="S614">
        <v>-8.31024930747922E-2</v>
      </c>
      <c r="T614" t="s">
        <v>3634</v>
      </c>
      <c r="U614" t="s">
        <v>3636</v>
      </c>
    </row>
    <row r="615" spans="1:21" x14ac:dyDescent="0.25">
      <c r="A615" t="s">
        <v>1273</v>
      </c>
      <c r="B615" s="1">
        <v>45267</v>
      </c>
      <c r="C615" t="s">
        <v>1274</v>
      </c>
      <c r="D615" t="s">
        <v>30</v>
      </c>
      <c r="E615" t="s">
        <v>31</v>
      </c>
      <c r="F615" t="s">
        <v>19</v>
      </c>
      <c r="G615" t="s">
        <v>69</v>
      </c>
      <c r="H615" t="s">
        <v>79</v>
      </c>
      <c r="I615">
        <v>2</v>
      </c>
      <c r="J615">
        <v>57.77</v>
      </c>
      <c r="K615">
        <v>5</v>
      </c>
      <c r="L615">
        <v>109.76</v>
      </c>
      <c r="M615">
        <v>9.89</v>
      </c>
      <c r="N615">
        <v>42.1</v>
      </c>
      <c r="O615" t="s">
        <v>34</v>
      </c>
      <c r="P615">
        <v>2023</v>
      </c>
      <c r="Q615" t="s">
        <v>3647</v>
      </c>
      <c r="R615">
        <v>104.27200000000001</v>
      </c>
      <c r="S615">
        <v>0.40375172625441202</v>
      </c>
      <c r="T615" t="s">
        <v>3632</v>
      </c>
      <c r="U615" t="s">
        <v>3633</v>
      </c>
    </row>
    <row r="616" spans="1:21" x14ac:dyDescent="0.25">
      <c r="A616" t="s">
        <v>1275</v>
      </c>
      <c r="B616" s="1">
        <v>45267</v>
      </c>
      <c r="C616" t="s">
        <v>1203</v>
      </c>
      <c r="D616" t="s">
        <v>30</v>
      </c>
      <c r="E616" t="s">
        <v>31</v>
      </c>
      <c r="F616" t="s">
        <v>19</v>
      </c>
      <c r="G616" t="s">
        <v>32</v>
      </c>
      <c r="H616" t="s">
        <v>50</v>
      </c>
      <c r="I616">
        <v>2</v>
      </c>
      <c r="J616">
        <v>24.03</v>
      </c>
      <c r="K616">
        <v>10</v>
      </c>
      <c r="L616">
        <v>43.25</v>
      </c>
      <c r="M616">
        <v>9.26</v>
      </c>
      <c r="N616">
        <v>12.36</v>
      </c>
      <c r="O616" t="s">
        <v>22</v>
      </c>
      <c r="P616">
        <v>2023</v>
      </c>
      <c r="Q616" t="s">
        <v>3647</v>
      </c>
      <c r="R616">
        <v>38.924999999999997</v>
      </c>
      <c r="S616">
        <v>0.31753371868978802</v>
      </c>
      <c r="T616" t="s">
        <v>3634</v>
      </c>
      <c r="U616" t="s">
        <v>3633</v>
      </c>
    </row>
    <row r="617" spans="1:21" x14ac:dyDescent="0.25">
      <c r="A617" t="s">
        <v>1276</v>
      </c>
      <c r="B617" s="1">
        <v>45267</v>
      </c>
      <c r="C617" t="s">
        <v>1277</v>
      </c>
      <c r="D617" t="s">
        <v>17</v>
      </c>
      <c r="E617" t="s">
        <v>31</v>
      </c>
      <c r="F617" t="s">
        <v>19</v>
      </c>
      <c r="G617" t="s">
        <v>69</v>
      </c>
      <c r="H617" t="s">
        <v>196</v>
      </c>
      <c r="I617">
        <v>3</v>
      </c>
      <c r="J617">
        <v>21.32</v>
      </c>
      <c r="K617">
        <v>15</v>
      </c>
      <c r="L617">
        <v>54.37</v>
      </c>
      <c r="M617">
        <v>7.01</v>
      </c>
      <c r="N617">
        <v>15.38</v>
      </c>
      <c r="O617" t="s">
        <v>34</v>
      </c>
      <c r="P617">
        <v>2023</v>
      </c>
      <c r="Q617" t="s">
        <v>3647</v>
      </c>
      <c r="R617">
        <v>46.214500000000001</v>
      </c>
      <c r="S617">
        <v>0.33279598394443299</v>
      </c>
      <c r="T617" t="s">
        <v>3634</v>
      </c>
      <c r="U617" t="s">
        <v>3633</v>
      </c>
    </row>
    <row r="618" spans="1:21" x14ac:dyDescent="0.25">
      <c r="A618" t="s">
        <v>1278</v>
      </c>
      <c r="B618" s="1">
        <v>45268</v>
      </c>
      <c r="C618" t="s">
        <v>1279</v>
      </c>
      <c r="D618" t="s">
        <v>30</v>
      </c>
      <c r="E618" t="s">
        <v>37</v>
      </c>
      <c r="F618" t="s">
        <v>26</v>
      </c>
      <c r="G618" t="s">
        <v>42</v>
      </c>
      <c r="H618" t="s">
        <v>234</v>
      </c>
      <c r="I618">
        <v>7</v>
      </c>
      <c r="J618">
        <v>67.53</v>
      </c>
      <c r="K618">
        <v>10</v>
      </c>
      <c r="L618">
        <v>425.44</v>
      </c>
      <c r="M618">
        <v>12.11</v>
      </c>
      <c r="N618">
        <v>129.69999999999999</v>
      </c>
      <c r="O618" t="s">
        <v>56</v>
      </c>
      <c r="P618">
        <v>2023</v>
      </c>
      <c r="Q618" t="s">
        <v>3647</v>
      </c>
      <c r="R618">
        <v>382.89600000000002</v>
      </c>
      <c r="S618">
        <v>0.33873427771509801</v>
      </c>
      <c r="T618" t="s">
        <v>3632</v>
      </c>
      <c r="U618" t="s">
        <v>3633</v>
      </c>
    </row>
    <row r="619" spans="1:21" x14ac:dyDescent="0.25">
      <c r="A619" t="s">
        <v>1280</v>
      </c>
      <c r="B619" s="1">
        <v>45268</v>
      </c>
      <c r="C619" t="s">
        <v>1281</v>
      </c>
      <c r="D619" t="s">
        <v>30</v>
      </c>
      <c r="E619" t="s">
        <v>67</v>
      </c>
      <c r="F619" t="s">
        <v>68</v>
      </c>
      <c r="G619" t="s">
        <v>32</v>
      </c>
      <c r="H619" t="s">
        <v>73</v>
      </c>
      <c r="I619">
        <v>1</v>
      </c>
      <c r="J619">
        <v>9.18</v>
      </c>
      <c r="K619">
        <v>5</v>
      </c>
      <c r="L619">
        <v>8.7200000000000006</v>
      </c>
      <c r="M619">
        <v>11.53</v>
      </c>
      <c r="N619">
        <v>-6.94</v>
      </c>
      <c r="O619" t="s">
        <v>39</v>
      </c>
      <c r="P619">
        <v>2023</v>
      </c>
      <c r="Q619" t="s">
        <v>3647</v>
      </c>
      <c r="R619">
        <v>8.2840000000000007</v>
      </c>
      <c r="S619">
        <v>-0.83775953645581802</v>
      </c>
      <c r="T619" t="s">
        <v>3634</v>
      </c>
      <c r="U619" t="s">
        <v>3636</v>
      </c>
    </row>
    <row r="620" spans="1:21" x14ac:dyDescent="0.25">
      <c r="A620" t="s">
        <v>1282</v>
      </c>
      <c r="B620" s="1">
        <v>45269</v>
      </c>
      <c r="C620" t="s">
        <v>1005</v>
      </c>
      <c r="D620" t="s">
        <v>30</v>
      </c>
      <c r="E620" t="s">
        <v>76</v>
      </c>
      <c r="F620" t="s">
        <v>26</v>
      </c>
      <c r="G620" t="s">
        <v>42</v>
      </c>
      <c r="H620" t="s">
        <v>294</v>
      </c>
      <c r="I620">
        <v>5</v>
      </c>
      <c r="J620">
        <v>152.94999999999999</v>
      </c>
      <c r="K620">
        <v>5</v>
      </c>
      <c r="L620">
        <v>726.51</v>
      </c>
      <c r="M620">
        <v>18.940000000000001</v>
      </c>
      <c r="N620">
        <v>248.72</v>
      </c>
      <c r="O620" t="s">
        <v>56</v>
      </c>
      <c r="P620">
        <v>2023</v>
      </c>
      <c r="Q620" t="s">
        <v>3647</v>
      </c>
      <c r="R620">
        <v>690.18449999999996</v>
      </c>
      <c r="S620">
        <v>0.360367409004404</v>
      </c>
      <c r="T620" t="s">
        <v>3635</v>
      </c>
      <c r="U620" t="s">
        <v>3633</v>
      </c>
    </row>
    <row r="621" spans="1:21" x14ac:dyDescent="0.25">
      <c r="A621" t="s">
        <v>1283</v>
      </c>
      <c r="B621" s="1">
        <v>45269</v>
      </c>
      <c r="C621" t="s">
        <v>1284</v>
      </c>
      <c r="D621" t="s">
        <v>30</v>
      </c>
      <c r="E621" t="s">
        <v>85</v>
      </c>
      <c r="F621" t="s">
        <v>60</v>
      </c>
      <c r="G621" t="s">
        <v>42</v>
      </c>
      <c r="H621" t="s">
        <v>255</v>
      </c>
      <c r="I621">
        <v>4</v>
      </c>
      <c r="J621">
        <v>52.21</v>
      </c>
      <c r="K621">
        <v>5</v>
      </c>
      <c r="L621">
        <v>198.4</v>
      </c>
      <c r="M621">
        <v>16.48</v>
      </c>
      <c r="N621">
        <v>56.62</v>
      </c>
      <c r="O621" t="s">
        <v>39</v>
      </c>
      <c r="P621">
        <v>2023</v>
      </c>
      <c r="Q621" t="s">
        <v>3647</v>
      </c>
      <c r="R621">
        <v>188.48</v>
      </c>
      <c r="S621">
        <v>0.30040322580645201</v>
      </c>
      <c r="T621" t="s">
        <v>3632</v>
      </c>
      <c r="U621" t="s">
        <v>3633</v>
      </c>
    </row>
    <row r="622" spans="1:21" x14ac:dyDescent="0.25">
      <c r="A622" t="s">
        <v>1285</v>
      </c>
      <c r="B622" s="1">
        <v>45269</v>
      </c>
      <c r="C622" t="s">
        <v>1286</v>
      </c>
      <c r="D622" t="s">
        <v>17</v>
      </c>
      <c r="E622" t="s">
        <v>18</v>
      </c>
      <c r="F622" t="s">
        <v>19</v>
      </c>
      <c r="G622" t="s">
        <v>20</v>
      </c>
      <c r="H622" t="s">
        <v>170</v>
      </c>
      <c r="I622">
        <v>1</v>
      </c>
      <c r="J622">
        <v>58.09</v>
      </c>
      <c r="K622">
        <v>15</v>
      </c>
      <c r="L622">
        <v>49.38</v>
      </c>
      <c r="M622">
        <v>6.23</v>
      </c>
      <c r="N622">
        <v>11.2</v>
      </c>
      <c r="O622" t="s">
        <v>56</v>
      </c>
      <c r="P622">
        <v>2023</v>
      </c>
      <c r="Q622" t="s">
        <v>3647</v>
      </c>
      <c r="R622">
        <v>41.972999999999999</v>
      </c>
      <c r="S622">
        <v>0.26683820551306803</v>
      </c>
      <c r="T622" t="s">
        <v>3634</v>
      </c>
      <c r="U622" t="s">
        <v>3633</v>
      </c>
    </row>
    <row r="623" spans="1:21" x14ac:dyDescent="0.25">
      <c r="A623" t="s">
        <v>1287</v>
      </c>
      <c r="B623" s="1">
        <v>45269</v>
      </c>
      <c r="C623" t="s">
        <v>1288</v>
      </c>
      <c r="D623" t="s">
        <v>17</v>
      </c>
      <c r="E623" t="s">
        <v>92</v>
      </c>
      <c r="F623" t="s">
        <v>60</v>
      </c>
      <c r="G623" t="s">
        <v>32</v>
      </c>
      <c r="H623" t="s">
        <v>149</v>
      </c>
      <c r="I623">
        <v>3</v>
      </c>
      <c r="J623">
        <v>9.9600000000000009</v>
      </c>
      <c r="K623">
        <v>15</v>
      </c>
      <c r="L623">
        <v>25.4</v>
      </c>
      <c r="M623">
        <v>15</v>
      </c>
      <c r="N623">
        <v>-3.05</v>
      </c>
      <c r="O623" t="s">
        <v>56</v>
      </c>
      <c r="P623">
        <v>2023</v>
      </c>
      <c r="Q623" t="s">
        <v>3647</v>
      </c>
      <c r="R623">
        <v>21.59</v>
      </c>
      <c r="S623">
        <v>-0.141269106067624</v>
      </c>
      <c r="T623" t="s">
        <v>3634</v>
      </c>
      <c r="U623" t="s">
        <v>3636</v>
      </c>
    </row>
    <row r="624" spans="1:21" x14ac:dyDescent="0.25">
      <c r="A624" t="s">
        <v>1289</v>
      </c>
      <c r="B624" s="1">
        <v>45270</v>
      </c>
      <c r="C624" t="s">
        <v>1290</v>
      </c>
      <c r="D624" t="s">
        <v>49</v>
      </c>
      <c r="E624" t="s">
        <v>31</v>
      </c>
      <c r="F624" t="s">
        <v>19</v>
      </c>
      <c r="G624" t="s">
        <v>32</v>
      </c>
      <c r="H624" t="s">
        <v>50</v>
      </c>
      <c r="I624">
        <v>1</v>
      </c>
      <c r="J624">
        <v>15.07</v>
      </c>
      <c r="K624">
        <v>5</v>
      </c>
      <c r="L624">
        <v>14.32</v>
      </c>
      <c r="M624">
        <v>6.62</v>
      </c>
      <c r="N624">
        <v>0.92</v>
      </c>
      <c r="O624" t="s">
        <v>34</v>
      </c>
      <c r="P624">
        <v>2023</v>
      </c>
      <c r="Q624" t="s">
        <v>3647</v>
      </c>
      <c r="R624">
        <v>13.603999999999999</v>
      </c>
      <c r="S624">
        <v>6.7627168479858904E-2</v>
      </c>
      <c r="T624" t="s">
        <v>3634</v>
      </c>
      <c r="U624" t="s">
        <v>3633</v>
      </c>
    </row>
    <row r="625" spans="1:21" x14ac:dyDescent="0.25">
      <c r="A625" t="s">
        <v>1291</v>
      </c>
      <c r="B625" s="1">
        <v>45270</v>
      </c>
      <c r="C625" t="s">
        <v>1292</v>
      </c>
      <c r="D625" t="s">
        <v>17</v>
      </c>
      <c r="E625" t="s">
        <v>31</v>
      </c>
      <c r="F625" t="s">
        <v>19</v>
      </c>
      <c r="G625" t="s">
        <v>69</v>
      </c>
      <c r="H625" t="s">
        <v>139</v>
      </c>
      <c r="I625">
        <v>10</v>
      </c>
      <c r="J625">
        <v>38.590000000000003</v>
      </c>
      <c r="K625">
        <v>10</v>
      </c>
      <c r="L625">
        <v>347.31</v>
      </c>
      <c r="M625">
        <v>26.11</v>
      </c>
      <c r="N625">
        <v>128.25</v>
      </c>
      <c r="O625" t="s">
        <v>34</v>
      </c>
      <c r="P625">
        <v>2023</v>
      </c>
      <c r="Q625" t="s">
        <v>3647</v>
      </c>
      <c r="R625">
        <v>312.57900000000001</v>
      </c>
      <c r="S625">
        <v>0.41029627710114902</v>
      </c>
      <c r="T625" t="s">
        <v>3632</v>
      </c>
      <c r="U625" t="s">
        <v>3633</v>
      </c>
    </row>
    <row r="626" spans="1:21" x14ac:dyDescent="0.25">
      <c r="A626" t="s">
        <v>1293</v>
      </c>
      <c r="B626" s="1">
        <v>45271</v>
      </c>
      <c r="C626" t="s">
        <v>1294</v>
      </c>
      <c r="D626" t="s">
        <v>30</v>
      </c>
      <c r="E626" t="s">
        <v>129</v>
      </c>
      <c r="F626" t="s">
        <v>19</v>
      </c>
      <c r="G626" t="s">
        <v>32</v>
      </c>
      <c r="H626" t="s">
        <v>132</v>
      </c>
      <c r="I626">
        <v>5</v>
      </c>
      <c r="J626">
        <v>16.649999999999999</v>
      </c>
      <c r="K626">
        <v>5</v>
      </c>
      <c r="L626">
        <v>79.09</v>
      </c>
      <c r="M626">
        <v>8.6300000000000008</v>
      </c>
      <c r="N626">
        <v>33</v>
      </c>
      <c r="O626" t="s">
        <v>34</v>
      </c>
      <c r="P626">
        <v>2023</v>
      </c>
      <c r="Q626" t="s">
        <v>3647</v>
      </c>
      <c r="R626">
        <v>75.135499999999993</v>
      </c>
      <c r="S626">
        <v>0.439206500256204</v>
      </c>
      <c r="T626" t="s">
        <v>3634</v>
      </c>
      <c r="U626" t="s">
        <v>3633</v>
      </c>
    </row>
    <row r="627" spans="1:21" x14ac:dyDescent="0.25">
      <c r="A627" t="s">
        <v>1295</v>
      </c>
      <c r="B627" s="1">
        <v>45271</v>
      </c>
      <c r="C627" t="s">
        <v>1296</v>
      </c>
      <c r="D627" t="s">
        <v>30</v>
      </c>
      <c r="E627" t="s">
        <v>129</v>
      </c>
      <c r="F627" t="s">
        <v>19</v>
      </c>
      <c r="G627" t="s">
        <v>32</v>
      </c>
      <c r="H627" t="s">
        <v>82</v>
      </c>
      <c r="I627">
        <v>1</v>
      </c>
      <c r="J627">
        <v>10.81</v>
      </c>
      <c r="K627">
        <v>10</v>
      </c>
      <c r="L627">
        <v>9.73</v>
      </c>
      <c r="M627">
        <v>5.77</v>
      </c>
      <c r="N627">
        <v>-0.9</v>
      </c>
      <c r="O627" t="s">
        <v>56</v>
      </c>
      <c r="P627">
        <v>2023</v>
      </c>
      <c r="Q627" t="s">
        <v>3647</v>
      </c>
      <c r="R627">
        <v>8.7569999999999997</v>
      </c>
      <c r="S627">
        <v>-0.10277492291880801</v>
      </c>
      <c r="T627" t="s">
        <v>3634</v>
      </c>
      <c r="U627" t="s">
        <v>3636</v>
      </c>
    </row>
    <row r="628" spans="1:21" x14ac:dyDescent="0.25">
      <c r="A628" t="s">
        <v>1297</v>
      </c>
      <c r="B628" s="1">
        <v>45271</v>
      </c>
      <c r="C628" t="s">
        <v>1298</v>
      </c>
      <c r="D628" t="s">
        <v>30</v>
      </c>
      <c r="E628" t="s">
        <v>53</v>
      </c>
      <c r="F628" t="s">
        <v>54</v>
      </c>
      <c r="G628" t="s">
        <v>69</v>
      </c>
      <c r="H628" t="s">
        <v>163</v>
      </c>
      <c r="I628">
        <v>3</v>
      </c>
      <c r="J628">
        <v>44.11</v>
      </c>
      <c r="K628">
        <v>0</v>
      </c>
      <c r="L628">
        <v>132.33000000000001</v>
      </c>
      <c r="M628">
        <v>13.52</v>
      </c>
      <c r="N628">
        <v>52.65</v>
      </c>
      <c r="O628" t="s">
        <v>22</v>
      </c>
      <c r="P628">
        <v>2023</v>
      </c>
      <c r="Q628" t="s">
        <v>3647</v>
      </c>
      <c r="R628">
        <v>132.33000000000001</v>
      </c>
      <c r="S628">
        <v>0.39786896395375199</v>
      </c>
      <c r="T628" t="s">
        <v>3632</v>
      </c>
      <c r="U628" t="s">
        <v>3633</v>
      </c>
    </row>
    <row r="629" spans="1:21" x14ac:dyDescent="0.25">
      <c r="A629" t="s">
        <v>1299</v>
      </c>
      <c r="B629" s="1">
        <v>45271</v>
      </c>
      <c r="C629" t="s">
        <v>1300</v>
      </c>
      <c r="D629" t="s">
        <v>17</v>
      </c>
      <c r="E629" t="s">
        <v>121</v>
      </c>
      <c r="F629" t="s">
        <v>68</v>
      </c>
      <c r="G629" t="s">
        <v>32</v>
      </c>
      <c r="H629" t="s">
        <v>73</v>
      </c>
      <c r="I629">
        <v>3</v>
      </c>
      <c r="J629">
        <v>6.13</v>
      </c>
      <c r="K629">
        <v>5</v>
      </c>
      <c r="L629">
        <v>17.47</v>
      </c>
      <c r="M629">
        <v>16.059999999999999</v>
      </c>
      <c r="N629">
        <v>-6.87</v>
      </c>
      <c r="O629" t="s">
        <v>22</v>
      </c>
      <c r="P629">
        <v>2023</v>
      </c>
      <c r="Q629" t="s">
        <v>3647</v>
      </c>
      <c r="R629">
        <v>16.596499999999999</v>
      </c>
      <c r="S629">
        <v>-0.41394269876178702</v>
      </c>
      <c r="T629" t="s">
        <v>3634</v>
      </c>
      <c r="U629" t="s">
        <v>3636</v>
      </c>
    </row>
    <row r="630" spans="1:21" x14ac:dyDescent="0.25">
      <c r="A630" t="s">
        <v>1301</v>
      </c>
      <c r="B630" s="1">
        <v>45271</v>
      </c>
      <c r="C630" t="s">
        <v>1302</v>
      </c>
      <c r="D630" t="s">
        <v>30</v>
      </c>
      <c r="E630" t="s">
        <v>135</v>
      </c>
      <c r="F630" t="s">
        <v>26</v>
      </c>
      <c r="G630" t="s">
        <v>20</v>
      </c>
      <c r="H630" t="s">
        <v>55</v>
      </c>
      <c r="I630">
        <v>5</v>
      </c>
      <c r="J630">
        <v>30.27</v>
      </c>
      <c r="K630">
        <v>0</v>
      </c>
      <c r="L630">
        <v>151.35</v>
      </c>
      <c r="M630">
        <v>13.59</v>
      </c>
      <c r="N630">
        <v>54.52</v>
      </c>
      <c r="O630" t="s">
        <v>34</v>
      </c>
      <c r="P630">
        <v>2023</v>
      </c>
      <c r="Q630" t="s">
        <v>3647</v>
      </c>
      <c r="R630">
        <v>151.35</v>
      </c>
      <c r="S630">
        <v>0.36022464486290101</v>
      </c>
      <c r="T630" t="s">
        <v>3632</v>
      </c>
      <c r="U630" t="s">
        <v>3633</v>
      </c>
    </row>
    <row r="631" spans="1:21" x14ac:dyDescent="0.25">
      <c r="A631" t="s">
        <v>1303</v>
      </c>
      <c r="B631" s="1">
        <v>45271</v>
      </c>
      <c r="C631" t="s">
        <v>1304</v>
      </c>
      <c r="D631" t="s">
        <v>17</v>
      </c>
      <c r="E631" t="s">
        <v>76</v>
      </c>
      <c r="F631" t="s">
        <v>26</v>
      </c>
      <c r="G631" t="s">
        <v>69</v>
      </c>
      <c r="H631" t="s">
        <v>305</v>
      </c>
      <c r="I631">
        <v>3</v>
      </c>
      <c r="J631">
        <v>43.37</v>
      </c>
      <c r="K631">
        <v>15</v>
      </c>
      <c r="L631">
        <v>110.59</v>
      </c>
      <c r="M631">
        <v>14.43</v>
      </c>
      <c r="N631">
        <v>31.11</v>
      </c>
      <c r="O631" t="s">
        <v>56</v>
      </c>
      <c r="P631">
        <v>2023</v>
      </c>
      <c r="Q631" t="s">
        <v>3647</v>
      </c>
      <c r="R631">
        <v>94.001499999999993</v>
      </c>
      <c r="S631">
        <v>0.33095216565693097</v>
      </c>
      <c r="T631" t="s">
        <v>3632</v>
      </c>
      <c r="U631" t="s">
        <v>3633</v>
      </c>
    </row>
    <row r="632" spans="1:21" x14ac:dyDescent="0.25">
      <c r="A632" t="s">
        <v>1305</v>
      </c>
      <c r="B632" s="1">
        <v>45271</v>
      </c>
      <c r="C632" t="s">
        <v>864</v>
      </c>
      <c r="D632" t="s">
        <v>30</v>
      </c>
      <c r="E632" t="s">
        <v>92</v>
      </c>
      <c r="F632" t="s">
        <v>60</v>
      </c>
      <c r="G632" t="s">
        <v>69</v>
      </c>
      <c r="H632" t="s">
        <v>86</v>
      </c>
      <c r="I632">
        <v>3</v>
      </c>
      <c r="J632">
        <v>126.07</v>
      </c>
      <c r="K632">
        <v>0</v>
      </c>
      <c r="L632">
        <v>378.21</v>
      </c>
      <c r="M632">
        <v>16.14</v>
      </c>
      <c r="N632">
        <v>172.96</v>
      </c>
      <c r="O632" t="s">
        <v>56</v>
      </c>
      <c r="P632">
        <v>2023</v>
      </c>
      <c r="Q632" t="s">
        <v>3647</v>
      </c>
      <c r="R632">
        <v>378.21</v>
      </c>
      <c r="S632">
        <v>0.45731207530208101</v>
      </c>
      <c r="T632" t="s">
        <v>3632</v>
      </c>
      <c r="U632" t="s">
        <v>3633</v>
      </c>
    </row>
    <row r="633" spans="1:21" x14ac:dyDescent="0.25">
      <c r="A633" t="s">
        <v>1306</v>
      </c>
      <c r="B633" s="1">
        <v>45271</v>
      </c>
      <c r="C633" t="s">
        <v>1307</v>
      </c>
      <c r="D633" t="s">
        <v>49</v>
      </c>
      <c r="E633" t="s">
        <v>18</v>
      </c>
      <c r="F633" t="s">
        <v>19</v>
      </c>
      <c r="G633" t="s">
        <v>32</v>
      </c>
      <c r="H633" t="s">
        <v>101</v>
      </c>
      <c r="I633">
        <v>2</v>
      </c>
      <c r="J633">
        <v>19.32</v>
      </c>
      <c r="K633">
        <v>0</v>
      </c>
      <c r="L633">
        <v>38.64</v>
      </c>
      <c r="M633">
        <v>9.4700000000000006</v>
      </c>
      <c r="N633">
        <v>11.78</v>
      </c>
      <c r="O633" t="s">
        <v>39</v>
      </c>
      <c r="P633">
        <v>2023</v>
      </c>
      <c r="Q633" t="s">
        <v>3647</v>
      </c>
      <c r="R633">
        <v>38.64</v>
      </c>
      <c r="S633">
        <v>0.30486542443064202</v>
      </c>
      <c r="T633" t="s">
        <v>3634</v>
      </c>
      <c r="U633" t="s">
        <v>3633</v>
      </c>
    </row>
    <row r="634" spans="1:21" x14ac:dyDescent="0.25">
      <c r="A634" t="s">
        <v>1308</v>
      </c>
      <c r="B634" s="1">
        <v>45273</v>
      </c>
      <c r="C634" t="s">
        <v>1309</v>
      </c>
      <c r="D634" t="s">
        <v>30</v>
      </c>
      <c r="E634" t="s">
        <v>18</v>
      </c>
      <c r="F634" t="s">
        <v>19</v>
      </c>
      <c r="G634" t="s">
        <v>42</v>
      </c>
      <c r="H634" t="s">
        <v>118</v>
      </c>
      <c r="I634">
        <v>3</v>
      </c>
      <c r="J634">
        <v>47.08</v>
      </c>
      <c r="K634">
        <v>10</v>
      </c>
      <c r="L634">
        <v>127.12</v>
      </c>
      <c r="M634">
        <v>11.82</v>
      </c>
      <c r="N634">
        <v>30.56</v>
      </c>
      <c r="O634" t="s">
        <v>56</v>
      </c>
      <c r="P634">
        <v>2023</v>
      </c>
      <c r="Q634" t="s">
        <v>3647</v>
      </c>
      <c r="R634">
        <v>114.408</v>
      </c>
      <c r="S634">
        <v>0.26711418781903401</v>
      </c>
      <c r="T634" t="s">
        <v>3632</v>
      </c>
      <c r="U634" t="s">
        <v>3633</v>
      </c>
    </row>
    <row r="635" spans="1:21" x14ac:dyDescent="0.25">
      <c r="A635" t="s">
        <v>1310</v>
      </c>
      <c r="B635" s="1">
        <v>45273</v>
      </c>
      <c r="C635" t="s">
        <v>1311</v>
      </c>
      <c r="D635" t="s">
        <v>30</v>
      </c>
      <c r="E635" t="s">
        <v>25</v>
      </c>
      <c r="F635" t="s">
        <v>26</v>
      </c>
      <c r="G635" t="s">
        <v>42</v>
      </c>
      <c r="H635" t="s">
        <v>371</v>
      </c>
      <c r="I635">
        <v>5</v>
      </c>
      <c r="J635">
        <v>109.55</v>
      </c>
      <c r="K635">
        <v>10</v>
      </c>
      <c r="L635">
        <v>492.98</v>
      </c>
      <c r="M635">
        <v>16.350000000000001</v>
      </c>
      <c r="N635">
        <v>147.97999999999999</v>
      </c>
      <c r="O635" t="s">
        <v>34</v>
      </c>
      <c r="P635">
        <v>2023</v>
      </c>
      <c r="Q635" t="s">
        <v>3647</v>
      </c>
      <c r="R635">
        <v>443.68200000000002</v>
      </c>
      <c r="S635">
        <v>0.333527165853021</v>
      </c>
      <c r="T635" t="s">
        <v>3632</v>
      </c>
      <c r="U635" t="s">
        <v>3633</v>
      </c>
    </row>
    <row r="636" spans="1:21" x14ac:dyDescent="0.25">
      <c r="A636" t="s">
        <v>1312</v>
      </c>
      <c r="B636" s="1">
        <v>45274</v>
      </c>
      <c r="C636" t="s">
        <v>1313</v>
      </c>
      <c r="D636" t="s">
        <v>30</v>
      </c>
      <c r="E636" t="s">
        <v>248</v>
      </c>
      <c r="F636" t="s">
        <v>26</v>
      </c>
      <c r="G636" t="s">
        <v>20</v>
      </c>
      <c r="H636" t="s">
        <v>38</v>
      </c>
      <c r="I636">
        <v>4</v>
      </c>
      <c r="J636">
        <v>32.24</v>
      </c>
      <c r="K636">
        <v>5</v>
      </c>
      <c r="L636">
        <v>122.51</v>
      </c>
      <c r="M636">
        <v>13.12</v>
      </c>
      <c r="N636">
        <v>38.46</v>
      </c>
      <c r="O636" t="s">
        <v>39</v>
      </c>
      <c r="P636">
        <v>2023</v>
      </c>
      <c r="Q636" t="s">
        <v>3647</v>
      </c>
      <c r="R636">
        <v>116.3845</v>
      </c>
      <c r="S636">
        <v>0.33045637520460203</v>
      </c>
      <c r="T636" t="s">
        <v>3632</v>
      </c>
      <c r="U636" t="s">
        <v>3633</v>
      </c>
    </row>
    <row r="637" spans="1:21" x14ac:dyDescent="0.25">
      <c r="A637" t="s">
        <v>1314</v>
      </c>
      <c r="B637" s="1">
        <v>45274</v>
      </c>
      <c r="C637" t="s">
        <v>1315</v>
      </c>
      <c r="D637" t="s">
        <v>30</v>
      </c>
      <c r="E637" t="s">
        <v>53</v>
      </c>
      <c r="F637" t="s">
        <v>54</v>
      </c>
      <c r="G637" t="s">
        <v>69</v>
      </c>
      <c r="H637" t="s">
        <v>70</v>
      </c>
      <c r="I637">
        <v>1</v>
      </c>
      <c r="J637">
        <v>32.68</v>
      </c>
      <c r="K637">
        <v>5</v>
      </c>
      <c r="L637">
        <v>31.05</v>
      </c>
      <c r="M637">
        <v>13.1</v>
      </c>
      <c r="N637">
        <v>1.61</v>
      </c>
      <c r="O637" t="s">
        <v>34</v>
      </c>
      <c r="P637">
        <v>2023</v>
      </c>
      <c r="Q637" t="s">
        <v>3647</v>
      </c>
      <c r="R637">
        <v>29.497499999999999</v>
      </c>
      <c r="S637">
        <v>5.4580896686159799E-2</v>
      </c>
      <c r="T637" t="s">
        <v>3634</v>
      </c>
      <c r="U637" t="s">
        <v>3633</v>
      </c>
    </row>
    <row r="638" spans="1:21" x14ac:dyDescent="0.25">
      <c r="A638" t="s">
        <v>1316</v>
      </c>
      <c r="B638" s="1">
        <v>45276</v>
      </c>
      <c r="C638" t="s">
        <v>1317</v>
      </c>
      <c r="D638" t="s">
        <v>17</v>
      </c>
      <c r="E638" t="s">
        <v>92</v>
      </c>
      <c r="F638" t="s">
        <v>60</v>
      </c>
      <c r="G638" t="s">
        <v>20</v>
      </c>
      <c r="H638" t="s">
        <v>27</v>
      </c>
      <c r="I638">
        <v>8</v>
      </c>
      <c r="J638">
        <v>85.21</v>
      </c>
      <c r="K638">
        <v>15</v>
      </c>
      <c r="L638">
        <v>579.42999999999995</v>
      </c>
      <c r="M638">
        <v>13.75</v>
      </c>
      <c r="N638">
        <v>190.76</v>
      </c>
      <c r="O638" t="s">
        <v>39</v>
      </c>
      <c r="P638">
        <v>2023</v>
      </c>
      <c r="Q638" t="s">
        <v>3647</v>
      </c>
      <c r="R638">
        <v>492.51549999999997</v>
      </c>
      <c r="S638">
        <v>0.38731775954259301</v>
      </c>
      <c r="T638" t="s">
        <v>3635</v>
      </c>
      <c r="U638" t="s">
        <v>3633</v>
      </c>
    </row>
    <row r="639" spans="1:21" x14ac:dyDescent="0.25">
      <c r="A639" t="s">
        <v>1318</v>
      </c>
      <c r="B639" s="1">
        <v>45277</v>
      </c>
      <c r="C639" t="s">
        <v>684</v>
      </c>
      <c r="D639" t="s">
        <v>17</v>
      </c>
      <c r="E639" t="s">
        <v>148</v>
      </c>
      <c r="F639" t="s">
        <v>60</v>
      </c>
      <c r="G639" t="s">
        <v>20</v>
      </c>
      <c r="H639" t="s">
        <v>21</v>
      </c>
      <c r="I639">
        <v>3</v>
      </c>
      <c r="J639">
        <v>166.63</v>
      </c>
      <c r="K639">
        <v>0</v>
      </c>
      <c r="L639">
        <v>499.89</v>
      </c>
      <c r="M639">
        <v>14.84</v>
      </c>
      <c r="N639">
        <v>210.11</v>
      </c>
      <c r="O639" t="s">
        <v>56</v>
      </c>
      <c r="P639">
        <v>2023</v>
      </c>
      <c r="Q639" t="s">
        <v>3647</v>
      </c>
      <c r="R639">
        <v>499.89</v>
      </c>
      <c r="S639">
        <v>0.420312468743124</v>
      </c>
      <c r="T639" t="s">
        <v>3632</v>
      </c>
      <c r="U639" t="s">
        <v>3633</v>
      </c>
    </row>
    <row r="640" spans="1:21" x14ac:dyDescent="0.25">
      <c r="A640" t="s">
        <v>1319</v>
      </c>
      <c r="B640" s="1">
        <v>45278</v>
      </c>
      <c r="C640" t="s">
        <v>1320</v>
      </c>
      <c r="D640" t="s">
        <v>30</v>
      </c>
      <c r="E640" t="s">
        <v>129</v>
      </c>
      <c r="F640" t="s">
        <v>19</v>
      </c>
      <c r="G640" t="s">
        <v>32</v>
      </c>
      <c r="H640" t="s">
        <v>110</v>
      </c>
      <c r="I640">
        <v>10</v>
      </c>
      <c r="J640">
        <v>9.33</v>
      </c>
      <c r="K640">
        <v>15</v>
      </c>
      <c r="L640">
        <v>79.3</v>
      </c>
      <c r="M640">
        <v>10.95</v>
      </c>
      <c r="N640">
        <v>26.36</v>
      </c>
      <c r="O640" t="s">
        <v>34</v>
      </c>
      <c r="P640">
        <v>2023</v>
      </c>
      <c r="Q640" t="s">
        <v>3647</v>
      </c>
      <c r="R640">
        <v>67.405000000000001</v>
      </c>
      <c r="S640">
        <v>0.39106891180179498</v>
      </c>
      <c r="T640" t="s">
        <v>3634</v>
      </c>
      <c r="U640" t="s">
        <v>3633</v>
      </c>
    </row>
    <row r="641" spans="1:21" x14ac:dyDescent="0.25">
      <c r="A641" t="s">
        <v>1321</v>
      </c>
      <c r="B641" s="1">
        <v>45278</v>
      </c>
      <c r="C641" t="s">
        <v>1322</v>
      </c>
      <c r="D641" t="s">
        <v>30</v>
      </c>
      <c r="E641" t="s">
        <v>129</v>
      </c>
      <c r="F641" t="s">
        <v>19</v>
      </c>
      <c r="G641" t="s">
        <v>69</v>
      </c>
      <c r="H641" t="s">
        <v>196</v>
      </c>
      <c r="I641">
        <v>5</v>
      </c>
      <c r="J641">
        <v>8.1</v>
      </c>
      <c r="K641">
        <v>20</v>
      </c>
      <c r="L641">
        <v>32.4</v>
      </c>
      <c r="M641">
        <v>16.7</v>
      </c>
      <c r="N641">
        <v>-4.55</v>
      </c>
      <c r="O641" t="s">
        <v>22</v>
      </c>
      <c r="P641">
        <v>2023</v>
      </c>
      <c r="Q641" t="s">
        <v>3647</v>
      </c>
      <c r="R641">
        <v>25.92</v>
      </c>
      <c r="S641">
        <v>-0.17554012345678999</v>
      </c>
      <c r="T641" t="s">
        <v>3634</v>
      </c>
      <c r="U641" t="s">
        <v>3636</v>
      </c>
    </row>
    <row r="642" spans="1:21" x14ac:dyDescent="0.25">
      <c r="A642" t="s">
        <v>1323</v>
      </c>
      <c r="B642" s="1">
        <v>45278</v>
      </c>
      <c r="C642" t="s">
        <v>1324</v>
      </c>
      <c r="D642" t="s">
        <v>17</v>
      </c>
      <c r="E642" t="s">
        <v>129</v>
      </c>
      <c r="F642" t="s">
        <v>19</v>
      </c>
      <c r="G642" t="s">
        <v>32</v>
      </c>
      <c r="H642" t="s">
        <v>101</v>
      </c>
      <c r="I642">
        <v>3</v>
      </c>
      <c r="J642">
        <v>17.75</v>
      </c>
      <c r="K642">
        <v>15</v>
      </c>
      <c r="L642">
        <v>45.26</v>
      </c>
      <c r="M642">
        <v>10.14</v>
      </c>
      <c r="N642">
        <v>11.16</v>
      </c>
      <c r="O642" t="s">
        <v>34</v>
      </c>
      <c r="P642">
        <v>2023</v>
      </c>
      <c r="Q642" t="s">
        <v>3647</v>
      </c>
      <c r="R642">
        <v>38.470999999999997</v>
      </c>
      <c r="S642">
        <v>0.29008863819500402</v>
      </c>
      <c r="T642" t="s">
        <v>3634</v>
      </c>
      <c r="U642" t="s">
        <v>3633</v>
      </c>
    </row>
    <row r="643" spans="1:21" x14ac:dyDescent="0.25">
      <c r="A643" t="s">
        <v>1325</v>
      </c>
      <c r="B643" s="1">
        <v>45278</v>
      </c>
      <c r="C643" t="s">
        <v>1326</v>
      </c>
      <c r="D643" t="s">
        <v>49</v>
      </c>
      <c r="E643" t="s">
        <v>135</v>
      </c>
      <c r="F643" t="s">
        <v>26</v>
      </c>
      <c r="G643" t="s">
        <v>42</v>
      </c>
      <c r="H643" t="s">
        <v>64</v>
      </c>
      <c r="I643">
        <v>4</v>
      </c>
      <c r="J643">
        <v>59.95</v>
      </c>
      <c r="K643">
        <v>5</v>
      </c>
      <c r="L643">
        <v>227.81</v>
      </c>
      <c r="M643">
        <v>13.86</v>
      </c>
      <c r="N643">
        <v>70.069999999999993</v>
      </c>
      <c r="O643" t="s">
        <v>39</v>
      </c>
      <c r="P643">
        <v>2023</v>
      </c>
      <c r="Q643" t="s">
        <v>3647</v>
      </c>
      <c r="R643">
        <v>216.4195</v>
      </c>
      <c r="S643">
        <v>0.32376934610790598</v>
      </c>
      <c r="T643" t="s">
        <v>3632</v>
      </c>
      <c r="U643" t="s">
        <v>3633</v>
      </c>
    </row>
    <row r="644" spans="1:21" x14ac:dyDescent="0.25">
      <c r="A644" t="s">
        <v>1327</v>
      </c>
      <c r="B644" s="1">
        <v>45278</v>
      </c>
      <c r="C644" t="s">
        <v>1328</v>
      </c>
      <c r="D644" t="s">
        <v>17</v>
      </c>
      <c r="E644" t="s">
        <v>18</v>
      </c>
      <c r="F644" t="s">
        <v>19</v>
      </c>
      <c r="G644" t="s">
        <v>32</v>
      </c>
      <c r="H644" t="s">
        <v>73</v>
      </c>
      <c r="I644">
        <v>4</v>
      </c>
      <c r="J644">
        <v>3.66</v>
      </c>
      <c r="K644">
        <v>20</v>
      </c>
      <c r="L644">
        <v>11.71</v>
      </c>
      <c r="M644">
        <v>13.72</v>
      </c>
      <c r="N644">
        <v>-8.6</v>
      </c>
      <c r="O644" t="s">
        <v>34</v>
      </c>
      <c r="P644">
        <v>2023</v>
      </c>
      <c r="Q644" t="s">
        <v>3647</v>
      </c>
      <c r="R644">
        <v>9.3680000000000003</v>
      </c>
      <c r="S644">
        <v>-0.91801878736122999</v>
      </c>
      <c r="T644" t="s">
        <v>3634</v>
      </c>
      <c r="U644" t="s">
        <v>3636</v>
      </c>
    </row>
    <row r="645" spans="1:21" x14ac:dyDescent="0.25">
      <c r="A645" t="s">
        <v>1329</v>
      </c>
      <c r="B645" s="1">
        <v>45280</v>
      </c>
      <c r="C645" t="s">
        <v>1330</v>
      </c>
      <c r="D645" t="s">
        <v>30</v>
      </c>
      <c r="E645" t="s">
        <v>53</v>
      </c>
      <c r="F645" t="s">
        <v>54</v>
      </c>
      <c r="G645" t="s">
        <v>69</v>
      </c>
      <c r="H645" t="s">
        <v>70</v>
      </c>
      <c r="I645">
        <v>6</v>
      </c>
      <c r="J645">
        <v>64.86</v>
      </c>
      <c r="K645">
        <v>20</v>
      </c>
      <c r="L645">
        <v>311.33</v>
      </c>
      <c r="M645">
        <v>25.84</v>
      </c>
      <c r="N645">
        <v>90.91</v>
      </c>
      <c r="O645" t="s">
        <v>39</v>
      </c>
      <c r="P645">
        <v>2023</v>
      </c>
      <c r="Q645" t="s">
        <v>3647</v>
      </c>
      <c r="R645">
        <v>249.06399999999999</v>
      </c>
      <c r="S645">
        <v>0.365006584652941</v>
      </c>
      <c r="T645" t="s">
        <v>3632</v>
      </c>
      <c r="U645" t="s">
        <v>3633</v>
      </c>
    </row>
    <row r="646" spans="1:21" x14ac:dyDescent="0.25">
      <c r="A646" t="s">
        <v>1331</v>
      </c>
      <c r="B646" s="1">
        <v>45280</v>
      </c>
      <c r="C646" t="s">
        <v>1332</v>
      </c>
      <c r="D646" t="s">
        <v>30</v>
      </c>
      <c r="E646" t="s">
        <v>63</v>
      </c>
      <c r="F646" t="s">
        <v>54</v>
      </c>
      <c r="G646" t="s">
        <v>42</v>
      </c>
      <c r="H646" t="s">
        <v>118</v>
      </c>
      <c r="I646">
        <v>4</v>
      </c>
      <c r="J646">
        <v>94.69</v>
      </c>
      <c r="K646">
        <v>10</v>
      </c>
      <c r="L646">
        <v>340.88</v>
      </c>
      <c r="M646">
        <v>14.7</v>
      </c>
      <c r="N646">
        <v>98.92</v>
      </c>
      <c r="O646" t="s">
        <v>34</v>
      </c>
      <c r="P646">
        <v>2023</v>
      </c>
      <c r="Q646" t="s">
        <v>3647</v>
      </c>
      <c r="R646">
        <v>306.79199999999997</v>
      </c>
      <c r="S646">
        <v>0.32243344024616</v>
      </c>
      <c r="T646" t="s">
        <v>3632</v>
      </c>
      <c r="U646" t="s">
        <v>3633</v>
      </c>
    </row>
    <row r="647" spans="1:21" x14ac:dyDescent="0.25">
      <c r="A647" t="s">
        <v>1333</v>
      </c>
      <c r="B647" s="1">
        <v>45280</v>
      </c>
      <c r="C647" t="s">
        <v>716</v>
      </c>
      <c r="D647" t="s">
        <v>49</v>
      </c>
      <c r="E647" t="s">
        <v>92</v>
      </c>
      <c r="F647" t="s">
        <v>60</v>
      </c>
      <c r="G647" t="s">
        <v>20</v>
      </c>
      <c r="H647" t="s">
        <v>38</v>
      </c>
      <c r="I647">
        <v>1</v>
      </c>
      <c r="J647">
        <v>36.01</v>
      </c>
      <c r="K647">
        <v>5</v>
      </c>
      <c r="L647">
        <v>34.21</v>
      </c>
      <c r="M647">
        <v>9.6999999999999993</v>
      </c>
      <c r="N647">
        <v>4.7</v>
      </c>
      <c r="O647" t="s">
        <v>34</v>
      </c>
      <c r="P647">
        <v>2023</v>
      </c>
      <c r="Q647" t="s">
        <v>3647</v>
      </c>
      <c r="R647">
        <v>32.499499999999998</v>
      </c>
      <c r="S647">
        <v>0.14461760950168501</v>
      </c>
      <c r="T647" t="s">
        <v>3634</v>
      </c>
      <c r="U647" t="s">
        <v>3633</v>
      </c>
    </row>
    <row r="648" spans="1:21" x14ac:dyDescent="0.25">
      <c r="A648" t="s">
        <v>1334</v>
      </c>
      <c r="B648" s="1">
        <v>45281</v>
      </c>
      <c r="C648" t="s">
        <v>1335</v>
      </c>
      <c r="D648" t="s">
        <v>30</v>
      </c>
      <c r="E648" t="s">
        <v>31</v>
      </c>
      <c r="F648" t="s">
        <v>19</v>
      </c>
      <c r="G648" t="s">
        <v>32</v>
      </c>
      <c r="H648" t="s">
        <v>348</v>
      </c>
      <c r="I648">
        <v>1</v>
      </c>
      <c r="J648">
        <v>6.89</v>
      </c>
      <c r="K648">
        <v>15</v>
      </c>
      <c r="L648">
        <v>5.86</v>
      </c>
      <c r="M648">
        <v>6.74</v>
      </c>
      <c r="N648">
        <v>-3.98</v>
      </c>
      <c r="O648" t="s">
        <v>22</v>
      </c>
      <c r="P648">
        <v>2023</v>
      </c>
      <c r="Q648" t="s">
        <v>3647</v>
      </c>
      <c r="R648">
        <v>4.9809999999999999</v>
      </c>
      <c r="S648">
        <v>-0.79903633808472196</v>
      </c>
      <c r="T648" t="s">
        <v>3634</v>
      </c>
      <c r="U648" t="s">
        <v>3636</v>
      </c>
    </row>
    <row r="649" spans="1:21" x14ac:dyDescent="0.25">
      <c r="A649" t="s">
        <v>1336</v>
      </c>
      <c r="B649" s="1">
        <v>45281</v>
      </c>
      <c r="C649" t="s">
        <v>1337</v>
      </c>
      <c r="D649" t="s">
        <v>49</v>
      </c>
      <c r="E649" t="s">
        <v>31</v>
      </c>
      <c r="F649" t="s">
        <v>19</v>
      </c>
      <c r="G649" t="s">
        <v>20</v>
      </c>
      <c r="H649" t="s">
        <v>122</v>
      </c>
      <c r="I649">
        <v>1</v>
      </c>
      <c r="J649">
        <v>98.38</v>
      </c>
      <c r="K649">
        <v>0</v>
      </c>
      <c r="L649">
        <v>98.38</v>
      </c>
      <c r="M649">
        <v>6.62</v>
      </c>
      <c r="N649">
        <v>37.65</v>
      </c>
      <c r="O649" t="s">
        <v>39</v>
      </c>
      <c r="P649">
        <v>2023</v>
      </c>
      <c r="Q649" t="s">
        <v>3647</v>
      </c>
      <c r="R649">
        <v>98.38</v>
      </c>
      <c r="S649">
        <v>0.38269973571864202</v>
      </c>
      <c r="T649" t="s">
        <v>3634</v>
      </c>
      <c r="U649" t="s">
        <v>3633</v>
      </c>
    </row>
    <row r="650" spans="1:21" x14ac:dyDescent="0.25">
      <c r="A650" t="s">
        <v>1338</v>
      </c>
      <c r="B650" s="1">
        <v>45282</v>
      </c>
      <c r="C650" t="s">
        <v>1339</v>
      </c>
      <c r="D650" t="s">
        <v>49</v>
      </c>
      <c r="E650" t="s">
        <v>166</v>
      </c>
      <c r="F650" t="s">
        <v>60</v>
      </c>
      <c r="G650" t="s">
        <v>20</v>
      </c>
      <c r="H650" t="s">
        <v>175</v>
      </c>
      <c r="I650">
        <v>5</v>
      </c>
      <c r="J650">
        <v>27.72</v>
      </c>
      <c r="K650">
        <v>5</v>
      </c>
      <c r="L650">
        <v>131.66999999999999</v>
      </c>
      <c r="M650">
        <v>17.420000000000002</v>
      </c>
      <c r="N650">
        <v>38.020000000000003</v>
      </c>
      <c r="O650" t="s">
        <v>56</v>
      </c>
      <c r="P650">
        <v>2023</v>
      </c>
      <c r="Q650" t="s">
        <v>3647</v>
      </c>
      <c r="R650">
        <v>125.0865</v>
      </c>
      <c r="S650">
        <v>0.30394966683055302</v>
      </c>
      <c r="T650" t="s">
        <v>3632</v>
      </c>
      <c r="U650" t="s">
        <v>3633</v>
      </c>
    </row>
    <row r="651" spans="1:21" x14ac:dyDescent="0.25">
      <c r="A651" t="s">
        <v>1340</v>
      </c>
      <c r="B651" s="1">
        <v>45282</v>
      </c>
      <c r="C651" t="s">
        <v>1341</v>
      </c>
      <c r="D651" t="s">
        <v>30</v>
      </c>
      <c r="E651" t="s">
        <v>67</v>
      </c>
      <c r="F651" t="s">
        <v>68</v>
      </c>
      <c r="G651" t="s">
        <v>42</v>
      </c>
      <c r="H651" t="s">
        <v>89</v>
      </c>
      <c r="I651">
        <v>3</v>
      </c>
      <c r="J651">
        <v>371.61</v>
      </c>
      <c r="K651">
        <v>15</v>
      </c>
      <c r="L651">
        <v>947.61</v>
      </c>
      <c r="M651">
        <v>15.39</v>
      </c>
      <c r="N651">
        <v>263.32</v>
      </c>
      <c r="O651" t="s">
        <v>34</v>
      </c>
      <c r="P651">
        <v>2023</v>
      </c>
      <c r="Q651" t="s">
        <v>3647</v>
      </c>
      <c r="R651">
        <v>805.46849999999995</v>
      </c>
      <c r="S651">
        <v>0.32691532940146001</v>
      </c>
      <c r="T651" t="s">
        <v>3635</v>
      </c>
      <c r="U651" t="s">
        <v>3633</v>
      </c>
    </row>
    <row r="652" spans="1:21" x14ac:dyDescent="0.25">
      <c r="A652" t="s">
        <v>1342</v>
      </c>
      <c r="B652" s="1">
        <v>45282</v>
      </c>
      <c r="C652" t="s">
        <v>980</v>
      </c>
      <c r="D652" t="s">
        <v>30</v>
      </c>
      <c r="E652" t="s">
        <v>148</v>
      </c>
      <c r="F652" t="s">
        <v>60</v>
      </c>
      <c r="G652" t="s">
        <v>42</v>
      </c>
      <c r="H652" t="s">
        <v>93</v>
      </c>
      <c r="I652">
        <v>2</v>
      </c>
      <c r="J652">
        <v>288.74</v>
      </c>
      <c r="K652">
        <v>20</v>
      </c>
      <c r="L652">
        <v>461.98</v>
      </c>
      <c r="M652">
        <v>11.82</v>
      </c>
      <c r="N652">
        <v>103.67</v>
      </c>
      <c r="O652" t="s">
        <v>56</v>
      </c>
      <c r="P652">
        <v>2023</v>
      </c>
      <c r="Q652" t="s">
        <v>3647</v>
      </c>
      <c r="R652">
        <v>369.584</v>
      </c>
      <c r="S652">
        <v>0.28050456729728601</v>
      </c>
      <c r="T652" t="s">
        <v>3632</v>
      </c>
      <c r="U652" t="s">
        <v>3633</v>
      </c>
    </row>
    <row r="653" spans="1:21" x14ac:dyDescent="0.25">
      <c r="A653" t="s">
        <v>1343</v>
      </c>
      <c r="B653" s="1">
        <v>45283</v>
      </c>
      <c r="C653" t="s">
        <v>1344</v>
      </c>
      <c r="D653" t="s">
        <v>17</v>
      </c>
      <c r="E653" t="s">
        <v>63</v>
      </c>
      <c r="F653" t="s">
        <v>54</v>
      </c>
      <c r="G653" t="s">
        <v>32</v>
      </c>
      <c r="H653" t="s">
        <v>82</v>
      </c>
      <c r="I653">
        <v>12</v>
      </c>
      <c r="J653">
        <v>11.81</v>
      </c>
      <c r="K653">
        <v>15</v>
      </c>
      <c r="L653">
        <v>120.46</v>
      </c>
      <c r="M653">
        <v>22.68</v>
      </c>
      <c r="N653">
        <v>34.01</v>
      </c>
      <c r="O653" t="s">
        <v>39</v>
      </c>
      <c r="P653">
        <v>2023</v>
      </c>
      <c r="Q653" t="s">
        <v>3647</v>
      </c>
      <c r="R653">
        <v>102.39100000000001</v>
      </c>
      <c r="S653">
        <v>0.33215809983299299</v>
      </c>
      <c r="T653" t="s">
        <v>3632</v>
      </c>
      <c r="U653" t="s">
        <v>3633</v>
      </c>
    </row>
    <row r="654" spans="1:21" x14ac:dyDescent="0.25">
      <c r="A654" t="s">
        <v>1345</v>
      </c>
      <c r="B654" s="1">
        <v>45283</v>
      </c>
      <c r="C654" t="s">
        <v>1346</v>
      </c>
      <c r="D654" t="s">
        <v>17</v>
      </c>
      <c r="E654" t="s">
        <v>166</v>
      </c>
      <c r="F654" t="s">
        <v>60</v>
      </c>
      <c r="G654" t="s">
        <v>20</v>
      </c>
      <c r="H654" t="s">
        <v>106</v>
      </c>
      <c r="I654">
        <v>3</v>
      </c>
      <c r="J654">
        <v>67.73</v>
      </c>
      <c r="K654">
        <v>10</v>
      </c>
      <c r="L654">
        <v>182.87</v>
      </c>
      <c r="M654">
        <v>11.07</v>
      </c>
      <c r="N654">
        <v>60.05</v>
      </c>
      <c r="O654" t="s">
        <v>34</v>
      </c>
      <c r="P654">
        <v>2023</v>
      </c>
      <c r="Q654" t="s">
        <v>3647</v>
      </c>
      <c r="R654">
        <v>164.583</v>
      </c>
      <c r="S654">
        <v>0.364861498453668</v>
      </c>
      <c r="T654" t="s">
        <v>3632</v>
      </c>
      <c r="U654" t="s">
        <v>3633</v>
      </c>
    </row>
    <row r="655" spans="1:21" x14ac:dyDescent="0.25">
      <c r="A655" t="s">
        <v>1347</v>
      </c>
      <c r="B655" s="1">
        <v>45283</v>
      </c>
      <c r="C655" t="s">
        <v>1348</v>
      </c>
      <c r="D655" t="s">
        <v>17</v>
      </c>
      <c r="E655" t="s">
        <v>148</v>
      </c>
      <c r="F655" t="s">
        <v>60</v>
      </c>
      <c r="G655" t="s">
        <v>42</v>
      </c>
      <c r="H655" t="s">
        <v>294</v>
      </c>
      <c r="I655">
        <v>4</v>
      </c>
      <c r="J655">
        <v>166.71</v>
      </c>
      <c r="K655">
        <v>20</v>
      </c>
      <c r="L655">
        <v>533.47</v>
      </c>
      <c r="M655">
        <v>15.13</v>
      </c>
      <c r="N655">
        <v>118.24</v>
      </c>
      <c r="O655" t="s">
        <v>34</v>
      </c>
      <c r="P655">
        <v>2023</v>
      </c>
      <c r="Q655" t="s">
        <v>3647</v>
      </c>
      <c r="R655">
        <v>426.77600000000001</v>
      </c>
      <c r="S655">
        <v>0.27705400491124199</v>
      </c>
      <c r="T655" t="s">
        <v>3635</v>
      </c>
      <c r="U655" t="s">
        <v>3633</v>
      </c>
    </row>
    <row r="656" spans="1:21" x14ac:dyDescent="0.25">
      <c r="A656" t="s">
        <v>1349</v>
      </c>
      <c r="B656" s="1">
        <v>45284</v>
      </c>
      <c r="C656" t="s">
        <v>157</v>
      </c>
      <c r="D656" t="s">
        <v>49</v>
      </c>
      <c r="E656" t="s">
        <v>31</v>
      </c>
      <c r="F656" t="s">
        <v>19</v>
      </c>
      <c r="G656" t="s">
        <v>20</v>
      </c>
      <c r="H656" t="s">
        <v>175</v>
      </c>
      <c r="I656">
        <v>1</v>
      </c>
      <c r="J656">
        <v>41.24</v>
      </c>
      <c r="K656">
        <v>10</v>
      </c>
      <c r="L656">
        <v>37.119999999999997</v>
      </c>
      <c r="M656">
        <v>5.87</v>
      </c>
      <c r="N656">
        <v>8.57</v>
      </c>
      <c r="O656" t="s">
        <v>39</v>
      </c>
      <c r="P656">
        <v>2023</v>
      </c>
      <c r="Q656" t="s">
        <v>3647</v>
      </c>
      <c r="R656">
        <v>33.408000000000001</v>
      </c>
      <c r="S656">
        <v>0.25652538314176199</v>
      </c>
      <c r="T656" t="s">
        <v>3634</v>
      </c>
      <c r="U656" t="s">
        <v>3633</v>
      </c>
    </row>
    <row r="657" spans="1:21" x14ac:dyDescent="0.25">
      <c r="A657" t="s">
        <v>1350</v>
      </c>
      <c r="B657" s="1">
        <v>45284</v>
      </c>
      <c r="C657" t="s">
        <v>1351</v>
      </c>
      <c r="D657" t="s">
        <v>49</v>
      </c>
      <c r="E657" t="s">
        <v>248</v>
      </c>
      <c r="F657" t="s">
        <v>26</v>
      </c>
      <c r="G657" t="s">
        <v>20</v>
      </c>
      <c r="H657" t="s">
        <v>122</v>
      </c>
      <c r="I657">
        <v>5</v>
      </c>
      <c r="J657">
        <v>81.099999999999994</v>
      </c>
      <c r="K657">
        <v>10</v>
      </c>
      <c r="L657">
        <v>364.95</v>
      </c>
      <c r="M657">
        <v>17.850000000000001</v>
      </c>
      <c r="N657">
        <v>124.07</v>
      </c>
      <c r="O657" t="s">
        <v>34</v>
      </c>
      <c r="P657">
        <v>2023</v>
      </c>
      <c r="Q657" t="s">
        <v>3647</v>
      </c>
      <c r="R657">
        <v>328.45499999999998</v>
      </c>
      <c r="S657">
        <v>0.377738198535568</v>
      </c>
      <c r="T657" t="s">
        <v>3632</v>
      </c>
      <c r="U657" t="s">
        <v>3633</v>
      </c>
    </row>
    <row r="658" spans="1:21" x14ac:dyDescent="0.25">
      <c r="A658" t="s">
        <v>1352</v>
      </c>
      <c r="B658" s="1">
        <v>45285</v>
      </c>
      <c r="C658" t="s">
        <v>514</v>
      </c>
      <c r="D658" t="s">
        <v>17</v>
      </c>
      <c r="E658" t="s">
        <v>76</v>
      </c>
      <c r="F658" t="s">
        <v>26</v>
      </c>
      <c r="G658" t="s">
        <v>42</v>
      </c>
      <c r="H658" t="s">
        <v>46</v>
      </c>
      <c r="I658">
        <v>1</v>
      </c>
      <c r="J658">
        <v>190.75</v>
      </c>
      <c r="K658">
        <v>20</v>
      </c>
      <c r="L658">
        <v>152.6</v>
      </c>
      <c r="M658">
        <v>9.08</v>
      </c>
      <c r="N658">
        <v>29.07</v>
      </c>
      <c r="O658" t="s">
        <v>34</v>
      </c>
      <c r="P658">
        <v>2023</v>
      </c>
      <c r="Q658" t="s">
        <v>3647</v>
      </c>
      <c r="R658">
        <v>122.08</v>
      </c>
      <c r="S658">
        <v>0.23812254259502</v>
      </c>
      <c r="T658" t="s">
        <v>3632</v>
      </c>
      <c r="U658" t="s">
        <v>3633</v>
      </c>
    </row>
    <row r="659" spans="1:21" x14ac:dyDescent="0.25">
      <c r="A659" t="s">
        <v>1353</v>
      </c>
      <c r="B659" s="1">
        <v>45285</v>
      </c>
      <c r="C659" t="s">
        <v>1354</v>
      </c>
      <c r="D659" t="s">
        <v>49</v>
      </c>
      <c r="E659" t="s">
        <v>248</v>
      </c>
      <c r="F659" t="s">
        <v>26</v>
      </c>
      <c r="G659" t="s">
        <v>20</v>
      </c>
      <c r="H659" t="s">
        <v>55</v>
      </c>
      <c r="I659">
        <v>1</v>
      </c>
      <c r="J659">
        <v>69.13</v>
      </c>
      <c r="K659">
        <v>15</v>
      </c>
      <c r="L659">
        <v>58.76</v>
      </c>
      <c r="M659">
        <v>7.83</v>
      </c>
      <c r="N659">
        <v>12.91</v>
      </c>
      <c r="O659" t="s">
        <v>34</v>
      </c>
      <c r="P659">
        <v>2023</v>
      </c>
      <c r="Q659" t="s">
        <v>3647</v>
      </c>
      <c r="R659">
        <v>49.945999999999998</v>
      </c>
      <c r="S659">
        <v>0.25847915749008898</v>
      </c>
      <c r="T659" t="s">
        <v>3634</v>
      </c>
      <c r="U659" t="s">
        <v>3633</v>
      </c>
    </row>
    <row r="660" spans="1:21" x14ac:dyDescent="0.25">
      <c r="A660" t="s">
        <v>1355</v>
      </c>
      <c r="B660" s="1">
        <v>45286</v>
      </c>
      <c r="C660" t="s">
        <v>1356</v>
      </c>
      <c r="D660" t="s">
        <v>30</v>
      </c>
      <c r="E660" t="s">
        <v>166</v>
      </c>
      <c r="F660" t="s">
        <v>60</v>
      </c>
      <c r="G660" t="s">
        <v>20</v>
      </c>
      <c r="H660" t="s">
        <v>170</v>
      </c>
      <c r="I660">
        <v>1</v>
      </c>
      <c r="J660">
        <v>51.57</v>
      </c>
      <c r="K660">
        <v>20</v>
      </c>
      <c r="L660">
        <v>41.26</v>
      </c>
      <c r="M660">
        <v>10.55</v>
      </c>
      <c r="N660">
        <v>2.35</v>
      </c>
      <c r="O660" t="s">
        <v>56</v>
      </c>
      <c r="P660">
        <v>2023</v>
      </c>
      <c r="Q660" t="s">
        <v>3647</v>
      </c>
      <c r="R660">
        <v>33.008000000000003</v>
      </c>
      <c r="S660">
        <v>7.11948618516723E-2</v>
      </c>
      <c r="T660" t="s">
        <v>3634</v>
      </c>
      <c r="U660" t="s">
        <v>3633</v>
      </c>
    </row>
    <row r="661" spans="1:21" x14ac:dyDescent="0.25">
      <c r="A661" t="s">
        <v>1357</v>
      </c>
      <c r="B661" s="1">
        <v>45286</v>
      </c>
      <c r="C661" t="s">
        <v>1358</v>
      </c>
      <c r="D661" t="s">
        <v>30</v>
      </c>
      <c r="E661" t="s">
        <v>85</v>
      </c>
      <c r="F661" t="s">
        <v>60</v>
      </c>
      <c r="G661" t="s">
        <v>20</v>
      </c>
      <c r="H661" t="s">
        <v>38</v>
      </c>
      <c r="I661">
        <v>3</v>
      </c>
      <c r="J661">
        <v>85.34</v>
      </c>
      <c r="K661">
        <v>5</v>
      </c>
      <c r="L661">
        <v>243.22</v>
      </c>
      <c r="M661">
        <v>10.71</v>
      </c>
      <c r="N661">
        <v>91.7</v>
      </c>
      <c r="O661" t="s">
        <v>34</v>
      </c>
      <c r="P661">
        <v>2023</v>
      </c>
      <c r="Q661" t="s">
        <v>3647</v>
      </c>
      <c r="R661">
        <v>231.059</v>
      </c>
      <c r="S661">
        <v>0.39686833233070301</v>
      </c>
      <c r="T661" t="s">
        <v>3632</v>
      </c>
      <c r="U661" t="s">
        <v>3633</v>
      </c>
    </row>
    <row r="662" spans="1:21" x14ac:dyDescent="0.25">
      <c r="A662" t="s">
        <v>1359</v>
      </c>
      <c r="B662" s="1">
        <v>45286</v>
      </c>
      <c r="C662" t="s">
        <v>147</v>
      </c>
      <c r="D662" t="s">
        <v>17</v>
      </c>
      <c r="E662" t="s">
        <v>67</v>
      </c>
      <c r="F662" t="s">
        <v>68</v>
      </c>
      <c r="G662" t="s">
        <v>32</v>
      </c>
      <c r="H662" t="s">
        <v>33</v>
      </c>
      <c r="I662">
        <v>4</v>
      </c>
      <c r="J662">
        <v>11.72</v>
      </c>
      <c r="K662">
        <v>5</v>
      </c>
      <c r="L662">
        <v>44.54</v>
      </c>
      <c r="M662">
        <v>14.16</v>
      </c>
      <c r="N662">
        <v>9.2799999999999994</v>
      </c>
      <c r="O662" t="s">
        <v>56</v>
      </c>
      <c r="P662">
        <v>2023</v>
      </c>
      <c r="Q662" t="s">
        <v>3647</v>
      </c>
      <c r="R662">
        <v>42.313000000000002</v>
      </c>
      <c r="S662">
        <v>0.21931794011296801</v>
      </c>
      <c r="T662" t="s">
        <v>3634</v>
      </c>
      <c r="U662" t="s">
        <v>3633</v>
      </c>
    </row>
    <row r="663" spans="1:21" x14ac:dyDescent="0.25">
      <c r="A663" t="s">
        <v>1360</v>
      </c>
      <c r="B663" s="1">
        <v>45286</v>
      </c>
      <c r="C663" t="s">
        <v>1361</v>
      </c>
      <c r="D663" t="s">
        <v>17</v>
      </c>
      <c r="E663" t="s">
        <v>148</v>
      </c>
      <c r="F663" t="s">
        <v>60</v>
      </c>
      <c r="G663" t="s">
        <v>20</v>
      </c>
      <c r="H663" t="s">
        <v>170</v>
      </c>
      <c r="I663">
        <v>1</v>
      </c>
      <c r="J663">
        <v>53.57</v>
      </c>
      <c r="K663">
        <v>25</v>
      </c>
      <c r="L663">
        <v>40.18</v>
      </c>
      <c r="M663">
        <v>11.21</v>
      </c>
      <c r="N663">
        <v>-0.49</v>
      </c>
      <c r="O663" t="s">
        <v>22</v>
      </c>
      <c r="P663">
        <v>2023</v>
      </c>
      <c r="Q663" t="s">
        <v>3647</v>
      </c>
      <c r="R663">
        <v>30.135000000000002</v>
      </c>
      <c r="S663">
        <v>-1.6260162601626001E-2</v>
      </c>
      <c r="T663" t="s">
        <v>3634</v>
      </c>
      <c r="U663" t="s">
        <v>3636</v>
      </c>
    </row>
    <row r="664" spans="1:21" x14ac:dyDescent="0.25">
      <c r="A664" t="s">
        <v>1362</v>
      </c>
      <c r="B664" s="1">
        <v>45286</v>
      </c>
      <c r="C664" t="s">
        <v>1363</v>
      </c>
      <c r="D664" t="s">
        <v>30</v>
      </c>
      <c r="E664" t="s">
        <v>148</v>
      </c>
      <c r="F664" t="s">
        <v>60</v>
      </c>
      <c r="G664" t="s">
        <v>32</v>
      </c>
      <c r="H664" t="s">
        <v>73</v>
      </c>
      <c r="I664">
        <v>2</v>
      </c>
      <c r="J664">
        <v>8.93</v>
      </c>
      <c r="K664">
        <v>0</v>
      </c>
      <c r="L664">
        <v>17.86</v>
      </c>
      <c r="M664">
        <v>10.039999999999999</v>
      </c>
      <c r="N664">
        <v>-0.22</v>
      </c>
      <c r="O664" t="s">
        <v>34</v>
      </c>
      <c r="P664">
        <v>2023</v>
      </c>
      <c r="Q664" t="s">
        <v>3647</v>
      </c>
      <c r="R664">
        <v>17.86</v>
      </c>
      <c r="S664">
        <v>-1.23180291153415E-2</v>
      </c>
      <c r="T664" t="s">
        <v>3634</v>
      </c>
      <c r="U664" t="s">
        <v>3636</v>
      </c>
    </row>
    <row r="665" spans="1:21" x14ac:dyDescent="0.25">
      <c r="A665" t="s">
        <v>1364</v>
      </c>
      <c r="B665" s="1">
        <v>45286</v>
      </c>
      <c r="C665" t="s">
        <v>1365</v>
      </c>
      <c r="D665" t="s">
        <v>17</v>
      </c>
      <c r="E665" t="s">
        <v>59</v>
      </c>
      <c r="F665" t="s">
        <v>60</v>
      </c>
      <c r="G665" t="s">
        <v>69</v>
      </c>
      <c r="H665" t="s">
        <v>139</v>
      </c>
      <c r="I665">
        <v>5</v>
      </c>
      <c r="J665">
        <v>57.59</v>
      </c>
      <c r="K665">
        <v>5</v>
      </c>
      <c r="L665">
        <v>273.55</v>
      </c>
      <c r="M665">
        <v>16.190000000000001</v>
      </c>
      <c r="N665">
        <v>113.38</v>
      </c>
      <c r="O665" t="s">
        <v>39</v>
      </c>
      <c r="P665">
        <v>2023</v>
      </c>
      <c r="Q665" t="s">
        <v>3647</v>
      </c>
      <c r="R665">
        <v>259.8725</v>
      </c>
      <c r="S665">
        <v>0.43629087340907602</v>
      </c>
      <c r="T665" t="s">
        <v>3632</v>
      </c>
      <c r="U665" t="s">
        <v>3633</v>
      </c>
    </row>
    <row r="666" spans="1:21" x14ac:dyDescent="0.25">
      <c r="A666" t="s">
        <v>1366</v>
      </c>
      <c r="B666" s="1">
        <v>45286</v>
      </c>
      <c r="C666" t="s">
        <v>1367</v>
      </c>
      <c r="D666" t="s">
        <v>49</v>
      </c>
      <c r="E666" t="s">
        <v>129</v>
      </c>
      <c r="F666" t="s">
        <v>19</v>
      </c>
      <c r="G666" t="s">
        <v>20</v>
      </c>
      <c r="H666" t="s">
        <v>175</v>
      </c>
      <c r="I666">
        <v>3</v>
      </c>
      <c r="J666">
        <v>25.88</v>
      </c>
      <c r="K666">
        <v>15</v>
      </c>
      <c r="L666">
        <v>65.989999999999995</v>
      </c>
      <c r="M666">
        <v>6.99</v>
      </c>
      <c r="N666">
        <v>16.3</v>
      </c>
      <c r="O666" t="s">
        <v>34</v>
      </c>
      <c r="P666">
        <v>2023</v>
      </c>
      <c r="Q666" t="s">
        <v>3647</v>
      </c>
      <c r="R666">
        <v>56.091500000000003</v>
      </c>
      <c r="S666">
        <v>0.29059661446030099</v>
      </c>
      <c r="T666" t="s">
        <v>3634</v>
      </c>
      <c r="U666" t="s">
        <v>3633</v>
      </c>
    </row>
    <row r="667" spans="1:21" x14ac:dyDescent="0.25">
      <c r="A667" t="s">
        <v>1368</v>
      </c>
      <c r="B667" s="1">
        <v>45287</v>
      </c>
      <c r="C667" t="s">
        <v>1369</v>
      </c>
      <c r="D667" t="s">
        <v>30</v>
      </c>
      <c r="E667" t="s">
        <v>121</v>
      </c>
      <c r="F667" t="s">
        <v>68</v>
      </c>
      <c r="G667" t="s">
        <v>42</v>
      </c>
      <c r="H667" t="s">
        <v>118</v>
      </c>
      <c r="I667">
        <v>2</v>
      </c>
      <c r="J667">
        <v>85.83</v>
      </c>
      <c r="K667">
        <v>15</v>
      </c>
      <c r="L667">
        <v>145.91</v>
      </c>
      <c r="M667">
        <v>13.6</v>
      </c>
      <c r="N667">
        <v>29.31</v>
      </c>
      <c r="O667" t="s">
        <v>39</v>
      </c>
      <c r="P667">
        <v>2023</v>
      </c>
      <c r="Q667" t="s">
        <v>3647</v>
      </c>
      <c r="R667">
        <v>124.0235</v>
      </c>
      <c r="S667">
        <v>0.23632618011909001</v>
      </c>
      <c r="T667" t="s">
        <v>3632</v>
      </c>
      <c r="U667" t="s">
        <v>3633</v>
      </c>
    </row>
    <row r="668" spans="1:21" x14ac:dyDescent="0.25">
      <c r="A668" t="s">
        <v>1370</v>
      </c>
      <c r="B668" s="1">
        <v>45287</v>
      </c>
      <c r="C668" t="s">
        <v>1371</v>
      </c>
      <c r="D668" t="s">
        <v>17</v>
      </c>
      <c r="E668" t="s">
        <v>92</v>
      </c>
      <c r="F668" t="s">
        <v>60</v>
      </c>
      <c r="G668" t="s">
        <v>42</v>
      </c>
      <c r="H668" t="s">
        <v>46</v>
      </c>
      <c r="I668">
        <v>2</v>
      </c>
      <c r="J668">
        <v>139.66999999999999</v>
      </c>
      <c r="K668">
        <v>15</v>
      </c>
      <c r="L668">
        <v>237.44</v>
      </c>
      <c r="M668">
        <v>13.84</v>
      </c>
      <c r="N668">
        <v>56</v>
      </c>
      <c r="O668" t="s">
        <v>34</v>
      </c>
      <c r="P668">
        <v>2023</v>
      </c>
      <c r="Q668" t="s">
        <v>3647</v>
      </c>
      <c r="R668">
        <v>201.82400000000001</v>
      </c>
      <c r="S668">
        <v>0.27746947835738101</v>
      </c>
      <c r="T668" t="s">
        <v>3632</v>
      </c>
      <c r="U668" t="s">
        <v>3633</v>
      </c>
    </row>
    <row r="669" spans="1:21" x14ac:dyDescent="0.25">
      <c r="A669" t="s">
        <v>1372</v>
      </c>
      <c r="B669" s="1">
        <v>45287</v>
      </c>
      <c r="C669" t="s">
        <v>1373</v>
      </c>
      <c r="D669" t="s">
        <v>30</v>
      </c>
      <c r="E669" t="s">
        <v>67</v>
      </c>
      <c r="F669" t="s">
        <v>68</v>
      </c>
      <c r="G669" t="s">
        <v>32</v>
      </c>
      <c r="H669" t="s">
        <v>348</v>
      </c>
      <c r="I669">
        <v>5</v>
      </c>
      <c r="J669">
        <v>8.83</v>
      </c>
      <c r="K669">
        <v>0</v>
      </c>
      <c r="L669">
        <v>44.15</v>
      </c>
      <c r="M669">
        <v>19.010000000000002</v>
      </c>
      <c r="N669">
        <v>5.27</v>
      </c>
      <c r="O669" t="s">
        <v>56</v>
      </c>
      <c r="P669">
        <v>2023</v>
      </c>
      <c r="Q669" t="s">
        <v>3647</v>
      </c>
      <c r="R669">
        <v>44.15</v>
      </c>
      <c r="S669">
        <v>0.119365798414496</v>
      </c>
      <c r="T669" t="s">
        <v>3634</v>
      </c>
      <c r="U669" t="s">
        <v>3633</v>
      </c>
    </row>
    <row r="670" spans="1:21" x14ac:dyDescent="0.25">
      <c r="A670" t="s">
        <v>1374</v>
      </c>
      <c r="B670" s="1">
        <v>45288</v>
      </c>
      <c r="C670" t="s">
        <v>1375</v>
      </c>
      <c r="D670" t="s">
        <v>30</v>
      </c>
      <c r="E670" t="s">
        <v>166</v>
      </c>
      <c r="F670" t="s">
        <v>60</v>
      </c>
      <c r="G670" t="s">
        <v>42</v>
      </c>
      <c r="H670" t="s">
        <v>371</v>
      </c>
      <c r="I670">
        <v>1</v>
      </c>
      <c r="J670">
        <v>172.7</v>
      </c>
      <c r="K670">
        <v>0</v>
      </c>
      <c r="L670">
        <v>172.7</v>
      </c>
      <c r="M670">
        <v>11.33</v>
      </c>
      <c r="N670">
        <v>57.75</v>
      </c>
      <c r="O670" t="s">
        <v>56</v>
      </c>
      <c r="P670">
        <v>2023</v>
      </c>
      <c r="Q670" t="s">
        <v>3647</v>
      </c>
      <c r="R670">
        <v>172.7</v>
      </c>
      <c r="S670">
        <v>0.33439490445859898</v>
      </c>
      <c r="T670" t="s">
        <v>3632</v>
      </c>
      <c r="U670" t="s">
        <v>3633</v>
      </c>
    </row>
    <row r="671" spans="1:21" x14ac:dyDescent="0.25">
      <c r="A671" t="s">
        <v>1376</v>
      </c>
      <c r="B671" s="1">
        <v>45291</v>
      </c>
      <c r="C671" t="s">
        <v>1377</v>
      </c>
      <c r="D671" t="s">
        <v>30</v>
      </c>
      <c r="E671" t="s">
        <v>135</v>
      </c>
      <c r="F671" t="s">
        <v>26</v>
      </c>
      <c r="G671" t="s">
        <v>42</v>
      </c>
      <c r="H671" t="s">
        <v>46</v>
      </c>
      <c r="I671">
        <v>1</v>
      </c>
      <c r="J671">
        <v>162.05000000000001</v>
      </c>
      <c r="K671">
        <v>5</v>
      </c>
      <c r="L671">
        <v>153.94999999999999</v>
      </c>
      <c r="M671">
        <v>9.3800000000000008</v>
      </c>
      <c r="N671">
        <v>47.34</v>
      </c>
      <c r="O671" t="s">
        <v>39</v>
      </c>
      <c r="P671">
        <v>2023</v>
      </c>
      <c r="Q671" t="s">
        <v>3647</v>
      </c>
      <c r="R671">
        <v>146.2525</v>
      </c>
      <c r="S671">
        <v>0.32368677458505002</v>
      </c>
      <c r="T671" t="s">
        <v>3632</v>
      </c>
      <c r="U671" t="s">
        <v>3633</v>
      </c>
    </row>
    <row r="672" spans="1:21" x14ac:dyDescent="0.25">
      <c r="A672" t="s">
        <v>1378</v>
      </c>
      <c r="B672" s="1">
        <v>45292</v>
      </c>
      <c r="C672" t="s">
        <v>1379</v>
      </c>
      <c r="D672" t="s">
        <v>49</v>
      </c>
      <c r="E672" t="s">
        <v>31</v>
      </c>
      <c r="F672" t="s">
        <v>19</v>
      </c>
      <c r="G672" t="s">
        <v>20</v>
      </c>
      <c r="H672" t="s">
        <v>122</v>
      </c>
      <c r="I672">
        <v>3</v>
      </c>
      <c r="J672">
        <v>135.75</v>
      </c>
      <c r="K672">
        <v>0</v>
      </c>
      <c r="L672">
        <v>407.25</v>
      </c>
      <c r="M672">
        <v>8.74</v>
      </c>
      <c r="N672">
        <v>174.52</v>
      </c>
      <c r="O672" t="s">
        <v>34</v>
      </c>
      <c r="P672">
        <v>2024</v>
      </c>
      <c r="Q672" t="s">
        <v>3631</v>
      </c>
      <c r="R672">
        <v>407.25</v>
      </c>
      <c r="S672">
        <v>0.4285328422345</v>
      </c>
      <c r="T672" t="s">
        <v>3632</v>
      </c>
      <c r="U672" t="s">
        <v>3633</v>
      </c>
    </row>
    <row r="673" spans="1:21" x14ac:dyDescent="0.25">
      <c r="A673" t="s">
        <v>1380</v>
      </c>
      <c r="B673" s="1">
        <v>45292</v>
      </c>
      <c r="C673" t="s">
        <v>1381</v>
      </c>
      <c r="D673" t="s">
        <v>30</v>
      </c>
      <c r="E673" t="s">
        <v>37</v>
      </c>
      <c r="F673" t="s">
        <v>26</v>
      </c>
      <c r="G673" t="s">
        <v>69</v>
      </c>
      <c r="H673" t="s">
        <v>163</v>
      </c>
      <c r="I673">
        <v>2</v>
      </c>
      <c r="J673">
        <v>50.45</v>
      </c>
      <c r="K673">
        <v>0</v>
      </c>
      <c r="L673">
        <v>100.9</v>
      </c>
      <c r="M673">
        <v>10.54</v>
      </c>
      <c r="N673">
        <v>39.909999999999997</v>
      </c>
      <c r="O673" t="s">
        <v>39</v>
      </c>
      <c r="P673">
        <v>2024</v>
      </c>
      <c r="Q673" t="s">
        <v>3631</v>
      </c>
      <c r="R673">
        <v>100.9</v>
      </c>
      <c r="S673">
        <v>0.395540138751239</v>
      </c>
      <c r="T673" t="s">
        <v>3632</v>
      </c>
      <c r="U673" t="s">
        <v>3633</v>
      </c>
    </row>
    <row r="674" spans="1:21" x14ac:dyDescent="0.25">
      <c r="A674" t="s">
        <v>1382</v>
      </c>
      <c r="B674" s="1">
        <v>45294</v>
      </c>
      <c r="C674" t="s">
        <v>500</v>
      </c>
      <c r="D674" t="s">
        <v>49</v>
      </c>
      <c r="E674" t="s">
        <v>129</v>
      </c>
      <c r="F674" t="s">
        <v>19</v>
      </c>
      <c r="G674" t="s">
        <v>32</v>
      </c>
      <c r="H674" t="s">
        <v>115</v>
      </c>
      <c r="I674">
        <v>11</v>
      </c>
      <c r="J674">
        <v>9.84</v>
      </c>
      <c r="K674">
        <v>10</v>
      </c>
      <c r="L674">
        <v>97.42</v>
      </c>
      <c r="M674">
        <v>25.84</v>
      </c>
      <c r="N674">
        <v>22.87</v>
      </c>
      <c r="O674" t="s">
        <v>34</v>
      </c>
      <c r="P674">
        <v>2024</v>
      </c>
      <c r="Q674" t="s">
        <v>3631</v>
      </c>
      <c r="R674">
        <v>87.677999999999997</v>
      </c>
      <c r="S674">
        <v>0.260840803850453</v>
      </c>
      <c r="T674" t="s">
        <v>3634</v>
      </c>
      <c r="U674" t="s">
        <v>3633</v>
      </c>
    </row>
    <row r="675" spans="1:21" x14ac:dyDescent="0.25">
      <c r="A675" t="s">
        <v>1383</v>
      </c>
      <c r="B675" s="1">
        <v>45295</v>
      </c>
      <c r="C675" t="s">
        <v>1384</v>
      </c>
      <c r="D675" t="s">
        <v>17</v>
      </c>
      <c r="E675" t="s">
        <v>67</v>
      </c>
      <c r="F675" t="s">
        <v>68</v>
      </c>
      <c r="G675" t="s">
        <v>42</v>
      </c>
      <c r="H675" t="s">
        <v>89</v>
      </c>
      <c r="I675">
        <v>1</v>
      </c>
      <c r="J675">
        <v>246.96</v>
      </c>
      <c r="K675">
        <v>10</v>
      </c>
      <c r="L675">
        <v>222.26</v>
      </c>
      <c r="M675">
        <v>10.51</v>
      </c>
      <c r="N675">
        <v>63.57</v>
      </c>
      <c r="O675" t="s">
        <v>39</v>
      </c>
      <c r="P675">
        <v>2024</v>
      </c>
      <c r="Q675" t="s">
        <v>3631</v>
      </c>
      <c r="R675">
        <v>200.03399999999999</v>
      </c>
      <c r="S675">
        <v>0.31779597468430398</v>
      </c>
      <c r="T675" t="s">
        <v>3632</v>
      </c>
      <c r="U675" t="s">
        <v>3633</v>
      </c>
    </row>
    <row r="676" spans="1:21" x14ac:dyDescent="0.25">
      <c r="A676" t="s">
        <v>1385</v>
      </c>
      <c r="B676" s="1">
        <v>45295</v>
      </c>
      <c r="C676" t="s">
        <v>1386</v>
      </c>
      <c r="D676" t="s">
        <v>30</v>
      </c>
      <c r="E676" t="s">
        <v>76</v>
      </c>
      <c r="F676" t="s">
        <v>26</v>
      </c>
      <c r="G676" t="s">
        <v>32</v>
      </c>
      <c r="H676" t="s">
        <v>132</v>
      </c>
      <c r="I676">
        <v>2</v>
      </c>
      <c r="J676">
        <v>17.170000000000002</v>
      </c>
      <c r="K676">
        <v>5</v>
      </c>
      <c r="L676">
        <v>32.619999999999997</v>
      </c>
      <c r="M676">
        <v>10.14</v>
      </c>
      <c r="N676">
        <v>7.03</v>
      </c>
      <c r="O676" t="s">
        <v>56</v>
      </c>
      <c r="P676">
        <v>2024</v>
      </c>
      <c r="Q676" t="s">
        <v>3631</v>
      </c>
      <c r="R676">
        <v>30.989000000000001</v>
      </c>
      <c r="S676">
        <v>0.22685469037400399</v>
      </c>
      <c r="T676" t="s">
        <v>3634</v>
      </c>
      <c r="U676" t="s">
        <v>3633</v>
      </c>
    </row>
    <row r="677" spans="1:21" x14ac:dyDescent="0.25">
      <c r="A677" t="s">
        <v>1387</v>
      </c>
      <c r="B677" s="1">
        <v>45295</v>
      </c>
      <c r="C677" t="s">
        <v>1388</v>
      </c>
      <c r="D677" t="s">
        <v>30</v>
      </c>
      <c r="E677" t="s">
        <v>37</v>
      </c>
      <c r="F677" t="s">
        <v>26</v>
      </c>
      <c r="G677" t="s">
        <v>32</v>
      </c>
      <c r="H677" t="s">
        <v>132</v>
      </c>
      <c r="I677">
        <v>1</v>
      </c>
      <c r="J677">
        <v>11.89</v>
      </c>
      <c r="K677">
        <v>0</v>
      </c>
      <c r="L677">
        <v>11.89</v>
      </c>
      <c r="M677">
        <v>7.53</v>
      </c>
      <c r="N677">
        <v>-0.99</v>
      </c>
      <c r="O677" t="s">
        <v>56</v>
      </c>
      <c r="P677">
        <v>2024</v>
      </c>
      <c r="Q677" t="s">
        <v>3631</v>
      </c>
      <c r="R677">
        <v>11.89</v>
      </c>
      <c r="S677">
        <v>-8.3263246425567705E-2</v>
      </c>
      <c r="T677" t="s">
        <v>3634</v>
      </c>
      <c r="U677" t="s">
        <v>3636</v>
      </c>
    </row>
    <row r="678" spans="1:21" x14ac:dyDescent="0.25">
      <c r="A678" t="s">
        <v>1389</v>
      </c>
      <c r="B678" s="1">
        <v>45297</v>
      </c>
      <c r="C678" t="s">
        <v>1390</v>
      </c>
      <c r="D678" t="s">
        <v>17</v>
      </c>
      <c r="E678" t="s">
        <v>169</v>
      </c>
      <c r="F678" t="s">
        <v>68</v>
      </c>
      <c r="G678" t="s">
        <v>32</v>
      </c>
      <c r="H678" t="s">
        <v>50</v>
      </c>
      <c r="I678">
        <v>5</v>
      </c>
      <c r="J678">
        <v>17.43</v>
      </c>
      <c r="K678">
        <v>0</v>
      </c>
      <c r="L678">
        <v>87.15</v>
      </c>
      <c r="M678">
        <v>13.79</v>
      </c>
      <c r="N678">
        <v>34.14</v>
      </c>
      <c r="O678" t="s">
        <v>34</v>
      </c>
      <c r="P678">
        <v>2024</v>
      </c>
      <c r="Q678" t="s">
        <v>3631</v>
      </c>
      <c r="R678">
        <v>87.15</v>
      </c>
      <c r="S678">
        <v>0.39173838209982798</v>
      </c>
      <c r="T678" t="s">
        <v>3634</v>
      </c>
      <c r="U678" t="s">
        <v>3633</v>
      </c>
    </row>
    <row r="679" spans="1:21" x14ac:dyDescent="0.25">
      <c r="A679" t="s">
        <v>1391</v>
      </c>
      <c r="B679" s="1">
        <v>45298</v>
      </c>
      <c r="C679" t="s">
        <v>1392</v>
      </c>
      <c r="D679" t="s">
        <v>30</v>
      </c>
      <c r="E679" t="s">
        <v>37</v>
      </c>
      <c r="F679" t="s">
        <v>26</v>
      </c>
      <c r="G679" t="s">
        <v>69</v>
      </c>
      <c r="H679" t="s">
        <v>243</v>
      </c>
      <c r="I679">
        <v>3</v>
      </c>
      <c r="J679">
        <v>22.55</v>
      </c>
      <c r="K679">
        <v>10</v>
      </c>
      <c r="L679">
        <v>60.89</v>
      </c>
      <c r="M679">
        <v>12.39</v>
      </c>
      <c r="N679">
        <v>14.67</v>
      </c>
      <c r="O679" t="s">
        <v>34</v>
      </c>
      <c r="P679">
        <v>2024</v>
      </c>
      <c r="Q679" t="s">
        <v>3631</v>
      </c>
      <c r="R679">
        <v>54.801000000000002</v>
      </c>
      <c r="S679">
        <v>0.26769584496633297</v>
      </c>
      <c r="T679" t="s">
        <v>3634</v>
      </c>
      <c r="U679" t="s">
        <v>3633</v>
      </c>
    </row>
    <row r="680" spans="1:21" x14ac:dyDescent="0.25">
      <c r="A680" t="s">
        <v>1393</v>
      </c>
      <c r="B680" s="1">
        <v>45299</v>
      </c>
      <c r="C680" t="s">
        <v>1394</v>
      </c>
      <c r="D680" t="s">
        <v>30</v>
      </c>
      <c r="E680" t="s">
        <v>31</v>
      </c>
      <c r="F680" t="s">
        <v>19</v>
      </c>
      <c r="G680" t="s">
        <v>42</v>
      </c>
      <c r="H680" t="s">
        <v>46</v>
      </c>
      <c r="I680">
        <v>2</v>
      </c>
      <c r="J680">
        <v>161.38999999999999</v>
      </c>
      <c r="K680">
        <v>5</v>
      </c>
      <c r="L680">
        <v>306.64</v>
      </c>
      <c r="M680">
        <v>8.36</v>
      </c>
      <c r="N680">
        <v>104.61</v>
      </c>
      <c r="O680" t="s">
        <v>34</v>
      </c>
      <c r="P680">
        <v>2024</v>
      </c>
      <c r="Q680" t="s">
        <v>3631</v>
      </c>
      <c r="R680">
        <v>291.30799999999999</v>
      </c>
      <c r="S680">
        <v>0.35910445301879801</v>
      </c>
      <c r="T680" t="s">
        <v>3632</v>
      </c>
      <c r="U680" t="s">
        <v>3633</v>
      </c>
    </row>
    <row r="681" spans="1:21" x14ac:dyDescent="0.25">
      <c r="A681" t="s">
        <v>1395</v>
      </c>
      <c r="B681" s="1">
        <v>45299</v>
      </c>
      <c r="C681" t="s">
        <v>1396</v>
      </c>
      <c r="D681" t="s">
        <v>30</v>
      </c>
      <c r="E681" t="s">
        <v>129</v>
      </c>
      <c r="F681" t="s">
        <v>19</v>
      </c>
      <c r="G681" t="s">
        <v>20</v>
      </c>
      <c r="H681" t="s">
        <v>175</v>
      </c>
      <c r="I681">
        <v>1</v>
      </c>
      <c r="J681">
        <v>47.57</v>
      </c>
      <c r="K681">
        <v>0</v>
      </c>
      <c r="L681">
        <v>47.57</v>
      </c>
      <c r="M681">
        <v>5.87</v>
      </c>
      <c r="N681">
        <v>15.54</v>
      </c>
      <c r="O681" t="s">
        <v>56</v>
      </c>
      <c r="P681">
        <v>2024</v>
      </c>
      <c r="Q681" t="s">
        <v>3631</v>
      </c>
      <c r="R681">
        <v>47.57</v>
      </c>
      <c r="S681">
        <v>0.32667647677107398</v>
      </c>
      <c r="T681" t="s">
        <v>3634</v>
      </c>
      <c r="U681" t="s">
        <v>3633</v>
      </c>
    </row>
    <row r="682" spans="1:21" x14ac:dyDescent="0.25">
      <c r="A682" t="s">
        <v>1397</v>
      </c>
      <c r="B682" s="1">
        <v>45299</v>
      </c>
      <c r="C682" t="s">
        <v>532</v>
      </c>
      <c r="D682" t="s">
        <v>30</v>
      </c>
      <c r="E682" t="s">
        <v>18</v>
      </c>
      <c r="F682" t="s">
        <v>19</v>
      </c>
      <c r="G682" t="s">
        <v>42</v>
      </c>
      <c r="H682" t="s">
        <v>89</v>
      </c>
      <c r="I682">
        <v>4</v>
      </c>
      <c r="J682">
        <v>259.86</v>
      </c>
      <c r="K682">
        <v>5</v>
      </c>
      <c r="L682">
        <v>987.47</v>
      </c>
      <c r="M682">
        <v>13.35</v>
      </c>
      <c r="N682">
        <v>350.46</v>
      </c>
      <c r="O682" t="s">
        <v>34</v>
      </c>
      <c r="P682">
        <v>2024</v>
      </c>
      <c r="Q682" t="s">
        <v>3631</v>
      </c>
      <c r="R682">
        <v>938.09649999999999</v>
      </c>
      <c r="S682">
        <v>0.37358629949051098</v>
      </c>
      <c r="T682" t="s">
        <v>3635</v>
      </c>
      <c r="U682" t="s">
        <v>3633</v>
      </c>
    </row>
    <row r="683" spans="1:21" x14ac:dyDescent="0.25">
      <c r="A683" t="s">
        <v>1398</v>
      </c>
      <c r="B683" s="1">
        <v>45300</v>
      </c>
      <c r="C683" t="s">
        <v>296</v>
      </c>
      <c r="D683" t="s">
        <v>17</v>
      </c>
      <c r="E683" t="s">
        <v>67</v>
      </c>
      <c r="F683" t="s">
        <v>68</v>
      </c>
      <c r="G683" t="s">
        <v>69</v>
      </c>
      <c r="H683" t="s">
        <v>196</v>
      </c>
      <c r="I683">
        <v>6</v>
      </c>
      <c r="J683">
        <v>12.29</v>
      </c>
      <c r="K683">
        <v>5</v>
      </c>
      <c r="L683">
        <v>70.05</v>
      </c>
      <c r="M683">
        <v>13.2</v>
      </c>
      <c r="N683">
        <v>19.98</v>
      </c>
      <c r="O683" t="s">
        <v>56</v>
      </c>
      <c r="P683">
        <v>2024</v>
      </c>
      <c r="Q683" t="s">
        <v>3631</v>
      </c>
      <c r="R683">
        <v>66.547499999999999</v>
      </c>
      <c r="S683">
        <v>0.30023667305308199</v>
      </c>
      <c r="T683" t="s">
        <v>3634</v>
      </c>
      <c r="U683" t="s">
        <v>3633</v>
      </c>
    </row>
    <row r="684" spans="1:21" x14ac:dyDescent="0.25">
      <c r="A684" t="s">
        <v>1399</v>
      </c>
      <c r="B684" s="1">
        <v>45300</v>
      </c>
      <c r="C684" t="s">
        <v>1400</v>
      </c>
      <c r="D684" t="s">
        <v>49</v>
      </c>
      <c r="E684" t="s">
        <v>31</v>
      </c>
      <c r="F684" t="s">
        <v>19</v>
      </c>
      <c r="G684" t="s">
        <v>42</v>
      </c>
      <c r="H684" t="s">
        <v>93</v>
      </c>
      <c r="I684">
        <v>3</v>
      </c>
      <c r="J684">
        <v>192.53</v>
      </c>
      <c r="K684">
        <v>0</v>
      </c>
      <c r="L684">
        <v>577.59</v>
      </c>
      <c r="M684">
        <v>10.09</v>
      </c>
      <c r="N684">
        <v>220.95</v>
      </c>
      <c r="O684" t="s">
        <v>34</v>
      </c>
      <c r="P684">
        <v>2024</v>
      </c>
      <c r="Q684" t="s">
        <v>3631</v>
      </c>
      <c r="R684">
        <v>577.59</v>
      </c>
      <c r="S684">
        <v>0.38253778631901503</v>
      </c>
      <c r="T684" t="s">
        <v>3635</v>
      </c>
      <c r="U684" t="s">
        <v>3633</v>
      </c>
    </row>
    <row r="685" spans="1:21" x14ac:dyDescent="0.25">
      <c r="A685" t="s">
        <v>1401</v>
      </c>
      <c r="B685" s="1">
        <v>45301</v>
      </c>
      <c r="C685" t="s">
        <v>1402</v>
      </c>
      <c r="D685" t="s">
        <v>17</v>
      </c>
      <c r="E685" t="s">
        <v>129</v>
      </c>
      <c r="F685" t="s">
        <v>19</v>
      </c>
      <c r="G685" t="s">
        <v>32</v>
      </c>
      <c r="H685" t="s">
        <v>110</v>
      </c>
      <c r="I685">
        <v>4</v>
      </c>
      <c r="J685">
        <v>6.51</v>
      </c>
      <c r="K685">
        <v>5</v>
      </c>
      <c r="L685">
        <v>24.74</v>
      </c>
      <c r="M685">
        <v>14.84</v>
      </c>
      <c r="N685">
        <v>-1.82</v>
      </c>
      <c r="O685" t="s">
        <v>34</v>
      </c>
      <c r="P685">
        <v>2024</v>
      </c>
      <c r="Q685" t="s">
        <v>3631</v>
      </c>
      <c r="R685">
        <v>23.503</v>
      </c>
      <c r="S685">
        <v>-7.7436922946006903E-2</v>
      </c>
      <c r="T685" t="s">
        <v>3634</v>
      </c>
      <c r="U685" t="s">
        <v>3636</v>
      </c>
    </row>
    <row r="686" spans="1:21" x14ac:dyDescent="0.25">
      <c r="A686" t="s">
        <v>1403</v>
      </c>
      <c r="B686" s="1">
        <v>45301</v>
      </c>
      <c r="C686" t="s">
        <v>1404</v>
      </c>
      <c r="D686" t="s">
        <v>30</v>
      </c>
      <c r="E686" t="s">
        <v>25</v>
      </c>
      <c r="F686" t="s">
        <v>26</v>
      </c>
      <c r="G686" t="s">
        <v>20</v>
      </c>
      <c r="H686" t="s">
        <v>264</v>
      </c>
      <c r="I686">
        <v>1</v>
      </c>
      <c r="J686">
        <v>32.020000000000003</v>
      </c>
      <c r="K686">
        <v>5</v>
      </c>
      <c r="L686">
        <v>30.42</v>
      </c>
      <c r="M686">
        <v>8.2799999999999994</v>
      </c>
      <c r="N686">
        <v>4.53</v>
      </c>
      <c r="O686" t="s">
        <v>22</v>
      </c>
      <c r="P686">
        <v>2024</v>
      </c>
      <c r="Q686" t="s">
        <v>3631</v>
      </c>
      <c r="R686">
        <v>28.899000000000001</v>
      </c>
      <c r="S686">
        <v>0.15675282881760599</v>
      </c>
      <c r="T686" t="s">
        <v>3634</v>
      </c>
      <c r="U686" t="s">
        <v>3633</v>
      </c>
    </row>
    <row r="687" spans="1:21" x14ac:dyDescent="0.25">
      <c r="A687" t="s">
        <v>1405</v>
      </c>
      <c r="B687" s="1">
        <v>45301</v>
      </c>
      <c r="C687" t="s">
        <v>1406</v>
      </c>
      <c r="D687" t="s">
        <v>49</v>
      </c>
      <c r="E687" t="s">
        <v>31</v>
      </c>
      <c r="F687" t="s">
        <v>19</v>
      </c>
      <c r="G687" t="s">
        <v>20</v>
      </c>
      <c r="H687" t="s">
        <v>21</v>
      </c>
      <c r="I687">
        <v>2</v>
      </c>
      <c r="J687">
        <v>155.87</v>
      </c>
      <c r="K687">
        <v>15</v>
      </c>
      <c r="L687">
        <v>264.98</v>
      </c>
      <c r="M687">
        <v>6.43</v>
      </c>
      <c r="N687">
        <v>87.09</v>
      </c>
      <c r="O687" t="s">
        <v>39</v>
      </c>
      <c r="P687">
        <v>2024</v>
      </c>
      <c r="Q687" t="s">
        <v>3631</v>
      </c>
      <c r="R687">
        <v>225.233</v>
      </c>
      <c r="S687">
        <v>0.38666625228097101</v>
      </c>
      <c r="T687" t="s">
        <v>3632</v>
      </c>
      <c r="U687" t="s">
        <v>3633</v>
      </c>
    </row>
    <row r="688" spans="1:21" x14ac:dyDescent="0.25">
      <c r="A688" t="s">
        <v>1407</v>
      </c>
      <c r="B688" s="1">
        <v>45302</v>
      </c>
      <c r="C688" t="s">
        <v>1408</v>
      </c>
      <c r="D688" t="s">
        <v>49</v>
      </c>
      <c r="E688" t="s">
        <v>59</v>
      </c>
      <c r="F688" t="s">
        <v>60</v>
      </c>
      <c r="G688" t="s">
        <v>20</v>
      </c>
      <c r="H688" t="s">
        <v>264</v>
      </c>
      <c r="I688">
        <v>5</v>
      </c>
      <c r="J688">
        <v>62.1</v>
      </c>
      <c r="K688">
        <v>0</v>
      </c>
      <c r="L688">
        <v>310.5</v>
      </c>
      <c r="M688">
        <v>11.64</v>
      </c>
      <c r="N688">
        <v>128.08000000000001</v>
      </c>
      <c r="O688" t="s">
        <v>56</v>
      </c>
      <c r="P688">
        <v>2024</v>
      </c>
      <c r="Q688" t="s">
        <v>3631</v>
      </c>
      <c r="R688">
        <v>310.5</v>
      </c>
      <c r="S688">
        <v>0.41249597423510498</v>
      </c>
      <c r="T688" t="s">
        <v>3632</v>
      </c>
      <c r="U688" t="s">
        <v>3633</v>
      </c>
    </row>
    <row r="689" spans="1:21" x14ac:dyDescent="0.25">
      <c r="A689" t="s">
        <v>1409</v>
      </c>
      <c r="B689" s="1">
        <v>45304</v>
      </c>
      <c r="C689" t="s">
        <v>1410</v>
      </c>
      <c r="D689" t="s">
        <v>17</v>
      </c>
      <c r="E689" t="s">
        <v>248</v>
      </c>
      <c r="F689" t="s">
        <v>26</v>
      </c>
      <c r="G689" t="s">
        <v>32</v>
      </c>
      <c r="H689" t="s">
        <v>101</v>
      </c>
      <c r="I689">
        <v>1</v>
      </c>
      <c r="J689">
        <v>21.65</v>
      </c>
      <c r="K689">
        <v>10</v>
      </c>
      <c r="L689">
        <v>19.48</v>
      </c>
      <c r="M689">
        <v>9.4499999999999993</v>
      </c>
      <c r="N689">
        <v>0.28999999999999998</v>
      </c>
      <c r="O689" t="s">
        <v>39</v>
      </c>
      <c r="P689">
        <v>2024</v>
      </c>
      <c r="Q689" t="s">
        <v>3631</v>
      </c>
      <c r="R689">
        <v>17.532</v>
      </c>
      <c r="S689">
        <v>1.65411818389231E-2</v>
      </c>
      <c r="T689" t="s">
        <v>3634</v>
      </c>
      <c r="U689" t="s">
        <v>3633</v>
      </c>
    </row>
    <row r="690" spans="1:21" x14ac:dyDescent="0.25">
      <c r="A690" t="s">
        <v>1411</v>
      </c>
      <c r="B690" s="1">
        <v>45304</v>
      </c>
      <c r="C690" t="s">
        <v>641</v>
      </c>
      <c r="D690" t="s">
        <v>49</v>
      </c>
      <c r="E690" t="s">
        <v>67</v>
      </c>
      <c r="F690" t="s">
        <v>68</v>
      </c>
      <c r="G690" t="s">
        <v>69</v>
      </c>
      <c r="H690" t="s">
        <v>305</v>
      </c>
      <c r="I690">
        <v>1</v>
      </c>
      <c r="J690">
        <v>21.54</v>
      </c>
      <c r="K690">
        <v>15</v>
      </c>
      <c r="L690">
        <v>18.309999999999999</v>
      </c>
      <c r="M690">
        <v>12.49</v>
      </c>
      <c r="N690">
        <v>-4.95</v>
      </c>
      <c r="O690" t="s">
        <v>34</v>
      </c>
      <c r="P690">
        <v>2024</v>
      </c>
      <c r="Q690" t="s">
        <v>3631</v>
      </c>
      <c r="R690">
        <v>15.563499999999999</v>
      </c>
      <c r="S690">
        <v>-0.318051852089826</v>
      </c>
      <c r="T690" t="s">
        <v>3634</v>
      </c>
      <c r="U690" t="s">
        <v>3636</v>
      </c>
    </row>
    <row r="691" spans="1:21" x14ac:dyDescent="0.25">
      <c r="A691" t="s">
        <v>1412</v>
      </c>
      <c r="B691" s="1">
        <v>45304</v>
      </c>
      <c r="C691" t="s">
        <v>1413</v>
      </c>
      <c r="D691" t="s">
        <v>49</v>
      </c>
      <c r="E691" t="s">
        <v>138</v>
      </c>
      <c r="F691" t="s">
        <v>54</v>
      </c>
      <c r="G691" t="s">
        <v>20</v>
      </c>
      <c r="H691" t="s">
        <v>122</v>
      </c>
      <c r="I691">
        <v>2</v>
      </c>
      <c r="J691">
        <v>75.67</v>
      </c>
      <c r="K691">
        <v>0</v>
      </c>
      <c r="L691">
        <v>151.34</v>
      </c>
      <c r="M691">
        <v>12.13</v>
      </c>
      <c r="N691">
        <v>55.97</v>
      </c>
      <c r="O691" t="s">
        <v>34</v>
      </c>
      <c r="P691">
        <v>2024</v>
      </c>
      <c r="Q691" t="s">
        <v>3631</v>
      </c>
      <c r="R691">
        <v>151.34</v>
      </c>
      <c r="S691">
        <v>0.36982952292850502</v>
      </c>
      <c r="T691" t="s">
        <v>3632</v>
      </c>
      <c r="U691" t="s">
        <v>3633</v>
      </c>
    </row>
    <row r="692" spans="1:21" x14ac:dyDescent="0.25">
      <c r="A692" t="s">
        <v>1414</v>
      </c>
      <c r="B692" s="1">
        <v>45304</v>
      </c>
      <c r="C692" t="s">
        <v>1415</v>
      </c>
      <c r="D692" t="s">
        <v>30</v>
      </c>
      <c r="E692" t="s">
        <v>31</v>
      </c>
      <c r="F692" t="s">
        <v>19</v>
      </c>
      <c r="G692" t="s">
        <v>69</v>
      </c>
      <c r="H692" t="s">
        <v>163</v>
      </c>
      <c r="I692">
        <v>6</v>
      </c>
      <c r="J692">
        <v>51.47</v>
      </c>
      <c r="K692">
        <v>20</v>
      </c>
      <c r="L692">
        <v>247.06</v>
      </c>
      <c r="M692">
        <v>17.98</v>
      </c>
      <c r="N692">
        <v>74.67</v>
      </c>
      <c r="O692" t="s">
        <v>56</v>
      </c>
      <c r="P692">
        <v>2024</v>
      </c>
      <c r="Q692" t="s">
        <v>3631</v>
      </c>
      <c r="R692">
        <v>197.648</v>
      </c>
      <c r="S692">
        <v>0.37779284384360101</v>
      </c>
      <c r="T692" t="s">
        <v>3632</v>
      </c>
      <c r="U692" t="s">
        <v>3633</v>
      </c>
    </row>
    <row r="693" spans="1:21" x14ac:dyDescent="0.25">
      <c r="A693" t="s">
        <v>1416</v>
      </c>
      <c r="B693" s="1">
        <v>45305</v>
      </c>
      <c r="C693" t="s">
        <v>1417</v>
      </c>
      <c r="D693" t="s">
        <v>30</v>
      </c>
      <c r="E693" t="s">
        <v>76</v>
      </c>
      <c r="F693" t="s">
        <v>26</v>
      </c>
      <c r="G693" t="s">
        <v>42</v>
      </c>
      <c r="H693" t="s">
        <v>371</v>
      </c>
      <c r="I693">
        <v>2</v>
      </c>
      <c r="J693">
        <v>81.16</v>
      </c>
      <c r="K693">
        <v>5</v>
      </c>
      <c r="L693">
        <v>154.19999999999999</v>
      </c>
      <c r="M693">
        <v>9.07</v>
      </c>
      <c r="N693">
        <v>47.74</v>
      </c>
      <c r="O693" t="s">
        <v>34</v>
      </c>
      <c r="P693">
        <v>2024</v>
      </c>
      <c r="Q693" t="s">
        <v>3631</v>
      </c>
      <c r="R693">
        <v>146.49</v>
      </c>
      <c r="S693">
        <v>0.32589255239265502</v>
      </c>
      <c r="T693" t="s">
        <v>3632</v>
      </c>
      <c r="U693" t="s">
        <v>3633</v>
      </c>
    </row>
    <row r="694" spans="1:21" x14ac:dyDescent="0.25">
      <c r="A694" t="s">
        <v>1418</v>
      </c>
      <c r="B694" s="1">
        <v>45305</v>
      </c>
      <c r="C694" t="s">
        <v>1419</v>
      </c>
      <c r="D694" t="s">
        <v>30</v>
      </c>
      <c r="E694" t="s">
        <v>148</v>
      </c>
      <c r="F694" t="s">
        <v>60</v>
      </c>
      <c r="G694" t="s">
        <v>32</v>
      </c>
      <c r="H694" t="s">
        <v>33</v>
      </c>
      <c r="I694">
        <v>3</v>
      </c>
      <c r="J694">
        <v>11.12</v>
      </c>
      <c r="K694">
        <v>15</v>
      </c>
      <c r="L694">
        <v>28.36</v>
      </c>
      <c r="M694">
        <v>13.43</v>
      </c>
      <c r="N694">
        <v>-0.08</v>
      </c>
      <c r="O694" t="s">
        <v>39</v>
      </c>
      <c r="P694">
        <v>2024</v>
      </c>
      <c r="Q694" t="s">
        <v>3631</v>
      </c>
      <c r="R694">
        <v>24.106000000000002</v>
      </c>
      <c r="S694">
        <v>-3.3186758483365101E-3</v>
      </c>
      <c r="T694" t="s">
        <v>3634</v>
      </c>
      <c r="U694" t="s">
        <v>3636</v>
      </c>
    </row>
    <row r="695" spans="1:21" x14ac:dyDescent="0.25">
      <c r="A695" t="s">
        <v>1420</v>
      </c>
      <c r="B695" s="1">
        <v>45307</v>
      </c>
      <c r="C695" t="s">
        <v>238</v>
      </c>
      <c r="D695" t="s">
        <v>49</v>
      </c>
      <c r="E695" t="s">
        <v>18</v>
      </c>
      <c r="F695" t="s">
        <v>19</v>
      </c>
      <c r="G695" t="s">
        <v>32</v>
      </c>
      <c r="H695" t="s">
        <v>50</v>
      </c>
      <c r="I695">
        <v>5</v>
      </c>
      <c r="J695">
        <v>21.03</v>
      </c>
      <c r="K695">
        <v>0</v>
      </c>
      <c r="L695">
        <v>105.15</v>
      </c>
      <c r="M695">
        <v>11.25</v>
      </c>
      <c r="N695">
        <v>46.58</v>
      </c>
      <c r="O695" t="s">
        <v>34</v>
      </c>
      <c r="P695">
        <v>2024</v>
      </c>
      <c r="Q695" t="s">
        <v>3631</v>
      </c>
      <c r="R695">
        <v>105.15</v>
      </c>
      <c r="S695">
        <v>0.44298621017593898</v>
      </c>
      <c r="T695" t="s">
        <v>3632</v>
      </c>
      <c r="U695" t="s">
        <v>3633</v>
      </c>
    </row>
    <row r="696" spans="1:21" x14ac:dyDescent="0.25">
      <c r="A696" t="s">
        <v>1421</v>
      </c>
      <c r="B696" s="1">
        <v>45307</v>
      </c>
      <c r="C696" t="s">
        <v>229</v>
      </c>
      <c r="D696" t="s">
        <v>30</v>
      </c>
      <c r="E696" t="s">
        <v>138</v>
      </c>
      <c r="F696" t="s">
        <v>54</v>
      </c>
      <c r="G696" t="s">
        <v>42</v>
      </c>
      <c r="H696" t="s">
        <v>118</v>
      </c>
      <c r="I696">
        <v>7</v>
      </c>
      <c r="J696">
        <v>34.67</v>
      </c>
      <c r="K696">
        <v>10</v>
      </c>
      <c r="L696">
        <v>218.42</v>
      </c>
      <c r="M696">
        <v>22.52</v>
      </c>
      <c r="N696">
        <v>50.29</v>
      </c>
      <c r="O696" t="s">
        <v>56</v>
      </c>
      <c r="P696">
        <v>2024</v>
      </c>
      <c r="Q696" t="s">
        <v>3631</v>
      </c>
      <c r="R696">
        <v>196.578</v>
      </c>
      <c r="S696">
        <v>0.25582720345104698</v>
      </c>
      <c r="T696" t="s">
        <v>3632</v>
      </c>
      <c r="U696" t="s">
        <v>3633</v>
      </c>
    </row>
    <row r="697" spans="1:21" x14ac:dyDescent="0.25">
      <c r="A697" t="s">
        <v>1422</v>
      </c>
      <c r="B697" s="1">
        <v>45308</v>
      </c>
      <c r="C697" t="s">
        <v>1423</v>
      </c>
      <c r="D697" t="s">
        <v>49</v>
      </c>
      <c r="E697" t="s">
        <v>31</v>
      </c>
      <c r="F697" t="s">
        <v>19</v>
      </c>
      <c r="G697" t="s">
        <v>32</v>
      </c>
      <c r="H697" t="s">
        <v>348</v>
      </c>
      <c r="I697">
        <v>2</v>
      </c>
      <c r="J697">
        <v>11.84</v>
      </c>
      <c r="K697">
        <v>10</v>
      </c>
      <c r="L697">
        <v>21.31</v>
      </c>
      <c r="M697">
        <v>9.8699999999999992</v>
      </c>
      <c r="N697">
        <v>0.78</v>
      </c>
      <c r="O697" t="s">
        <v>34</v>
      </c>
      <c r="P697">
        <v>2024</v>
      </c>
      <c r="Q697" t="s">
        <v>3631</v>
      </c>
      <c r="R697">
        <v>19.178999999999998</v>
      </c>
      <c r="S697">
        <v>4.0669482246206798E-2</v>
      </c>
      <c r="T697" t="s">
        <v>3634</v>
      </c>
      <c r="U697" t="s">
        <v>3633</v>
      </c>
    </row>
    <row r="698" spans="1:21" x14ac:dyDescent="0.25">
      <c r="A698" t="s">
        <v>1424</v>
      </c>
      <c r="B698" s="1">
        <v>45308</v>
      </c>
      <c r="C698" t="s">
        <v>291</v>
      </c>
      <c r="D698" t="s">
        <v>30</v>
      </c>
      <c r="E698" t="s">
        <v>85</v>
      </c>
      <c r="F698" t="s">
        <v>60</v>
      </c>
      <c r="G698" t="s">
        <v>20</v>
      </c>
      <c r="H698" t="s">
        <v>106</v>
      </c>
      <c r="I698">
        <v>4</v>
      </c>
      <c r="J698">
        <v>27.55</v>
      </c>
      <c r="K698">
        <v>20</v>
      </c>
      <c r="L698">
        <v>88.16</v>
      </c>
      <c r="M698">
        <v>14.39</v>
      </c>
      <c r="N698">
        <v>13.16</v>
      </c>
      <c r="O698" t="s">
        <v>56</v>
      </c>
      <c r="P698">
        <v>2024</v>
      </c>
      <c r="Q698" t="s">
        <v>3631</v>
      </c>
      <c r="R698">
        <v>70.528000000000006</v>
      </c>
      <c r="S698">
        <v>0.186592558983666</v>
      </c>
      <c r="T698" t="s">
        <v>3634</v>
      </c>
      <c r="U698" t="s">
        <v>3633</v>
      </c>
    </row>
    <row r="699" spans="1:21" x14ac:dyDescent="0.25">
      <c r="A699" t="s">
        <v>1425</v>
      </c>
      <c r="B699" s="1">
        <v>45309</v>
      </c>
      <c r="C699" t="s">
        <v>835</v>
      </c>
      <c r="D699" t="s">
        <v>30</v>
      </c>
      <c r="E699" t="s">
        <v>148</v>
      </c>
      <c r="F699" t="s">
        <v>60</v>
      </c>
      <c r="G699" t="s">
        <v>32</v>
      </c>
      <c r="H699" t="s">
        <v>73</v>
      </c>
      <c r="I699">
        <v>1</v>
      </c>
      <c r="J699">
        <v>9.9600000000000009</v>
      </c>
      <c r="K699">
        <v>15</v>
      </c>
      <c r="L699">
        <v>8.4700000000000006</v>
      </c>
      <c r="M699">
        <v>9.9</v>
      </c>
      <c r="N699">
        <v>-5.91</v>
      </c>
      <c r="O699" t="s">
        <v>56</v>
      </c>
      <c r="P699">
        <v>2024</v>
      </c>
      <c r="Q699" t="s">
        <v>3631</v>
      </c>
      <c r="R699">
        <v>7.1994999999999996</v>
      </c>
      <c r="S699">
        <v>-0.82089033960691704</v>
      </c>
      <c r="T699" t="s">
        <v>3634</v>
      </c>
      <c r="U699" t="s">
        <v>3636</v>
      </c>
    </row>
    <row r="700" spans="1:21" x14ac:dyDescent="0.25">
      <c r="A700" t="s">
        <v>1426</v>
      </c>
      <c r="B700" s="1">
        <v>45310</v>
      </c>
      <c r="C700" t="s">
        <v>1427</v>
      </c>
      <c r="D700" t="s">
        <v>17</v>
      </c>
      <c r="E700" t="s">
        <v>129</v>
      </c>
      <c r="F700" t="s">
        <v>19</v>
      </c>
      <c r="G700" t="s">
        <v>20</v>
      </c>
      <c r="H700" t="s">
        <v>38</v>
      </c>
      <c r="I700">
        <v>3</v>
      </c>
      <c r="J700">
        <v>34.06</v>
      </c>
      <c r="K700">
        <v>10</v>
      </c>
      <c r="L700">
        <v>91.96</v>
      </c>
      <c r="M700">
        <v>12.43</v>
      </c>
      <c r="N700">
        <v>23.33</v>
      </c>
      <c r="O700" t="s">
        <v>39</v>
      </c>
      <c r="P700">
        <v>2024</v>
      </c>
      <c r="Q700" t="s">
        <v>3631</v>
      </c>
      <c r="R700">
        <v>82.763999999999996</v>
      </c>
      <c r="S700">
        <v>0.28188584408680101</v>
      </c>
      <c r="T700" t="s">
        <v>3634</v>
      </c>
      <c r="U700" t="s">
        <v>3633</v>
      </c>
    </row>
    <row r="701" spans="1:21" x14ac:dyDescent="0.25">
      <c r="A701" t="s">
        <v>1428</v>
      </c>
      <c r="B701" s="1">
        <v>45310</v>
      </c>
      <c r="C701" t="s">
        <v>1429</v>
      </c>
      <c r="D701" t="s">
        <v>30</v>
      </c>
      <c r="E701" t="s">
        <v>129</v>
      </c>
      <c r="F701" t="s">
        <v>19</v>
      </c>
      <c r="G701" t="s">
        <v>42</v>
      </c>
      <c r="H701" t="s">
        <v>118</v>
      </c>
      <c r="I701">
        <v>2</v>
      </c>
      <c r="J701">
        <v>61.68</v>
      </c>
      <c r="K701">
        <v>20</v>
      </c>
      <c r="L701">
        <v>98.69</v>
      </c>
      <c r="M701">
        <v>6.34</v>
      </c>
      <c r="N701">
        <v>18.329999999999998</v>
      </c>
      <c r="O701" t="s">
        <v>39</v>
      </c>
      <c r="P701">
        <v>2024</v>
      </c>
      <c r="Q701" t="s">
        <v>3631</v>
      </c>
      <c r="R701">
        <v>78.951999999999998</v>
      </c>
      <c r="S701">
        <v>0.232166379572398</v>
      </c>
      <c r="T701" t="s">
        <v>3634</v>
      </c>
      <c r="U701" t="s">
        <v>3633</v>
      </c>
    </row>
    <row r="702" spans="1:21" x14ac:dyDescent="0.25">
      <c r="A702" t="s">
        <v>1430</v>
      </c>
      <c r="B702" s="1">
        <v>45310</v>
      </c>
      <c r="C702" t="s">
        <v>1431</v>
      </c>
      <c r="D702" t="s">
        <v>30</v>
      </c>
      <c r="E702" t="s">
        <v>59</v>
      </c>
      <c r="F702" t="s">
        <v>60</v>
      </c>
      <c r="G702" t="s">
        <v>32</v>
      </c>
      <c r="H702" t="s">
        <v>110</v>
      </c>
      <c r="I702">
        <v>4</v>
      </c>
      <c r="J702">
        <v>5.79</v>
      </c>
      <c r="K702">
        <v>10</v>
      </c>
      <c r="L702">
        <v>20.84</v>
      </c>
      <c r="M702">
        <v>15.81</v>
      </c>
      <c r="N702">
        <v>-5.39</v>
      </c>
      <c r="O702" t="s">
        <v>39</v>
      </c>
      <c r="P702">
        <v>2024</v>
      </c>
      <c r="Q702" t="s">
        <v>3631</v>
      </c>
      <c r="R702">
        <v>18.756</v>
      </c>
      <c r="S702">
        <v>-0.28737470676050297</v>
      </c>
      <c r="T702" t="s">
        <v>3634</v>
      </c>
      <c r="U702" t="s">
        <v>3636</v>
      </c>
    </row>
    <row r="703" spans="1:21" x14ac:dyDescent="0.25">
      <c r="A703" t="s">
        <v>1432</v>
      </c>
      <c r="B703" s="1">
        <v>45311</v>
      </c>
      <c r="C703" t="s">
        <v>738</v>
      </c>
      <c r="D703" t="s">
        <v>49</v>
      </c>
      <c r="E703" t="s">
        <v>31</v>
      </c>
      <c r="F703" t="s">
        <v>19</v>
      </c>
      <c r="G703" t="s">
        <v>20</v>
      </c>
      <c r="H703" t="s">
        <v>264</v>
      </c>
      <c r="I703">
        <v>1</v>
      </c>
      <c r="J703">
        <v>36.549999999999997</v>
      </c>
      <c r="K703">
        <v>5</v>
      </c>
      <c r="L703">
        <v>34.72</v>
      </c>
      <c r="M703">
        <v>5.81</v>
      </c>
      <c r="N703">
        <v>8.81</v>
      </c>
      <c r="O703" t="s">
        <v>34</v>
      </c>
      <c r="P703">
        <v>2024</v>
      </c>
      <c r="Q703" t="s">
        <v>3631</v>
      </c>
      <c r="R703">
        <v>32.984000000000002</v>
      </c>
      <c r="S703">
        <v>0.26709919961193301</v>
      </c>
      <c r="T703" t="s">
        <v>3634</v>
      </c>
      <c r="U703" t="s">
        <v>3633</v>
      </c>
    </row>
    <row r="704" spans="1:21" x14ac:dyDescent="0.25">
      <c r="A704" t="s">
        <v>1433</v>
      </c>
      <c r="B704" s="1">
        <v>45311</v>
      </c>
      <c r="C704" t="s">
        <v>1434</v>
      </c>
      <c r="D704" t="s">
        <v>17</v>
      </c>
      <c r="E704" t="s">
        <v>31</v>
      </c>
      <c r="F704" t="s">
        <v>19</v>
      </c>
      <c r="G704" t="s">
        <v>20</v>
      </c>
      <c r="H704" t="s">
        <v>106</v>
      </c>
      <c r="I704">
        <v>4</v>
      </c>
      <c r="J704">
        <v>35.549999999999997</v>
      </c>
      <c r="K704">
        <v>5</v>
      </c>
      <c r="L704">
        <v>135.09</v>
      </c>
      <c r="M704">
        <v>11.22</v>
      </c>
      <c r="N704">
        <v>45.66</v>
      </c>
      <c r="O704" t="s">
        <v>34</v>
      </c>
      <c r="P704">
        <v>2024</v>
      </c>
      <c r="Q704" t="s">
        <v>3631</v>
      </c>
      <c r="R704">
        <v>128.3355</v>
      </c>
      <c r="S704">
        <v>0.35578620101219099</v>
      </c>
      <c r="T704" t="s">
        <v>3632</v>
      </c>
      <c r="U704" t="s">
        <v>3633</v>
      </c>
    </row>
    <row r="705" spans="1:21" x14ac:dyDescent="0.25">
      <c r="A705" t="s">
        <v>1435</v>
      </c>
      <c r="B705" s="1">
        <v>45312</v>
      </c>
      <c r="C705" t="s">
        <v>1436</v>
      </c>
      <c r="D705" t="s">
        <v>17</v>
      </c>
      <c r="E705" t="s">
        <v>85</v>
      </c>
      <c r="F705" t="s">
        <v>60</v>
      </c>
      <c r="G705" t="s">
        <v>42</v>
      </c>
      <c r="H705" t="s">
        <v>43</v>
      </c>
      <c r="I705">
        <v>1</v>
      </c>
      <c r="J705">
        <v>197.67</v>
      </c>
      <c r="K705">
        <v>25</v>
      </c>
      <c r="L705">
        <v>148.25</v>
      </c>
      <c r="M705">
        <v>9.65</v>
      </c>
      <c r="N705">
        <v>20</v>
      </c>
      <c r="O705" t="s">
        <v>34</v>
      </c>
      <c r="P705">
        <v>2024</v>
      </c>
      <c r="Q705" t="s">
        <v>3631</v>
      </c>
      <c r="R705">
        <v>111.1875</v>
      </c>
      <c r="S705">
        <v>0.17987633501967401</v>
      </c>
      <c r="T705" t="s">
        <v>3632</v>
      </c>
      <c r="U705" t="s">
        <v>3633</v>
      </c>
    </row>
    <row r="706" spans="1:21" x14ac:dyDescent="0.25">
      <c r="A706" t="s">
        <v>1437</v>
      </c>
      <c r="B706" s="1">
        <v>45312</v>
      </c>
      <c r="C706" t="s">
        <v>1126</v>
      </c>
      <c r="D706" t="s">
        <v>30</v>
      </c>
      <c r="E706" t="s">
        <v>18</v>
      </c>
      <c r="F706" t="s">
        <v>19</v>
      </c>
      <c r="G706" t="s">
        <v>20</v>
      </c>
      <c r="H706" t="s">
        <v>170</v>
      </c>
      <c r="I706">
        <v>2</v>
      </c>
      <c r="J706">
        <v>49.24</v>
      </c>
      <c r="K706">
        <v>10</v>
      </c>
      <c r="L706">
        <v>88.63</v>
      </c>
      <c r="M706">
        <v>9.16</v>
      </c>
      <c r="N706">
        <v>25.31</v>
      </c>
      <c r="O706" t="s">
        <v>34</v>
      </c>
      <c r="P706">
        <v>2024</v>
      </c>
      <c r="Q706" t="s">
        <v>3631</v>
      </c>
      <c r="R706">
        <v>79.766999999999996</v>
      </c>
      <c r="S706">
        <v>0.31729913372697999</v>
      </c>
      <c r="T706" t="s">
        <v>3634</v>
      </c>
      <c r="U706" t="s">
        <v>3633</v>
      </c>
    </row>
    <row r="707" spans="1:21" x14ac:dyDescent="0.25">
      <c r="A707" t="s">
        <v>1438</v>
      </c>
      <c r="B707" s="1">
        <v>45312</v>
      </c>
      <c r="C707" t="s">
        <v>1439</v>
      </c>
      <c r="D707" t="s">
        <v>17</v>
      </c>
      <c r="E707" t="s">
        <v>76</v>
      </c>
      <c r="F707" t="s">
        <v>26</v>
      </c>
      <c r="G707" t="s">
        <v>69</v>
      </c>
      <c r="H707" t="s">
        <v>139</v>
      </c>
      <c r="I707">
        <v>3</v>
      </c>
      <c r="J707">
        <v>74.459999999999994</v>
      </c>
      <c r="K707">
        <v>20</v>
      </c>
      <c r="L707">
        <v>178.7</v>
      </c>
      <c r="M707">
        <v>12.62</v>
      </c>
      <c r="N707">
        <v>54.39</v>
      </c>
      <c r="O707" t="s">
        <v>39</v>
      </c>
      <c r="P707">
        <v>2024</v>
      </c>
      <c r="Q707" t="s">
        <v>3631</v>
      </c>
      <c r="R707">
        <v>142.96</v>
      </c>
      <c r="S707">
        <v>0.38045607162842798</v>
      </c>
      <c r="T707" t="s">
        <v>3632</v>
      </c>
      <c r="U707" t="s">
        <v>3633</v>
      </c>
    </row>
    <row r="708" spans="1:21" x14ac:dyDescent="0.25">
      <c r="A708" t="s">
        <v>1440</v>
      </c>
      <c r="B708" s="1">
        <v>45313</v>
      </c>
      <c r="C708" t="s">
        <v>1441</v>
      </c>
      <c r="D708" t="s">
        <v>17</v>
      </c>
      <c r="E708" t="s">
        <v>248</v>
      </c>
      <c r="F708" t="s">
        <v>26</v>
      </c>
      <c r="G708" t="s">
        <v>20</v>
      </c>
      <c r="H708" t="s">
        <v>106</v>
      </c>
      <c r="I708">
        <v>5</v>
      </c>
      <c r="J708">
        <v>36.68</v>
      </c>
      <c r="K708">
        <v>0</v>
      </c>
      <c r="L708">
        <v>183.4</v>
      </c>
      <c r="M708">
        <v>16.95</v>
      </c>
      <c r="N708">
        <v>65.58</v>
      </c>
      <c r="O708" t="s">
        <v>56</v>
      </c>
      <c r="P708">
        <v>2024</v>
      </c>
      <c r="Q708" t="s">
        <v>3631</v>
      </c>
      <c r="R708">
        <v>183.4</v>
      </c>
      <c r="S708">
        <v>0.35757906215921498</v>
      </c>
      <c r="T708" t="s">
        <v>3632</v>
      </c>
      <c r="U708" t="s">
        <v>3633</v>
      </c>
    </row>
    <row r="709" spans="1:21" x14ac:dyDescent="0.25">
      <c r="A709" t="s">
        <v>1442</v>
      </c>
      <c r="B709" s="1">
        <v>45313</v>
      </c>
      <c r="C709" t="s">
        <v>1443</v>
      </c>
      <c r="D709" t="s">
        <v>17</v>
      </c>
      <c r="E709" t="s">
        <v>129</v>
      </c>
      <c r="F709" t="s">
        <v>19</v>
      </c>
      <c r="G709" t="s">
        <v>69</v>
      </c>
      <c r="H709" t="s">
        <v>70</v>
      </c>
      <c r="I709">
        <v>2</v>
      </c>
      <c r="J709">
        <v>61.95</v>
      </c>
      <c r="K709">
        <v>0</v>
      </c>
      <c r="L709">
        <v>123.9</v>
      </c>
      <c r="M709">
        <v>8.6999999999999993</v>
      </c>
      <c r="N709">
        <v>53.25</v>
      </c>
      <c r="O709" t="s">
        <v>39</v>
      </c>
      <c r="P709">
        <v>2024</v>
      </c>
      <c r="Q709" t="s">
        <v>3631</v>
      </c>
      <c r="R709">
        <v>123.9</v>
      </c>
      <c r="S709">
        <v>0.42978208232445497</v>
      </c>
      <c r="T709" t="s">
        <v>3632</v>
      </c>
      <c r="U709" t="s">
        <v>3633</v>
      </c>
    </row>
    <row r="710" spans="1:21" x14ac:dyDescent="0.25">
      <c r="A710" t="s">
        <v>1444</v>
      </c>
      <c r="B710" s="1">
        <v>45315</v>
      </c>
      <c r="C710" t="s">
        <v>1445</v>
      </c>
      <c r="D710" t="s">
        <v>30</v>
      </c>
      <c r="E710" t="s">
        <v>148</v>
      </c>
      <c r="F710" t="s">
        <v>60</v>
      </c>
      <c r="G710" t="s">
        <v>32</v>
      </c>
      <c r="H710" t="s">
        <v>82</v>
      </c>
      <c r="I710">
        <v>3</v>
      </c>
      <c r="J710">
        <v>18.850000000000001</v>
      </c>
      <c r="K710">
        <v>20</v>
      </c>
      <c r="L710">
        <v>45.24</v>
      </c>
      <c r="M710">
        <v>12.65</v>
      </c>
      <c r="N710">
        <v>7.14</v>
      </c>
      <c r="O710" t="s">
        <v>34</v>
      </c>
      <c r="P710">
        <v>2024</v>
      </c>
      <c r="Q710" t="s">
        <v>3631</v>
      </c>
      <c r="R710">
        <v>36.192</v>
      </c>
      <c r="S710">
        <v>0.19728116710875301</v>
      </c>
      <c r="T710" t="s">
        <v>3634</v>
      </c>
      <c r="U710" t="s">
        <v>3633</v>
      </c>
    </row>
    <row r="711" spans="1:21" x14ac:dyDescent="0.25">
      <c r="A711" t="s">
        <v>1446</v>
      </c>
      <c r="B711" s="1">
        <v>45315</v>
      </c>
      <c r="C711" t="s">
        <v>1447</v>
      </c>
      <c r="D711" t="s">
        <v>17</v>
      </c>
      <c r="E711" t="s">
        <v>18</v>
      </c>
      <c r="F711" t="s">
        <v>19</v>
      </c>
      <c r="G711" t="s">
        <v>69</v>
      </c>
      <c r="H711" t="s">
        <v>98</v>
      </c>
      <c r="I711">
        <v>5</v>
      </c>
      <c r="J711">
        <v>49.71</v>
      </c>
      <c r="K711">
        <v>25</v>
      </c>
      <c r="L711">
        <v>186.41</v>
      </c>
      <c r="M711">
        <v>8.76</v>
      </c>
      <c r="N711">
        <v>53.37</v>
      </c>
      <c r="O711" t="s">
        <v>39</v>
      </c>
      <c r="P711">
        <v>2024</v>
      </c>
      <c r="Q711" t="s">
        <v>3631</v>
      </c>
      <c r="R711">
        <v>139.8075</v>
      </c>
      <c r="S711">
        <v>0.38173917708277399</v>
      </c>
      <c r="T711" t="s">
        <v>3632</v>
      </c>
      <c r="U711" t="s">
        <v>3633</v>
      </c>
    </row>
    <row r="712" spans="1:21" x14ac:dyDescent="0.25">
      <c r="A712" t="s">
        <v>1448</v>
      </c>
      <c r="B712" s="1">
        <v>45318</v>
      </c>
      <c r="C712" t="s">
        <v>1449</v>
      </c>
      <c r="D712" t="s">
        <v>17</v>
      </c>
      <c r="E712" t="s">
        <v>18</v>
      </c>
      <c r="F712" t="s">
        <v>19</v>
      </c>
      <c r="G712" t="s">
        <v>69</v>
      </c>
      <c r="H712" t="s">
        <v>79</v>
      </c>
      <c r="I712">
        <v>3</v>
      </c>
      <c r="J712">
        <v>59.07</v>
      </c>
      <c r="K712">
        <v>20</v>
      </c>
      <c r="L712">
        <v>141.77000000000001</v>
      </c>
      <c r="M712">
        <v>11.25</v>
      </c>
      <c r="N712">
        <v>41.92</v>
      </c>
      <c r="O712" t="s">
        <v>34</v>
      </c>
      <c r="P712">
        <v>2024</v>
      </c>
      <c r="Q712" t="s">
        <v>3631</v>
      </c>
      <c r="R712">
        <v>113.416</v>
      </c>
      <c r="S712">
        <v>0.369612753050716</v>
      </c>
      <c r="T712" t="s">
        <v>3632</v>
      </c>
      <c r="U712" t="s">
        <v>3633</v>
      </c>
    </row>
    <row r="713" spans="1:21" x14ac:dyDescent="0.25">
      <c r="A713" t="s">
        <v>1450</v>
      </c>
      <c r="B713" s="1">
        <v>45318</v>
      </c>
      <c r="C713" t="s">
        <v>1451</v>
      </c>
      <c r="D713" t="s">
        <v>17</v>
      </c>
      <c r="E713" t="s">
        <v>59</v>
      </c>
      <c r="F713" t="s">
        <v>60</v>
      </c>
      <c r="G713" t="s">
        <v>32</v>
      </c>
      <c r="H713" t="s">
        <v>50</v>
      </c>
      <c r="I713">
        <v>2</v>
      </c>
      <c r="J713">
        <v>21.61</v>
      </c>
      <c r="K713">
        <v>15</v>
      </c>
      <c r="L713">
        <v>36.74</v>
      </c>
      <c r="M713">
        <v>13.06</v>
      </c>
      <c r="N713">
        <v>4.2300000000000004</v>
      </c>
      <c r="O713" t="s">
        <v>56</v>
      </c>
      <c r="P713">
        <v>2024</v>
      </c>
      <c r="Q713" t="s">
        <v>3631</v>
      </c>
      <c r="R713">
        <v>31.228999999999999</v>
      </c>
      <c r="S713">
        <v>0.135451023087515</v>
      </c>
      <c r="T713" t="s">
        <v>3634</v>
      </c>
      <c r="U713" t="s">
        <v>3633</v>
      </c>
    </row>
    <row r="714" spans="1:21" x14ac:dyDescent="0.25">
      <c r="A714" t="s">
        <v>1452</v>
      </c>
      <c r="B714" s="1">
        <v>45319</v>
      </c>
      <c r="C714" t="s">
        <v>1453</v>
      </c>
      <c r="D714" t="s">
        <v>30</v>
      </c>
      <c r="E714" t="s">
        <v>18</v>
      </c>
      <c r="F714" t="s">
        <v>19</v>
      </c>
      <c r="G714" t="s">
        <v>69</v>
      </c>
      <c r="H714" t="s">
        <v>243</v>
      </c>
      <c r="I714">
        <v>2</v>
      </c>
      <c r="J714">
        <v>39.619999999999997</v>
      </c>
      <c r="K714">
        <v>5</v>
      </c>
      <c r="L714">
        <v>75.28</v>
      </c>
      <c r="M714">
        <v>6</v>
      </c>
      <c r="N714">
        <v>29.66</v>
      </c>
      <c r="O714" t="s">
        <v>34</v>
      </c>
      <c r="P714">
        <v>2024</v>
      </c>
      <c r="Q714" t="s">
        <v>3631</v>
      </c>
      <c r="R714">
        <v>71.516000000000005</v>
      </c>
      <c r="S714">
        <v>0.41473236758207999</v>
      </c>
      <c r="T714" t="s">
        <v>3634</v>
      </c>
      <c r="U714" t="s">
        <v>3633</v>
      </c>
    </row>
    <row r="715" spans="1:21" x14ac:dyDescent="0.25">
      <c r="A715" t="s">
        <v>1454</v>
      </c>
      <c r="B715" s="1">
        <v>45320</v>
      </c>
      <c r="C715" t="s">
        <v>506</v>
      </c>
      <c r="D715" t="s">
        <v>17</v>
      </c>
      <c r="E715" t="s">
        <v>138</v>
      </c>
      <c r="F715" t="s">
        <v>54</v>
      </c>
      <c r="G715" t="s">
        <v>20</v>
      </c>
      <c r="H715" t="s">
        <v>27</v>
      </c>
      <c r="I715">
        <v>12</v>
      </c>
      <c r="J715">
        <v>150.5</v>
      </c>
      <c r="K715">
        <v>20</v>
      </c>
      <c r="L715">
        <v>1444.8</v>
      </c>
      <c r="M715">
        <v>37.799999999999997</v>
      </c>
      <c r="N715">
        <v>413.7</v>
      </c>
      <c r="O715" t="s">
        <v>34</v>
      </c>
      <c r="P715">
        <v>2024</v>
      </c>
      <c r="Q715" t="s">
        <v>3631</v>
      </c>
      <c r="R715">
        <v>1155.8399999999999</v>
      </c>
      <c r="S715">
        <v>0.35792151162790697</v>
      </c>
      <c r="T715" t="s">
        <v>3635</v>
      </c>
      <c r="U715" t="s">
        <v>3633</v>
      </c>
    </row>
    <row r="716" spans="1:21" x14ac:dyDescent="0.25">
      <c r="A716" t="s">
        <v>1455</v>
      </c>
      <c r="B716" s="1">
        <v>45321</v>
      </c>
      <c r="C716" t="s">
        <v>512</v>
      </c>
      <c r="D716" t="s">
        <v>30</v>
      </c>
      <c r="E716" t="s">
        <v>31</v>
      </c>
      <c r="F716" t="s">
        <v>19</v>
      </c>
      <c r="G716" t="s">
        <v>32</v>
      </c>
      <c r="H716" t="s">
        <v>115</v>
      </c>
      <c r="I716">
        <v>5</v>
      </c>
      <c r="J716">
        <v>8.68</v>
      </c>
      <c r="K716">
        <v>0</v>
      </c>
      <c r="L716">
        <v>43.4</v>
      </c>
      <c r="M716">
        <v>13.4</v>
      </c>
      <c r="N716">
        <v>10.47</v>
      </c>
      <c r="O716" t="s">
        <v>56</v>
      </c>
      <c r="P716">
        <v>2024</v>
      </c>
      <c r="Q716" t="s">
        <v>3631</v>
      </c>
      <c r="R716">
        <v>43.4</v>
      </c>
      <c r="S716">
        <v>0.24124423963133601</v>
      </c>
      <c r="T716" t="s">
        <v>3634</v>
      </c>
      <c r="U716" t="s">
        <v>3633</v>
      </c>
    </row>
    <row r="717" spans="1:21" x14ac:dyDescent="0.25">
      <c r="A717" t="s">
        <v>1456</v>
      </c>
      <c r="B717" s="1">
        <v>45322</v>
      </c>
      <c r="C717" t="s">
        <v>1457</v>
      </c>
      <c r="D717" t="s">
        <v>49</v>
      </c>
      <c r="E717" t="s">
        <v>85</v>
      </c>
      <c r="F717" t="s">
        <v>60</v>
      </c>
      <c r="G717" t="s">
        <v>42</v>
      </c>
      <c r="H717" t="s">
        <v>234</v>
      </c>
      <c r="I717">
        <v>2</v>
      </c>
      <c r="J717">
        <v>29.62</v>
      </c>
      <c r="K717">
        <v>5</v>
      </c>
      <c r="L717">
        <v>56.28</v>
      </c>
      <c r="M717">
        <v>10.79</v>
      </c>
      <c r="N717">
        <v>9.9499999999999993</v>
      </c>
      <c r="O717" t="s">
        <v>39</v>
      </c>
      <c r="P717">
        <v>2024</v>
      </c>
      <c r="Q717" t="s">
        <v>3631</v>
      </c>
      <c r="R717">
        <v>53.466000000000001</v>
      </c>
      <c r="S717">
        <v>0.18609957730146301</v>
      </c>
      <c r="T717" t="s">
        <v>3634</v>
      </c>
      <c r="U717" t="s">
        <v>3633</v>
      </c>
    </row>
    <row r="718" spans="1:21" x14ac:dyDescent="0.25">
      <c r="A718" t="s">
        <v>1458</v>
      </c>
      <c r="B718" s="1">
        <v>45322</v>
      </c>
      <c r="C718" t="s">
        <v>1459</v>
      </c>
      <c r="D718" t="s">
        <v>17</v>
      </c>
      <c r="E718" t="s">
        <v>18</v>
      </c>
      <c r="F718" t="s">
        <v>19</v>
      </c>
      <c r="G718" t="s">
        <v>20</v>
      </c>
      <c r="H718" t="s">
        <v>27</v>
      </c>
      <c r="I718">
        <v>2</v>
      </c>
      <c r="J718">
        <v>96.97</v>
      </c>
      <c r="K718">
        <v>15</v>
      </c>
      <c r="L718">
        <v>164.85</v>
      </c>
      <c r="M718">
        <v>9.27</v>
      </c>
      <c r="N718">
        <v>48.91</v>
      </c>
      <c r="O718" t="s">
        <v>56</v>
      </c>
      <c r="P718">
        <v>2024</v>
      </c>
      <c r="Q718" t="s">
        <v>3631</v>
      </c>
      <c r="R718">
        <v>140.1225</v>
      </c>
      <c r="S718">
        <v>0.349051722599868</v>
      </c>
      <c r="T718" t="s">
        <v>3632</v>
      </c>
      <c r="U718" t="s">
        <v>3633</v>
      </c>
    </row>
    <row r="719" spans="1:21" x14ac:dyDescent="0.25">
      <c r="A719" t="s">
        <v>1460</v>
      </c>
      <c r="B719" s="1">
        <v>45322</v>
      </c>
      <c r="C719" t="s">
        <v>1461</v>
      </c>
      <c r="D719" t="s">
        <v>49</v>
      </c>
      <c r="E719" t="s">
        <v>121</v>
      </c>
      <c r="F719" t="s">
        <v>68</v>
      </c>
      <c r="G719" t="s">
        <v>32</v>
      </c>
      <c r="H719" t="s">
        <v>33</v>
      </c>
      <c r="I719">
        <v>1</v>
      </c>
      <c r="J719">
        <v>15.66</v>
      </c>
      <c r="K719">
        <v>0</v>
      </c>
      <c r="L719">
        <v>15.66</v>
      </c>
      <c r="M719">
        <v>10.77</v>
      </c>
      <c r="N719">
        <v>-2.16</v>
      </c>
      <c r="O719" t="s">
        <v>34</v>
      </c>
      <c r="P719">
        <v>2024</v>
      </c>
      <c r="Q719" t="s">
        <v>3631</v>
      </c>
      <c r="R719">
        <v>15.66</v>
      </c>
      <c r="S719">
        <v>-0.13793103448275901</v>
      </c>
      <c r="T719" t="s">
        <v>3634</v>
      </c>
      <c r="U719" t="s">
        <v>3636</v>
      </c>
    </row>
    <row r="720" spans="1:21" x14ac:dyDescent="0.25">
      <c r="A720" t="s">
        <v>1462</v>
      </c>
      <c r="B720" s="1">
        <v>45324</v>
      </c>
      <c r="C720" t="s">
        <v>1463</v>
      </c>
      <c r="D720" t="s">
        <v>17</v>
      </c>
      <c r="E720" t="s">
        <v>31</v>
      </c>
      <c r="F720" t="s">
        <v>19</v>
      </c>
      <c r="G720" t="s">
        <v>42</v>
      </c>
      <c r="H720" t="s">
        <v>46</v>
      </c>
      <c r="I720">
        <v>1</v>
      </c>
      <c r="J720">
        <v>93.08</v>
      </c>
      <c r="K720">
        <v>5</v>
      </c>
      <c r="L720">
        <v>88.43</v>
      </c>
      <c r="M720">
        <v>6.7</v>
      </c>
      <c r="N720">
        <v>25.88</v>
      </c>
      <c r="O720" t="s">
        <v>56</v>
      </c>
      <c r="P720">
        <v>2024</v>
      </c>
      <c r="Q720" t="s">
        <v>3637</v>
      </c>
      <c r="R720">
        <v>84.008499999999998</v>
      </c>
      <c r="S720">
        <v>0.30806406494580901</v>
      </c>
      <c r="T720" t="s">
        <v>3634</v>
      </c>
      <c r="U720" t="s">
        <v>3633</v>
      </c>
    </row>
    <row r="721" spans="1:21" x14ac:dyDescent="0.25">
      <c r="A721" t="s">
        <v>1464</v>
      </c>
      <c r="B721" s="1">
        <v>45324</v>
      </c>
      <c r="C721" t="s">
        <v>1465</v>
      </c>
      <c r="D721" t="s">
        <v>17</v>
      </c>
      <c r="E721" t="s">
        <v>37</v>
      </c>
      <c r="F721" t="s">
        <v>26</v>
      </c>
      <c r="G721" t="s">
        <v>69</v>
      </c>
      <c r="H721" t="s">
        <v>70</v>
      </c>
      <c r="I721">
        <v>2</v>
      </c>
      <c r="J721">
        <v>38.08</v>
      </c>
      <c r="K721">
        <v>10</v>
      </c>
      <c r="L721">
        <v>68.540000000000006</v>
      </c>
      <c r="M721">
        <v>10.11</v>
      </c>
      <c r="N721">
        <v>20.350000000000001</v>
      </c>
      <c r="O721" t="s">
        <v>22</v>
      </c>
      <c r="P721">
        <v>2024</v>
      </c>
      <c r="Q721" t="s">
        <v>3637</v>
      </c>
      <c r="R721">
        <v>61.686</v>
      </c>
      <c r="S721">
        <v>0.32989657296631297</v>
      </c>
      <c r="T721" t="s">
        <v>3634</v>
      </c>
      <c r="U721" t="s">
        <v>3633</v>
      </c>
    </row>
    <row r="722" spans="1:21" x14ac:dyDescent="0.25">
      <c r="A722" t="s">
        <v>1466</v>
      </c>
      <c r="B722" s="1">
        <v>45325</v>
      </c>
      <c r="C722" t="s">
        <v>1381</v>
      </c>
      <c r="D722" t="s">
        <v>49</v>
      </c>
      <c r="E722" t="s">
        <v>92</v>
      </c>
      <c r="F722" t="s">
        <v>60</v>
      </c>
      <c r="G722" t="s">
        <v>32</v>
      </c>
      <c r="H722" t="s">
        <v>348</v>
      </c>
      <c r="I722">
        <v>1</v>
      </c>
      <c r="J722">
        <v>13.92</v>
      </c>
      <c r="K722">
        <v>5</v>
      </c>
      <c r="L722">
        <v>13.22</v>
      </c>
      <c r="M722">
        <v>10.039999999999999</v>
      </c>
      <c r="N722">
        <v>-3.08</v>
      </c>
      <c r="O722" t="s">
        <v>39</v>
      </c>
      <c r="P722">
        <v>2024</v>
      </c>
      <c r="Q722" t="s">
        <v>3637</v>
      </c>
      <c r="R722">
        <v>12.558999999999999</v>
      </c>
      <c r="S722">
        <v>-0.24524245560952301</v>
      </c>
      <c r="T722" t="s">
        <v>3634</v>
      </c>
      <c r="U722" t="s">
        <v>3636</v>
      </c>
    </row>
    <row r="723" spans="1:21" x14ac:dyDescent="0.25">
      <c r="A723" t="s">
        <v>1467</v>
      </c>
      <c r="B723" s="1">
        <v>45325</v>
      </c>
      <c r="C723" t="s">
        <v>1468</v>
      </c>
      <c r="D723" t="s">
        <v>49</v>
      </c>
      <c r="E723" t="s">
        <v>25</v>
      </c>
      <c r="F723" t="s">
        <v>26</v>
      </c>
      <c r="G723" t="s">
        <v>42</v>
      </c>
      <c r="H723" t="s">
        <v>294</v>
      </c>
      <c r="I723">
        <v>2</v>
      </c>
      <c r="J723">
        <v>297.8</v>
      </c>
      <c r="K723">
        <v>0</v>
      </c>
      <c r="L723">
        <v>595.6</v>
      </c>
      <c r="M723">
        <v>11.67</v>
      </c>
      <c r="N723">
        <v>226.57</v>
      </c>
      <c r="O723" t="s">
        <v>39</v>
      </c>
      <c r="P723">
        <v>2024</v>
      </c>
      <c r="Q723" t="s">
        <v>3637</v>
      </c>
      <c r="R723">
        <v>595.6</v>
      </c>
      <c r="S723">
        <v>0.38040631296171901</v>
      </c>
      <c r="T723" t="s">
        <v>3635</v>
      </c>
      <c r="U723" t="s">
        <v>3633</v>
      </c>
    </row>
    <row r="724" spans="1:21" x14ac:dyDescent="0.25">
      <c r="A724" t="s">
        <v>1469</v>
      </c>
      <c r="B724" s="1">
        <v>45326</v>
      </c>
      <c r="C724" t="s">
        <v>1470</v>
      </c>
      <c r="D724" t="s">
        <v>17</v>
      </c>
      <c r="E724" t="s">
        <v>135</v>
      </c>
      <c r="F724" t="s">
        <v>26</v>
      </c>
      <c r="G724" t="s">
        <v>32</v>
      </c>
      <c r="H724" t="s">
        <v>115</v>
      </c>
      <c r="I724">
        <v>1</v>
      </c>
      <c r="J724">
        <v>10.39</v>
      </c>
      <c r="K724">
        <v>0</v>
      </c>
      <c r="L724">
        <v>10.39</v>
      </c>
      <c r="M724">
        <v>7.64</v>
      </c>
      <c r="N724">
        <v>-1.93</v>
      </c>
      <c r="O724" t="s">
        <v>39</v>
      </c>
      <c r="P724">
        <v>2024</v>
      </c>
      <c r="Q724" t="s">
        <v>3637</v>
      </c>
      <c r="R724">
        <v>10.39</v>
      </c>
      <c r="S724">
        <v>-0.18575553416746901</v>
      </c>
      <c r="T724" t="s">
        <v>3634</v>
      </c>
      <c r="U724" t="s">
        <v>3636</v>
      </c>
    </row>
    <row r="725" spans="1:21" x14ac:dyDescent="0.25">
      <c r="A725" t="s">
        <v>1471</v>
      </c>
      <c r="B725" s="1">
        <v>45326</v>
      </c>
      <c r="C725" t="s">
        <v>1472</v>
      </c>
      <c r="D725" t="s">
        <v>17</v>
      </c>
      <c r="E725" t="s">
        <v>18</v>
      </c>
      <c r="F725" t="s">
        <v>19</v>
      </c>
      <c r="G725" t="s">
        <v>42</v>
      </c>
      <c r="H725" t="s">
        <v>371</v>
      </c>
      <c r="I725">
        <v>2</v>
      </c>
      <c r="J725">
        <v>214.42</v>
      </c>
      <c r="K725">
        <v>20</v>
      </c>
      <c r="L725">
        <v>343.07</v>
      </c>
      <c r="M725">
        <v>6.04</v>
      </c>
      <c r="N725">
        <v>79.73</v>
      </c>
      <c r="O725" t="s">
        <v>34</v>
      </c>
      <c r="P725">
        <v>2024</v>
      </c>
      <c r="Q725" t="s">
        <v>3637</v>
      </c>
      <c r="R725">
        <v>274.45600000000002</v>
      </c>
      <c r="S725">
        <v>0.290501938379922</v>
      </c>
      <c r="T725" t="s">
        <v>3632</v>
      </c>
      <c r="U725" t="s">
        <v>3633</v>
      </c>
    </row>
    <row r="726" spans="1:21" x14ac:dyDescent="0.25">
      <c r="A726" t="s">
        <v>1473</v>
      </c>
      <c r="B726" s="1">
        <v>45326</v>
      </c>
      <c r="C726" t="s">
        <v>825</v>
      </c>
      <c r="D726" t="s">
        <v>17</v>
      </c>
      <c r="E726" t="s">
        <v>18</v>
      </c>
      <c r="F726" t="s">
        <v>19</v>
      </c>
      <c r="G726" t="s">
        <v>20</v>
      </c>
      <c r="H726" t="s">
        <v>122</v>
      </c>
      <c r="I726">
        <v>4</v>
      </c>
      <c r="J726">
        <v>96.59</v>
      </c>
      <c r="K726">
        <v>0</v>
      </c>
      <c r="L726">
        <v>386.36</v>
      </c>
      <c r="M726">
        <v>8.86</v>
      </c>
      <c r="N726">
        <v>165</v>
      </c>
      <c r="O726" t="s">
        <v>39</v>
      </c>
      <c r="P726">
        <v>2024</v>
      </c>
      <c r="Q726" t="s">
        <v>3637</v>
      </c>
      <c r="R726">
        <v>386.36</v>
      </c>
      <c r="S726">
        <v>0.427062842944404</v>
      </c>
      <c r="T726" t="s">
        <v>3632</v>
      </c>
      <c r="U726" t="s">
        <v>3633</v>
      </c>
    </row>
    <row r="727" spans="1:21" x14ac:dyDescent="0.25">
      <c r="A727" t="s">
        <v>1474</v>
      </c>
      <c r="B727" s="1">
        <v>45329</v>
      </c>
      <c r="C727" t="s">
        <v>1475</v>
      </c>
      <c r="D727" t="s">
        <v>17</v>
      </c>
      <c r="E727" t="s">
        <v>148</v>
      </c>
      <c r="F727" t="s">
        <v>60</v>
      </c>
      <c r="G727" t="s">
        <v>69</v>
      </c>
      <c r="H727" t="s">
        <v>139</v>
      </c>
      <c r="I727">
        <v>12</v>
      </c>
      <c r="J727">
        <v>54.17</v>
      </c>
      <c r="K727">
        <v>0</v>
      </c>
      <c r="L727">
        <v>650.04</v>
      </c>
      <c r="M727">
        <v>38.1</v>
      </c>
      <c r="N727">
        <v>286.92</v>
      </c>
      <c r="O727" t="s">
        <v>56</v>
      </c>
      <c r="P727">
        <v>2024</v>
      </c>
      <c r="Q727" t="s">
        <v>3637</v>
      </c>
      <c r="R727">
        <v>650.04</v>
      </c>
      <c r="S727">
        <v>0.44138822226324498</v>
      </c>
      <c r="T727" t="s">
        <v>3635</v>
      </c>
      <c r="U727" t="s">
        <v>3633</v>
      </c>
    </row>
    <row r="728" spans="1:21" x14ac:dyDescent="0.25">
      <c r="A728" t="s">
        <v>1476</v>
      </c>
      <c r="B728" s="1">
        <v>45329</v>
      </c>
      <c r="C728" t="s">
        <v>1477</v>
      </c>
      <c r="D728" t="s">
        <v>30</v>
      </c>
      <c r="E728" t="s">
        <v>25</v>
      </c>
      <c r="F728" t="s">
        <v>26</v>
      </c>
      <c r="G728" t="s">
        <v>69</v>
      </c>
      <c r="H728" t="s">
        <v>86</v>
      </c>
      <c r="I728">
        <v>4</v>
      </c>
      <c r="J728">
        <v>90.04</v>
      </c>
      <c r="K728">
        <v>5</v>
      </c>
      <c r="L728">
        <v>342.15</v>
      </c>
      <c r="M728">
        <v>13.31</v>
      </c>
      <c r="N728">
        <v>148.76</v>
      </c>
      <c r="O728" t="s">
        <v>56</v>
      </c>
      <c r="P728">
        <v>2024</v>
      </c>
      <c r="Q728" t="s">
        <v>3637</v>
      </c>
      <c r="R728">
        <v>325.04250000000002</v>
      </c>
      <c r="S728">
        <v>0.45766322865471398</v>
      </c>
      <c r="T728" t="s">
        <v>3632</v>
      </c>
      <c r="U728" t="s">
        <v>3633</v>
      </c>
    </row>
    <row r="729" spans="1:21" x14ac:dyDescent="0.25">
      <c r="A729" t="s">
        <v>1478</v>
      </c>
      <c r="B729" s="1">
        <v>45329</v>
      </c>
      <c r="C729" t="s">
        <v>309</v>
      </c>
      <c r="D729" t="s">
        <v>30</v>
      </c>
      <c r="E729" t="s">
        <v>37</v>
      </c>
      <c r="F729" t="s">
        <v>26</v>
      </c>
      <c r="G729" t="s">
        <v>20</v>
      </c>
      <c r="H729" t="s">
        <v>38</v>
      </c>
      <c r="I729">
        <v>2</v>
      </c>
      <c r="J729">
        <v>33.729999999999997</v>
      </c>
      <c r="K729">
        <v>15</v>
      </c>
      <c r="L729">
        <v>57.34</v>
      </c>
      <c r="M729">
        <v>11.05</v>
      </c>
      <c r="N729">
        <v>9.19</v>
      </c>
      <c r="O729" t="s">
        <v>34</v>
      </c>
      <c r="P729">
        <v>2024</v>
      </c>
      <c r="Q729" t="s">
        <v>3637</v>
      </c>
      <c r="R729">
        <v>48.738999999999997</v>
      </c>
      <c r="S729">
        <v>0.188555366339071</v>
      </c>
      <c r="T729" t="s">
        <v>3634</v>
      </c>
      <c r="U729" t="s">
        <v>3633</v>
      </c>
    </row>
    <row r="730" spans="1:21" x14ac:dyDescent="0.25">
      <c r="A730" t="s">
        <v>1479</v>
      </c>
      <c r="B730" s="1">
        <v>45330</v>
      </c>
      <c r="C730" t="s">
        <v>1480</v>
      </c>
      <c r="D730" t="s">
        <v>30</v>
      </c>
      <c r="E730" t="s">
        <v>25</v>
      </c>
      <c r="F730" t="s">
        <v>26</v>
      </c>
      <c r="G730" t="s">
        <v>20</v>
      </c>
      <c r="H730" t="s">
        <v>38</v>
      </c>
      <c r="I730">
        <v>4</v>
      </c>
      <c r="J730">
        <v>67.39</v>
      </c>
      <c r="K730">
        <v>0</v>
      </c>
      <c r="L730">
        <v>269.56</v>
      </c>
      <c r="M730">
        <v>16.2</v>
      </c>
      <c r="N730">
        <v>105.1</v>
      </c>
      <c r="O730" t="s">
        <v>39</v>
      </c>
      <c r="P730">
        <v>2024</v>
      </c>
      <c r="Q730" t="s">
        <v>3637</v>
      </c>
      <c r="R730">
        <v>269.56</v>
      </c>
      <c r="S730">
        <v>0.38989464312212502</v>
      </c>
      <c r="T730" t="s">
        <v>3632</v>
      </c>
      <c r="U730" t="s">
        <v>3633</v>
      </c>
    </row>
    <row r="731" spans="1:21" x14ac:dyDescent="0.25">
      <c r="A731" t="s">
        <v>1481</v>
      </c>
      <c r="B731" s="1">
        <v>45330</v>
      </c>
      <c r="C731" t="s">
        <v>1482</v>
      </c>
      <c r="D731" t="s">
        <v>30</v>
      </c>
      <c r="E731" t="s">
        <v>85</v>
      </c>
      <c r="F731" t="s">
        <v>60</v>
      </c>
      <c r="G731" t="s">
        <v>42</v>
      </c>
      <c r="H731" t="s">
        <v>93</v>
      </c>
      <c r="I731">
        <v>6</v>
      </c>
      <c r="J731">
        <v>443.99</v>
      </c>
      <c r="K731">
        <v>15</v>
      </c>
      <c r="L731">
        <v>2264.35</v>
      </c>
      <c r="M731">
        <v>18.29</v>
      </c>
      <c r="N731">
        <v>647.70000000000005</v>
      </c>
      <c r="O731" t="s">
        <v>34</v>
      </c>
      <c r="P731">
        <v>2024</v>
      </c>
      <c r="Q731" t="s">
        <v>3637</v>
      </c>
      <c r="R731">
        <v>1924.6975</v>
      </c>
      <c r="S731">
        <v>0.33652041424691398</v>
      </c>
      <c r="T731" t="s">
        <v>3635</v>
      </c>
      <c r="U731" t="s">
        <v>3633</v>
      </c>
    </row>
    <row r="732" spans="1:21" x14ac:dyDescent="0.25">
      <c r="A732" t="s">
        <v>1483</v>
      </c>
      <c r="B732" s="1">
        <v>45332</v>
      </c>
      <c r="C732" t="s">
        <v>1484</v>
      </c>
      <c r="D732" t="s">
        <v>49</v>
      </c>
      <c r="E732" t="s">
        <v>76</v>
      </c>
      <c r="F732" t="s">
        <v>26</v>
      </c>
      <c r="G732" t="s">
        <v>20</v>
      </c>
      <c r="H732" t="s">
        <v>21</v>
      </c>
      <c r="I732">
        <v>1</v>
      </c>
      <c r="J732">
        <v>216.25</v>
      </c>
      <c r="K732">
        <v>5</v>
      </c>
      <c r="L732">
        <v>205.44</v>
      </c>
      <c r="M732">
        <v>7.52</v>
      </c>
      <c r="N732">
        <v>78.98</v>
      </c>
      <c r="O732" t="s">
        <v>39</v>
      </c>
      <c r="P732">
        <v>2024</v>
      </c>
      <c r="Q732" t="s">
        <v>3637</v>
      </c>
      <c r="R732">
        <v>195.16800000000001</v>
      </c>
      <c r="S732">
        <v>0.40467699622888997</v>
      </c>
      <c r="T732" t="s">
        <v>3632</v>
      </c>
      <c r="U732" t="s">
        <v>3633</v>
      </c>
    </row>
    <row r="733" spans="1:21" x14ac:dyDescent="0.25">
      <c r="A733" t="s">
        <v>1485</v>
      </c>
      <c r="B733" s="1">
        <v>45332</v>
      </c>
      <c r="C733" t="s">
        <v>1408</v>
      </c>
      <c r="D733" t="s">
        <v>30</v>
      </c>
      <c r="E733" t="s">
        <v>148</v>
      </c>
      <c r="F733" t="s">
        <v>60</v>
      </c>
      <c r="G733" t="s">
        <v>69</v>
      </c>
      <c r="H733" t="s">
        <v>86</v>
      </c>
      <c r="I733">
        <v>2</v>
      </c>
      <c r="J733">
        <v>89.21</v>
      </c>
      <c r="K733">
        <v>15</v>
      </c>
      <c r="L733">
        <v>151.66</v>
      </c>
      <c r="M733">
        <v>13.6</v>
      </c>
      <c r="N733">
        <v>48.85</v>
      </c>
      <c r="O733" t="s">
        <v>34</v>
      </c>
      <c r="P733">
        <v>2024</v>
      </c>
      <c r="Q733" t="s">
        <v>3637</v>
      </c>
      <c r="R733">
        <v>128.911</v>
      </c>
      <c r="S733">
        <v>0.37894361225962098</v>
      </c>
      <c r="T733" t="s">
        <v>3632</v>
      </c>
      <c r="U733" t="s">
        <v>3633</v>
      </c>
    </row>
    <row r="734" spans="1:21" x14ac:dyDescent="0.25">
      <c r="A734" t="s">
        <v>1486</v>
      </c>
      <c r="B734" s="1">
        <v>45333</v>
      </c>
      <c r="C734" t="s">
        <v>1487</v>
      </c>
      <c r="D734" t="s">
        <v>17</v>
      </c>
      <c r="E734" t="s">
        <v>121</v>
      </c>
      <c r="F734" t="s">
        <v>68</v>
      </c>
      <c r="G734" t="s">
        <v>42</v>
      </c>
      <c r="H734" t="s">
        <v>89</v>
      </c>
      <c r="I734">
        <v>8</v>
      </c>
      <c r="J734">
        <v>180.57</v>
      </c>
      <c r="K734">
        <v>10</v>
      </c>
      <c r="L734">
        <v>1300.0999999999999</v>
      </c>
      <c r="M734">
        <v>17.579999999999998</v>
      </c>
      <c r="N734">
        <v>415.78</v>
      </c>
      <c r="O734" t="s">
        <v>34</v>
      </c>
      <c r="P734">
        <v>2024</v>
      </c>
      <c r="Q734" t="s">
        <v>3637</v>
      </c>
      <c r="R734">
        <v>1170.0899999999999</v>
      </c>
      <c r="S734">
        <v>0.35534018750694402</v>
      </c>
      <c r="T734" t="s">
        <v>3635</v>
      </c>
      <c r="U734" t="s">
        <v>3633</v>
      </c>
    </row>
    <row r="735" spans="1:21" x14ac:dyDescent="0.25">
      <c r="A735" t="s">
        <v>1488</v>
      </c>
      <c r="B735" s="1">
        <v>45333</v>
      </c>
      <c r="C735" t="s">
        <v>1489</v>
      </c>
      <c r="D735" t="s">
        <v>17</v>
      </c>
      <c r="E735" t="s">
        <v>109</v>
      </c>
      <c r="F735" t="s">
        <v>54</v>
      </c>
      <c r="G735" t="s">
        <v>20</v>
      </c>
      <c r="H735" t="s">
        <v>264</v>
      </c>
      <c r="I735">
        <v>2</v>
      </c>
      <c r="J735">
        <v>22.02</v>
      </c>
      <c r="K735">
        <v>5</v>
      </c>
      <c r="L735">
        <v>41.84</v>
      </c>
      <c r="M735">
        <v>13.18</v>
      </c>
      <c r="N735">
        <v>4.4400000000000004</v>
      </c>
      <c r="O735" t="s">
        <v>22</v>
      </c>
      <c r="P735">
        <v>2024</v>
      </c>
      <c r="Q735" t="s">
        <v>3637</v>
      </c>
      <c r="R735">
        <v>39.747999999999998</v>
      </c>
      <c r="S735">
        <v>0.111703733521183</v>
      </c>
      <c r="T735" t="s">
        <v>3634</v>
      </c>
      <c r="U735" t="s">
        <v>3633</v>
      </c>
    </row>
    <row r="736" spans="1:21" x14ac:dyDescent="0.25">
      <c r="A736" t="s">
        <v>1490</v>
      </c>
      <c r="B736" s="1">
        <v>45334</v>
      </c>
      <c r="C736" t="s">
        <v>1491</v>
      </c>
      <c r="D736" t="s">
        <v>30</v>
      </c>
      <c r="E736" t="s">
        <v>31</v>
      </c>
      <c r="F736" t="s">
        <v>19</v>
      </c>
      <c r="G736" t="s">
        <v>32</v>
      </c>
      <c r="H736" t="s">
        <v>82</v>
      </c>
      <c r="I736">
        <v>5</v>
      </c>
      <c r="J736">
        <v>10.97</v>
      </c>
      <c r="K736">
        <v>5</v>
      </c>
      <c r="L736">
        <v>52.11</v>
      </c>
      <c r="M736">
        <v>14.23</v>
      </c>
      <c r="N736">
        <v>13.2</v>
      </c>
      <c r="O736" t="s">
        <v>39</v>
      </c>
      <c r="P736">
        <v>2024</v>
      </c>
      <c r="Q736" t="s">
        <v>3637</v>
      </c>
      <c r="R736">
        <v>49.5045</v>
      </c>
      <c r="S736">
        <v>0.26664242644608099</v>
      </c>
      <c r="T736" t="s">
        <v>3634</v>
      </c>
      <c r="U736" t="s">
        <v>3633</v>
      </c>
    </row>
    <row r="737" spans="1:21" x14ac:dyDescent="0.25">
      <c r="A737" t="s">
        <v>1492</v>
      </c>
      <c r="B737" s="1">
        <v>45335</v>
      </c>
      <c r="C737" t="s">
        <v>1493</v>
      </c>
      <c r="D737" t="s">
        <v>17</v>
      </c>
      <c r="E737" t="s">
        <v>121</v>
      </c>
      <c r="F737" t="s">
        <v>68</v>
      </c>
      <c r="G737" t="s">
        <v>20</v>
      </c>
      <c r="H737" t="s">
        <v>122</v>
      </c>
      <c r="I737">
        <v>1</v>
      </c>
      <c r="J737">
        <v>78.61</v>
      </c>
      <c r="K737">
        <v>5</v>
      </c>
      <c r="L737">
        <v>74.680000000000007</v>
      </c>
      <c r="M737">
        <v>11.74</v>
      </c>
      <c r="N737">
        <v>19.7</v>
      </c>
      <c r="O737" t="s">
        <v>34</v>
      </c>
      <c r="P737">
        <v>2024</v>
      </c>
      <c r="Q737" t="s">
        <v>3637</v>
      </c>
      <c r="R737">
        <v>70.945999999999998</v>
      </c>
      <c r="S737">
        <v>0.27767597891354001</v>
      </c>
      <c r="T737" t="s">
        <v>3634</v>
      </c>
      <c r="U737" t="s">
        <v>3633</v>
      </c>
    </row>
    <row r="738" spans="1:21" x14ac:dyDescent="0.25">
      <c r="A738" t="s">
        <v>1494</v>
      </c>
      <c r="B738" s="1">
        <v>45335</v>
      </c>
      <c r="C738" t="s">
        <v>1495</v>
      </c>
      <c r="D738" t="s">
        <v>30</v>
      </c>
      <c r="E738" t="s">
        <v>25</v>
      </c>
      <c r="F738" t="s">
        <v>26</v>
      </c>
      <c r="G738" t="s">
        <v>32</v>
      </c>
      <c r="H738" t="s">
        <v>348</v>
      </c>
      <c r="I738">
        <v>1</v>
      </c>
      <c r="J738">
        <v>12.56</v>
      </c>
      <c r="K738">
        <v>0</v>
      </c>
      <c r="L738">
        <v>12.56</v>
      </c>
      <c r="M738">
        <v>8.15</v>
      </c>
      <c r="N738">
        <v>-1.24</v>
      </c>
      <c r="O738" t="s">
        <v>39</v>
      </c>
      <c r="P738">
        <v>2024</v>
      </c>
      <c r="Q738" t="s">
        <v>3637</v>
      </c>
      <c r="R738">
        <v>12.56</v>
      </c>
      <c r="S738">
        <v>-9.8726114649681507E-2</v>
      </c>
      <c r="T738" t="s">
        <v>3634</v>
      </c>
      <c r="U738" t="s">
        <v>3636</v>
      </c>
    </row>
    <row r="739" spans="1:21" x14ac:dyDescent="0.25">
      <c r="A739" t="s">
        <v>1496</v>
      </c>
      <c r="B739" s="1">
        <v>45336</v>
      </c>
      <c r="C739" t="s">
        <v>1429</v>
      </c>
      <c r="D739" t="s">
        <v>30</v>
      </c>
      <c r="E739" t="s">
        <v>63</v>
      </c>
      <c r="F739" t="s">
        <v>54</v>
      </c>
      <c r="G739" t="s">
        <v>69</v>
      </c>
      <c r="H739" t="s">
        <v>86</v>
      </c>
      <c r="I739">
        <v>4</v>
      </c>
      <c r="J739">
        <v>108.96</v>
      </c>
      <c r="K739">
        <v>0</v>
      </c>
      <c r="L739">
        <v>435.84</v>
      </c>
      <c r="M739">
        <v>18.91</v>
      </c>
      <c r="N739">
        <v>199.01</v>
      </c>
      <c r="O739" t="s">
        <v>22</v>
      </c>
      <c r="P739">
        <v>2024</v>
      </c>
      <c r="Q739" t="s">
        <v>3637</v>
      </c>
      <c r="R739">
        <v>435.84</v>
      </c>
      <c r="S739">
        <v>0.45661251835535999</v>
      </c>
      <c r="T739" t="s">
        <v>3632</v>
      </c>
      <c r="U739" t="s">
        <v>3633</v>
      </c>
    </row>
    <row r="740" spans="1:21" x14ac:dyDescent="0.25">
      <c r="A740" t="s">
        <v>1497</v>
      </c>
      <c r="B740" s="1">
        <v>45336</v>
      </c>
      <c r="C740" t="s">
        <v>1498</v>
      </c>
      <c r="D740" t="s">
        <v>30</v>
      </c>
      <c r="E740" t="s">
        <v>18</v>
      </c>
      <c r="F740" t="s">
        <v>19</v>
      </c>
      <c r="G740" t="s">
        <v>42</v>
      </c>
      <c r="H740" t="s">
        <v>255</v>
      </c>
      <c r="I740">
        <v>4</v>
      </c>
      <c r="J740">
        <v>40.58</v>
      </c>
      <c r="K740">
        <v>5</v>
      </c>
      <c r="L740">
        <v>154.19999999999999</v>
      </c>
      <c r="M740">
        <v>13.86</v>
      </c>
      <c r="N740">
        <v>42.95</v>
      </c>
      <c r="O740" t="s">
        <v>39</v>
      </c>
      <c r="P740">
        <v>2024</v>
      </c>
      <c r="Q740" t="s">
        <v>3637</v>
      </c>
      <c r="R740">
        <v>146.49</v>
      </c>
      <c r="S740">
        <v>0.293194074680866</v>
      </c>
      <c r="T740" t="s">
        <v>3632</v>
      </c>
      <c r="U740" t="s">
        <v>3633</v>
      </c>
    </row>
    <row r="741" spans="1:21" x14ac:dyDescent="0.25">
      <c r="A741" t="s">
        <v>1499</v>
      </c>
      <c r="B741" s="1">
        <v>45337</v>
      </c>
      <c r="C741" t="s">
        <v>964</v>
      </c>
      <c r="D741" t="s">
        <v>30</v>
      </c>
      <c r="E741" t="s">
        <v>59</v>
      </c>
      <c r="F741" t="s">
        <v>60</v>
      </c>
      <c r="G741" t="s">
        <v>20</v>
      </c>
      <c r="H741" t="s">
        <v>106</v>
      </c>
      <c r="I741">
        <v>1</v>
      </c>
      <c r="J741">
        <v>28.43</v>
      </c>
      <c r="K741">
        <v>0</v>
      </c>
      <c r="L741">
        <v>28.43</v>
      </c>
      <c r="M741">
        <v>11.31</v>
      </c>
      <c r="N741">
        <v>1.48</v>
      </c>
      <c r="O741" t="s">
        <v>22</v>
      </c>
      <c r="P741">
        <v>2024</v>
      </c>
      <c r="Q741" t="s">
        <v>3637</v>
      </c>
      <c r="R741">
        <v>28.43</v>
      </c>
      <c r="S741">
        <v>5.2057685543440001E-2</v>
      </c>
      <c r="T741" t="s">
        <v>3634</v>
      </c>
      <c r="U741" t="s">
        <v>3633</v>
      </c>
    </row>
    <row r="742" spans="1:21" x14ac:dyDescent="0.25">
      <c r="A742" t="s">
        <v>1500</v>
      </c>
      <c r="B742" s="1">
        <v>45338</v>
      </c>
      <c r="C742" t="s">
        <v>1207</v>
      </c>
      <c r="D742" t="s">
        <v>17</v>
      </c>
      <c r="E742" t="s">
        <v>63</v>
      </c>
      <c r="F742" t="s">
        <v>54</v>
      </c>
      <c r="G742" t="s">
        <v>32</v>
      </c>
      <c r="H742" t="s">
        <v>101</v>
      </c>
      <c r="I742">
        <v>1</v>
      </c>
      <c r="J742">
        <v>20.74</v>
      </c>
      <c r="K742">
        <v>15</v>
      </c>
      <c r="L742">
        <v>17.63</v>
      </c>
      <c r="M742">
        <v>13.45</v>
      </c>
      <c r="N742">
        <v>-5.15</v>
      </c>
      <c r="O742" t="s">
        <v>34</v>
      </c>
      <c r="P742">
        <v>2024</v>
      </c>
      <c r="Q742" t="s">
        <v>3637</v>
      </c>
      <c r="R742">
        <v>14.9855</v>
      </c>
      <c r="S742">
        <v>-0.34366554335858002</v>
      </c>
      <c r="T742" t="s">
        <v>3634</v>
      </c>
      <c r="U742" t="s">
        <v>3636</v>
      </c>
    </row>
    <row r="743" spans="1:21" x14ac:dyDescent="0.25">
      <c r="A743" t="s">
        <v>1501</v>
      </c>
      <c r="B743" s="1">
        <v>45339</v>
      </c>
      <c r="C743" t="s">
        <v>473</v>
      </c>
      <c r="D743" t="s">
        <v>30</v>
      </c>
      <c r="E743" t="s">
        <v>148</v>
      </c>
      <c r="F743" t="s">
        <v>60</v>
      </c>
      <c r="G743" t="s">
        <v>69</v>
      </c>
      <c r="H743" t="s">
        <v>243</v>
      </c>
      <c r="I743">
        <v>5</v>
      </c>
      <c r="J743">
        <v>48.34</v>
      </c>
      <c r="K743">
        <v>25</v>
      </c>
      <c r="L743">
        <v>181.28</v>
      </c>
      <c r="M743">
        <v>14.29</v>
      </c>
      <c r="N743">
        <v>46.14</v>
      </c>
      <c r="O743" t="s">
        <v>34</v>
      </c>
      <c r="P743">
        <v>2024</v>
      </c>
      <c r="Q743" t="s">
        <v>3637</v>
      </c>
      <c r="R743">
        <v>135.96</v>
      </c>
      <c r="S743">
        <v>0.33936451897616898</v>
      </c>
      <c r="T743" t="s">
        <v>3632</v>
      </c>
      <c r="U743" t="s">
        <v>3633</v>
      </c>
    </row>
    <row r="744" spans="1:21" x14ac:dyDescent="0.25">
      <c r="A744" t="s">
        <v>1502</v>
      </c>
      <c r="B744" s="1">
        <v>45340</v>
      </c>
      <c r="C744" t="s">
        <v>1503</v>
      </c>
      <c r="D744" t="s">
        <v>30</v>
      </c>
      <c r="E744" t="s">
        <v>18</v>
      </c>
      <c r="F744" t="s">
        <v>19</v>
      </c>
      <c r="G744" t="s">
        <v>42</v>
      </c>
      <c r="H744" t="s">
        <v>93</v>
      </c>
      <c r="I744">
        <v>7</v>
      </c>
      <c r="J744">
        <v>429.66</v>
      </c>
      <c r="K744">
        <v>0</v>
      </c>
      <c r="L744">
        <v>3007.62</v>
      </c>
      <c r="M744">
        <v>13.26</v>
      </c>
      <c r="N744">
        <v>1189.79</v>
      </c>
      <c r="O744" t="s">
        <v>39</v>
      </c>
      <c r="P744">
        <v>2024</v>
      </c>
      <c r="Q744" t="s">
        <v>3637</v>
      </c>
      <c r="R744">
        <v>3007.62</v>
      </c>
      <c r="S744">
        <v>0.39559186333379898</v>
      </c>
      <c r="T744" t="s">
        <v>3635</v>
      </c>
      <c r="U744" t="s">
        <v>3633</v>
      </c>
    </row>
    <row r="745" spans="1:21" x14ac:dyDescent="0.25">
      <c r="A745" t="s">
        <v>1504</v>
      </c>
      <c r="B745" s="1">
        <v>45340</v>
      </c>
      <c r="C745" t="s">
        <v>1505</v>
      </c>
      <c r="D745" t="s">
        <v>17</v>
      </c>
      <c r="E745" t="s">
        <v>92</v>
      </c>
      <c r="F745" t="s">
        <v>60</v>
      </c>
      <c r="G745" t="s">
        <v>42</v>
      </c>
      <c r="H745" t="s">
        <v>118</v>
      </c>
      <c r="I745">
        <v>2</v>
      </c>
      <c r="J745">
        <v>48.32</v>
      </c>
      <c r="K745">
        <v>20</v>
      </c>
      <c r="L745">
        <v>77.31</v>
      </c>
      <c r="M745">
        <v>12.19</v>
      </c>
      <c r="N745">
        <v>7.14</v>
      </c>
      <c r="O745" t="s">
        <v>22</v>
      </c>
      <c r="P745">
        <v>2024</v>
      </c>
      <c r="Q745" t="s">
        <v>3637</v>
      </c>
      <c r="R745">
        <v>61.847999999999999</v>
      </c>
      <c r="S745">
        <v>0.115444315095072</v>
      </c>
      <c r="T745" t="s">
        <v>3634</v>
      </c>
      <c r="U745" t="s">
        <v>3633</v>
      </c>
    </row>
    <row r="746" spans="1:21" x14ac:dyDescent="0.25">
      <c r="A746" t="s">
        <v>1506</v>
      </c>
      <c r="B746" s="1">
        <v>45340</v>
      </c>
      <c r="C746" t="s">
        <v>1507</v>
      </c>
      <c r="D746" t="s">
        <v>17</v>
      </c>
      <c r="E746" t="s">
        <v>37</v>
      </c>
      <c r="F746" t="s">
        <v>26</v>
      </c>
      <c r="G746" t="s">
        <v>69</v>
      </c>
      <c r="H746" t="s">
        <v>163</v>
      </c>
      <c r="I746">
        <v>3</v>
      </c>
      <c r="J746">
        <v>62.02</v>
      </c>
      <c r="K746">
        <v>5</v>
      </c>
      <c r="L746">
        <v>176.76</v>
      </c>
      <c r="M746">
        <v>8.7899999999999991</v>
      </c>
      <c r="N746">
        <v>74.94</v>
      </c>
      <c r="O746" t="s">
        <v>22</v>
      </c>
      <c r="P746">
        <v>2024</v>
      </c>
      <c r="Q746" t="s">
        <v>3637</v>
      </c>
      <c r="R746">
        <v>167.922</v>
      </c>
      <c r="S746">
        <v>0.44627862936363299</v>
      </c>
      <c r="T746" t="s">
        <v>3632</v>
      </c>
      <c r="U746" t="s">
        <v>3633</v>
      </c>
    </row>
    <row r="747" spans="1:21" x14ac:dyDescent="0.25">
      <c r="A747" t="s">
        <v>1508</v>
      </c>
      <c r="B747" s="1">
        <v>45343</v>
      </c>
      <c r="C747" t="s">
        <v>1509</v>
      </c>
      <c r="D747" t="s">
        <v>17</v>
      </c>
      <c r="E747" t="s">
        <v>248</v>
      </c>
      <c r="F747" t="s">
        <v>26</v>
      </c>
      <c r="G747" t="s">
        <v>20</v>
      </c>
      <c r="H747" t="s">
        <v>264</v>
      </c>
      <c r="I747">
        <v>1</v>
      </c>
      <c r="J747">
        <v>62.36</v>
      </c>
      <c r="K747">
        <v>15</v>
      </c>
      <c r="L747">
        <v>53.01</v>
      </c>
      <c r="M747">
        <v>7.88</v>
      </c>
      <c r="N747">
        <v>10.83</v>
      </c>
      <c r="O747" t="s">
        <v>34</v>
      </c>
      <c r="P747">
        <v>2024</v>
      </c>
      <c r="Q747" t="s">
        <v>3637</v>
      </c>
      <c r="R747">
        <v>45.058500000000002</v>
      </c>
      <c r="S747">
        <v>0.24035420619860801</v>
      </c>
      <c r="T747" t="s">
        <v>3634</v>
      </c>
      <c r="U747" t="s">
        <v>3633</v>
      </c>
    </row>
    <row r="748" spans="1:21" x14ac:dyDescent="0.25">
      <c r="A748" t="s">
        <v>1510</v>
      </c>
      <c r="B748" s="1">
        <v>45343</v>
      </c>
      <c r="C748" t="s">
        <v>1511</v>
      </c>
      <c r="D748" t="s">
        <v>17</v>
      </c>
      <c r="E748" t="s">
        <v>31</v>
      </c>
      <c r="F748" t="s">
        <v>19</v>
      </c>
      <c r="G748" t="s">
        <v>69</v>
      </c>
      <c r="H748" t="s">
        <v>139</v>
      </c>
      <c r="I748">
        <v>3</v>
      </c>
      <c r="J748">
        <v>43.72</v>
      </c>
      <c r="K748">
        <v>0</v>
      </c>
      <c r="L748">
        <v>131.16</v>
      </c>
      <c r="M748">
        <v>11.64</v>
      </c>
      <c r="N748">
        <v>53.94</v>
      </c>
      <c r="O748" t="s">
        <v>39</v>
      </c>
      <c r="P748">
        <v>2024</v>
      </c>
      <c r="Q748" t="s">
        <v>3637</v>
      </c>
      <c r="R748">
        <v>131.16</v>
      </c>
      <c r="S748">
        <v>0.41125343092406202</v>
      </c>
      <c r="T748" t="s">
        <v>3632</v>
      </c>
      <c r="U748" t="s">
        <v>3633</v>
      </c>
    </row>
    <row r="749" spans="1:21" x14ac:dyDescent="0.25">
      <c r="A749" t="s">
        <v>1512</v>
      </c>
      <c r="B749" s="1">
        <v>45343</v>
      </c>
      <c r="C749" t="s">
        <v>1513</v>
      </c>
      <c r="D749" t="s">
        <v>49</v>
      </c>
      <c r="E749" t="s">
        <v>76</v>
      </c>
      <c r="F749" t="s">
        <v>26</v>
      </c>
      <c r="G749" t="s">
        <v>69</v>
      </c>
      <c r="H749" t="s">
        <v>196</v>
      </c>
      <c r="I749">
        <v>5</v>
      </c>
      <c r="J749">
        <v>13.07</v>
      </c>
      <c r="K749">
        <v>0</v>
      </c>
      <c r="L749">
        <v>65.349999999999994</v>
      </c>
      <c r="M749">
        <v>13.22</v>
      </c>
      <c r="N749">
        <v>19.45</v>
      </c>
      <c r="O749" t="s">
        <v>56</v>
      </c>
      <c r="P749">
        <v>2024</v>
      </c>
      <c r="Q749" t="s">
        <v>3637</v>
      </c>
      <c r="R749">
        <v>65.349999999999994</v>
      </c>
      <c r="S749">
        <v>0.29762815608263199</v>
      </c>
      <c r="T749" t="s">
        <v>3634</v>
      </c>
      <c r="U749" t="s">
        <v>3633</v>
      </c>
    </row>
    <row r="750" spans="1:21" x14ac:dyDescent="0.25">
      <c r="A750" t="s">
        <v>1514</v>
      </c>
      <c r="B750" s="1">
        <v>45343</v>
      </c>
      <c r="C750" t="s">
        <v>1515</v>
      </c>
      <c r="D750" t="s">
        <v>17</v>
      </c>
      <c r="E750" t="s">
        <v>18</v>
      </c>
      <c r="F750" t="s">
        <v>19</v>
      </c>
      <c r="G750" t="s">
        <v>42</v>
      </c>
      <c r="H750" t="s">
        <v>43</v>
      </c>
      <c r="I750">
        <v>1</v>
      </c>
      <c r="J750">
        <v>246.49</v>
      </c>
      <c r="K750">
        <v>10</v>
      </c>
      <c r="L750">
        <v>221.84</v>
      </c>
      <c r="M750">
        <v>6.91</v>
      </c>
      <c r="N750">
        <v>67.040000000000006</v>
      </c>
      <c r="O750" t="s">
        <v>34</v>
      </c>
      <c r="P750">
        <v>2024</v>
      </c>
      <c r="Q750" t="s">
        <v>3637</v>
      </c>
      <c r="R750">
        <v>199.65600000000001</v>
      </c>
      <c r="S750">
        <v>0.33577753736426702</v>
      </c>
      <c r="T750" t="s">
        <v>3632</v>
      </c>
      <c r="U750" t="s">
        <v>3633</v>
      </c>
    </row>
    <row r="751" spans="1:21" x14ac:dyDescent="0.25">
      <c r="A751" t="s">
        <v>1516</v>
      </c>
      <c r="B751" s="1">
        <v>45345</v>
      </c>
      <c r="C751" t="s">
        <v>1517</v>
      </c>
      <c r="D751" t="s">
        <v>30</v>
      </c>
      <c r="E751" t="s">
        <v>129</v>
      </c>
      <c r="F751" t="s">
        <v>19</v>
      </c>
      <c r="G751" t="s">
        <v>69</v>
      </c>
      <c r="H751" t="s">
        <v>196</v>
      </c>
      <c r="I751">
        <v>7</v>
      </c>
      <c r="J751">
        <v>23.26</v>
      </c>
      <c r="K751">
        <v>5</v>
      </c>
      <c r="L751">
        <v>154.68</v>
      </c>
      <c r="M751">
        <v>15.24</v>
      </c>
      <c r="N751">
        <v>58.03</v>
      </c>
      <c r="O751" t="s">
        <v>34</v>
      </c>
      <c r="P751">
        <v>2024</v>
      </c>
      <c r="Q751" t="s">
        <v>3637</v>
      </c>
      <c r="R751">
        <v>146.946</v>
      </c>
      <c r="S751">
        <v>0.394906972629401</v>
      </c>
      <c r="T751" t="s">
        <v>3632</v>
      </c>
      <c r="U751" t="s">
        <v>3633</v>
      </c>
    </row>
    <row r="752" spans="1:21" x14ac:dyDescent="0.25">
      <c r="A752" t="s">
        <v>1518</v>
      </c>
      <c r="B752" s="1">
        <v>45347</v>
      </c>
      <c r="C752" t="s">
        <v>579</v>
      </c>
      <c r="D752" t="s">
        <v>30</v>
      </c>
      <c r="E752" t="s">
        <v>76</v>
      </c>
      <c r="F752" t="s">
        <v>26</v>
      </c>
      <c r="G752" t="s">
        <v>42</v>
      </c>
      <c r="H752" t="s">
        <v>118</v>
      </c>
      <c r="I752">
        <v>1</v>
      </c>
      <c r="J752">
        <v>61.18</v>
      </c>
      <c r="K752">
        <v>0</v>
      </c>
      <c r="L752">
        <v>61.18</v>
      </c>
      <c r="M752">
        <v>8.33</v>
      </c>
      <c r="N752">
        <v>16.14</v>
      </c>
      <c r="O752" t="s">
        <v>39</v>
      </c>
      <c r="P752">
        <v>2024</v>
      </c>
      <c r="Q752" t="s">
        <v>3637</v>
      </c>
      <c r="R752">
        <v>61.18</v>
      </c>
      <c r="S752">
        <v>0.26381170317097102</v>
      </c>
      <c r="T752" t="s">
        <v>3634</v>
      </c>
      <c r="U752" t="s">
        <v>3633</v>
      </c>
    </row>
    <row r="753" spans="1:21" x14ac:dyDescent="0.25">
      <c r="A753" t="s">
        <v>1519</v>
      </c>
      <c r="B753" s="1">
        <v>45349</v>
      </c>
      <c r="C753" t="s">
        <v>1520</v>
      </c>
      <c r="D753" t="s">
        <v>17</v>
      </c>
      <c r="E753" t="s">
        <v>248</v>
      </c>
      <c r="F753" t="s">
        <v>26</v>
      </c>
      <c r="G753" t="s">
        <v>20</v>
      </c>
      <c r="H753" t="s">
        <v>122</v>
      </c>
      <c r="I753">
        <v>4</v>
      </c>
      <c r="J753">
        <v>78.349999999999994</v>
      </c>
      <c r="K753">
        <v>20</v>
      </c>
      <c r="L753">
        <v>250.72</v>
      </c>
      <c r="M753">
        <v>12.16</v>
      </c>
      <c r="N753">
        <v>66.19</v>
      </c>
      <c r="O753" t="s">
        <v>39</v>
      </c>
      <c r="P753">
        <v>2024</v>
      </c>
      <c r="Q753" t="s">
        <v>3637</v>
      </c>
      <c r="R753">
        <v>200.57599999999999</v>
      </c>
      <c r="S753">
        <v>0.32999960114869198</v>
      </c>
      <c r="T753" t="s">
        <v>3632</v>
      </c>
      <c r="U753" t="s">
        <v>3633</v>
      </c>
    </row>
    <row r="754" spans="1:21" x14ac:dyDescent="0.25">
      <c r="A754" t="s">
        <v>1521</v>
      </c>
      <c r="B754" s="1">
        <v>45349</v>
      </c>
      <c r="C754" t="s">
        <v>1522</v>
      </c>
      <c r="D754" t="s">
        <v>30</v>
      </c>
      <c r="E754" t="s">
        <v>138</v>
      </c>
      <c r="F754" t="s">
        <v>54</v>
      </c>
      <c r="G754" t="s">
        <v>32</v>
      </c>
      <c r="H754" t="s">
        <v>101</v>
      </c>
      <c r="I754">
        <v>2</v>
      </c>
      <c r="J754">
        <v>13.33</v>
      </c>
      <c r="K754">
        <v>15</v>
      </c>
      <c r="L754">
        <v>22.66</v>
      </c>
      <c r="M754">
        <v>15.68</v>
      </c>
      <c r="N754">
        <v>-5.0199999999999996</v>
      </c>
      <c r="O754" t="s">
        <v>39</v>
      </c>
      <c r="P754">
        <v>2024</v>
      </c>
      <c r="Q754" t="s">
        <v>3637</v>
      </c>
      <c r="R754">
        <v>19.260999999999999</v>
      </c>
      <c r="S754">
        <v>-0.26063028918540099</v>
      </c>
      <c r="T754" t="s">
        <v>3634</v>
      </c>
      <c r="U754" t="s">
        <v>3636</v>
      </c>
    </row>
    <row r="755" spans="1:21" x14ac:dyDescent="0.25">
      <c r="A755" t="s">
        <v>1523</v>
      </c>
      <c r="B755" s="1">
        <v>45349</v>
      </c>
      <c r="C755" t="s">
        <v>905</v>
      </c>
      <c r="D755" t="s">
        <v>30</v>
      </c>
      <c r="E755" t="s">
        <v>18</v>
      </c>
      <c r="F755" t="s">
        <v>19</v>
      </c>
      <c r="G755" t="s">
        <v>32</v>
      </c>
      <c r="H755" t="s">
        <v>110</v>
      </c>
      <c r="I755">
        <v>1</v>
      </c>
      <c r="J755">
        <v>14.7</v>
      </c>
      <c r="K755">
        <v>15</v>
      </c>
      <c r="L755">
        <v>12.49</v>
      </c>
      <c r="M755">
        <v>7.42</v>
      </c>
      <c r="N755">
        <v>-1.54</v>
      </c>
      <c r="O755" t="s">
        <v>34</v>
      </c>
      <c r="P755">
        <v>2024</v>
      </c>
      <c r="Q755" t="s">
        <v>3637</v>
      </c>
      <c r="R755">
        <v>10.6165</v>
      </c>
      <c r="S755">
        <v>-0.14505722224838699</v>
      </c>
      <c r="T755" t="s">
        <v>3634</v>
      </c>
      <c r="U755" t="s">
        <v>3636</v>
      </c>
    </row>
    <row r="756" spans="1:21" x14ac:dyDescent="0.25">
      <c r="A756" t="s">
        <v>1524</v>
      </c>
      <c r="B756" s="1">
        <v>45353</v>
      </c>
      <c r="C756" t="s">
        <v>502</v>
      </c>
      <c r="D756" t="s">
        <v>17</v>
      </c>
      <c r="E756" t="s">
        <v>248</v>
      </c>
      <c r="F756" t="s">
        <v>26</v>
      </c>
      <c r="G756" t="s">
        <v>32</v>
      </c>
      <c r="H756" t="s">
        <v>348</v>
      </c>
      <c r="I756">
        <v>4</v>
      </c>
      <c r="J756">
        <v>10.51</v>
      </c>
      <c r="K756">
        <v>5</v>
      </c>
      <c r="L756">
        <v>39.94</v>
      </c>
      <c r="M756">
        <v>13.17</v>
      </c>
      <c r="N756">
        <v>7.85</v>
      </c>
      <c r="O756" t="s">
        <v>34</v>
      </c>
      <c r="P756">
        <v>2024</v>
      </c>
      <c r="Q756" t="s">
        <v>3638</v>
      </c>
      <c r="R756">
        <v>37.942999999999998</v>
      </c>
      <c r="S756">
        <v>0.206889281290357</v>
      </c>
      <c r="T756" t="s">
        <v>3634</v>
      </c>
      <c r="U756" t="s">
        <v>3633</v>
      </c>
    </row>
    <row r="757" spans="1:21" x14ac:dyDescent="0.25">
      <c r="A757" t="s">
        <v>1525</v>
      </c>
      <c r="B757" s="1">
        <v>45354</v>
      </c>
      <c r="C757" t="s">
        <v>1526</v>
      </c>
      <c r="D757" t="s">
        <v>49</v>
      </c>
      <c r="E757" t="s">
        <v>37</v>
      </c>
      <c r="F757" t="s">
        <v>26</v>
      </c>
      <c r="G757" t="s">
        <v>42</v>
      </c>
      <c r="H757" t="s">
        <v>294</v>
      </c>
      <c r="I757">
        <v>5</v>
      </c>
      <c r="J757">
        <v>131.71</v>
      </c>
      <c r="K757">
        <v>10</v>
      </c>
      <c r="L757">
        <v>592.70000000000005</v>
      </c>
      <c r="M757">
        <v>10.75</v>
      </c>
      <c r="N757">
        <v>186.82</v>
      </c>
      <c r="O757" t="s">
        <v>22</v>
      </c>
      <c r="P757">
        <v>2024</v>
      </c>
      <c r="Q757" t="s">
        <v>3638</v>
      </c>
      <c r="R757">
        <v>533.42999999999995</v>
      </c>
      <c r="S757">
        <v>0.35022402189603102</v>
      </c>
      <c r="T757" t="s">
        <v>3635</v>
      </c>
      <c r="U757" t="s">
        <v>3633</v>
      </c>
    </row>
    <row r="758" spans="1:21" x14ac:dyDescent="0.25">
      <c r="A758" t="s">
        <v>1527</v>
      </c>
      <c r="B758" s="1">
        <v>45355</v>
      </c>
      <c r="C758" t="s">
        <v>770</v>
      </c>
      <c r="D758" t="s">
        <v>17</v>
      </c>
      <c r="E758" t="s">
        <v>92</v>
      </c>
      <c r="F758" t="s">
        <v>60</v>
      </c>
      <c r="G758" t="s">
        <v>32</v>
      </c>
      <c r="H758" t="s">
        <v>110</v>
      </c>
      <c r="I758">
        <v>5</v>
      </c>
      <c r="J758">
        <v>5</v>
      </c>
      <c r="K758">
        <v>0</v>
      </c>
      <c r="L758">
        <v>25</v>
      </c>
      <c r="M758">
        <v>13.15</v>
      </c>
      <c r="N758">
        <v>0.6</v>
      </c>
      <c r="O758" t="s">
        <v>22</v>
      </c>
      <c r="P758">
        <v>2024</v>
      </c>
      <c r="Q758" t="s">
        <v>3638</v>
      </c>
      <c r="R758">
        <v>25</v>
      </c>
      <c r="S758">
        <v>2.4E-2</v>
      </c>
      <c r="T758" t="s">
        <v>3634</v>
      </c>
      <c r="U758" t="s">
        <v>3633</v>
      </c>
    </row>
    <row r="759" spans="1:21" x14ac:dyDescent="0.25">
      <c r="A759" t="s">
        <v>1528</v>
      </c>
      <c r="B759" s="1">
        <v>45356</v>
      </c>
      <c r="C759" t="s">
        <v>946</v>
      </c>
      <c r="D759" t="s">
        <v>49</v>
      </c>
      <c r="E759" t="s">
        <v>129</v>
      </c>
      <c r="F759" t="s">
        <v>19</v>
      </c>
      <c r="G759" t="s">
        <v>32</v>
      </c>
      <c r="H759" t="s">
        <v>149</v>
      </c>
      <c r="I759">
        <v>1</v>
      </c>
      <c r="J759">
        <v>12.92</v>
      </c>
      <c r="K759">
        <v>10</v>
      </c>
      <c r="L759">
        <v>11.63</v>
      </c>
      <c r="M759">
        <v>5.83</v>
      </c>
      <c r="N759">
        <v>-0.01</v>
      </c>
      <c r="O759" t="s">
        <v>34</v>
      </c>
      <c r="P759">
        <v>2024</v>
      </c>
      <c r="Q759" t="s">
        <v>3638</v>
      </c>
      <c r="R759">
        <v>10.467000000000001</v>
      </c>
      <c r="S759">
        <v>-9.55383586509984E-4</v>
      </c>
      <c r="T759" t="s">
        <v>3634</v>
      </c>
      <c r="U759" t="s">
        <v>3636</v>
      </c>
    </row>
    <row r="760" spans="1:21" x14ac:dyDescent="0.25">
      <c r="A760" t="s">
        <v>1529</v>
      </c>
      <c r="B760" s="1">
        <v>45356</v>
      </c>
      <c r="C760" t="s">
        <v>1530</v>
      </c>
      <c r="D760" t="s">
        <v>30</v>
      </c>
      <c r="E760" t="s">
        <v>31</v>
      </c>
      <c r="F760" t="s">
        <v>19</v>
      </c>
      <c r="G760" t="s">
        <v>32</v>
      </c>
      <c r="H760" t="s">
        <v>101</v>
      </c>
      <c r="I760">
        <v>6</v>
      </c>
      <c r="J760">
        <v>15.88</v>
      </c>
      <c r="K760">
        <v>5</v>
      </c>
      <c r="L760">
        <v>90.52</v>
      </c>
      <c r="M760">
        <v>10.1</v>
      </c>
      <c r="N760">
        <v>37.54</v>
      </c>
      <c r="O760" t="s">
        <v>39</v>
      </c>
      <c r="P760">
        <v>2024</v>
      </c>
      <c r="Q760" t="s">
        <v>3638</v>
      </c>
      <c r="R760">
        <v>85.994</v>
      </c>
      <c r="S760">
        <v>0.43654208433146502</v>
      </c>
      <c r="T760" t="s">
        <v>3634</v>
      </c>
      <c r="U760" t="s">
        <v>3633</v>
      </c>
    </row>
    <row r="761" spans="1:21" x14ac:dyDescent="0.25">
      <c r="A761" t="s">
        <v>1531</v>
      </c>
      <c r="B761" s="1">
        <v>45356</v>
      </c>
      <c r="C761" t="s">
        <v>1532</v>
      </c>
      <c r="D761" t="s">
        <v>30</v>
      </c>
      <c r="E761" t="s">
        <v>18</v>
      </c>
      <c r="F761" t="s">
        <v>19</v>
      </c>
      <c r="G761" t="s">
        <v>69</v>
      </c>
      <c r="H761" t="s">
        <v>163</v>
      </c>
      <c r="I761">
        <v>5</v>
      </c>
      <c r="J761">
        <v>32.04</v>
      </c>
      <c r="K761">
        <v>5</v>
      </c>
      <c r="L761">
        <v>152.19</v>
      </c>
      <c r="M761">
        <v>8.49</v>
      </c>
      <c r="N761">
        <v>63.6</v>
      </c>
      <c r="O761" t="s">
        <v>56</v>
      </c>
      <c r="P761">
        <v>2024</v>
      </c>
      <c r="Q761" t="s">
        <v>3638</v>
      </c>
      <c r="R761">
        <v>144.5805</v>
      </c>
      <c r="S761">
        <v>0.43989334661313201</v>
      </c>
      <c r="T761" t="s">
        <v>3632</v>
      </c>
      <c r="U761" t="s">
        <v>3633</v>
      </c>
    </row>
    <row r="762" spans="1:21" x14ac:dyDescent="0.25">
      <c r="A762" t="s">
        <v>1533</v>
      </c>
      <c r="B762" s="1">
        <v>45356</v>
      </c>
      <c r="C762" t="s">
        <v>1534</v>
      </c>
      <c r="D762" t="s">
        <v>17</v>
      </c>
      <c r="E762" t="s">
        <v>109</v>
      </c>
      <c r="F762" t="s">
        <v>54</v>
      </c>
      <c r="G762" t="s">
        <v>20</v>
      </c>
      <c r="H762" t="s">
        <v>21</v>
      </c>
      <c r="I762">
        <v>3</v>
      </c>
      <c r="J762">
        <v>187.55</v>
      </c>
      <c r="K762">
        <v>15</v>
      </c>
      <c r="L762">
        <v>478.25</v>
      </c>
      <c r="M762">
        <v>15.41</v>
      </c>
      <c r="N762">
        <v>153.38</v>
      </c>
      <c r="O762" t="s">
        <v>22</v>
      </c>
      <c r="P762">
        <v>2024</v>
      </c>
      <c r="Q762" t="s">
        <v>3638</v>
      </c>
      <c r="R762">
        <v>406.51249999999999</v>
      </c>
      <c r="S762">
        <v>0.37730697088035398</v>
      </c>
      <c r="T762" t="s">
        <v>3632</v>
      </c>
      <c r="U762" t="s">
        <v>3633</v>
      </c>
    </row>
    <row r="763" spans="1:21" x14ac:dyDescent="0.25">
      <c r="A763" t="s">
        <v>1535</v>
      </c>
      <c r="B763" s="1">
        <v>45357</v>
      </c>
      <c r="C763" t="s">
        <v>1536</v>
      </c>
      <c r="D763" t="s">
        <v>30</v>
      </c>
      <c r="E763" t="s">
        <v>59</v>
      </c>
      <c r="F763" t="s">
        <v>60</v>
      </c>
      <c r="G763" t="s">
        <v>20</v>
      </c>
      <c r="H763" t="s">
        <v>38</v>
      </c>
      <c r="I763">
        <v>11</v>
      </c>
      <c r="J763">
        <v>67.959999999999994</v>
      </c>
      <c r="K763">
        <v>5</v>
      </c>
      <c r="L763">
        <v>710.18</v>
      </c>
      <c r="M763">
        <v>35.32</v>
      </c>
      <c r="N763">
        <v>263.7</v>
      </c>
      <c r="O763" t="s">
        <v>22</v>
      </c>
      <c r="P763">
        <v>2024</v>
      </c>
      <c r="Q763" t="s">
        <v>3638</v>
      </c>
      <c r="R763">
        <v>674.67100000000005</v>
      </c>
      <c r="S763">
        <v>0.39085717334819498</v>
      </c>
      <c r="T763" t="s">
        <v>3635</v>
      </c>
      <c r="U763" t="s">
        <v>3633</v>
      </c>
    </row>
    <row r="764" spans="1:21" x14ac:dyDescent="0.25">
      <c r="A764" t="s">
        <v>1537</v>
      </c>
      <c r="B764" s="1">
        <v>45357</v>
      </c>
      <c r="C764" t="s">
        <v>1538</v>
      </c>
      <c r="D764" t="s">
        <v>17</v>
      </c>
      <c r="E764" t="s">
        <v>169</v>
      </c>
      <c r="F764" t="s">
        <v>68</v>
      </c>
      <c r="G764" t="s">
        <v>42</v>
      </c>
      <c r="H764" t="s">
        <v>64</v>
      </c>
      <c r="I764">
        <v>1</v>
      </c>
      <c r="J764">
        <v>127.07</v>
      </c>
      <c r="K764">
        <v>0</v>
      </c>
      <c r="L764">
        <v>127.07</v>
      </c>
      <c r="M764">
        <v>10.8</v>
      </c>
      <c r="N764">
        <v>40.03</v>
      </c>
      <c r="O764" t="s">
        <v>34</v>
      </c>
      <c r="P764">
        <v>2024</v>
      </c>
      <c r="Q764" t="s">
        <v>3638</v>
      </c>
      <c r="R764">
        <v>127.07</v>
      </c>
      <c r="S764">
        <v>0.31502321555048401</v>
      </c>
      <c r="T764" t="s">
        <v>3632</v>
      </c>
      <c r="U764" t="s">
        <v>3633</v>
      </c>
    </row>
    <row r="765" spans="1:21" x14ac:dyDescent="0.25">
      <c r="A765" t="s">
        <v>1539</v>
      </c>
      <c r="B765" s="1">
        <v>45358</v>
      </c>
      <c r="C765" t="s">
        <v>1540</v>
      </c>
      <c r="D765" t="s">
        <v>17</v>
      </c>
      <c r="E765" t="s">
        <v>59</v>
      </c>
      <c r="F765" t="s">
        <v>60</v>
      </c>
      <c r="G765" t="s">
        <v>69</v>
      </c>
      <c r="H765" t="s">
        <v>86</v>
      </c>
      <c r="I765">
        <v>5</v>
      </c>
      <c r="J765">
        <v>110.65</v>
      </c>
      <c r="K765">
        <v>0</v>
      </c>
      <c r="L765">
        <v>553.25</v>
      </c>
      <c r="M765">
        <v>13.18</v>
      </c>
      <c r="N765">
        <v>263.44</v>
      </c>
      <c r="O765" t="s">
        <v>34</v>
      </c>
      <c r="P765">
        <v>2024</v>
      </c>
      <c r="Q765" t="s">
        <v>3638</v>
      </c>
      <c r="R765">
        <v>553.25</v>
      </c>
      <c r="S765">
        <v>0.47616809760506101</v>
      </c>
      <c r="T765" t="s">
        <v>3635</v>
      </c>
      <c r="U765" t="s">
        <v>3633</v>
      </c>
    </row>
    <row r="766" spans="1:21" x14ac:dyDescent="0.25">
      <c r="A766" t="s">
        <v>1541</v>
      </c>
      <c r="B766" s="1">
        <v>45358</v>
      </c>
      <c r="C766" t="s">
        <v>1542</v>
      </c>
      <c r="D766" t="s">
        <v>30</v>
      </c>
      <c r="E766" t="s">
        <v>67</v>
      </c>
      <c r="F766" t="s">
        <v>68</v>
      </c>
      <c r="G766" t="s">
        <v>20</v>
      </c>
      <c r="H766" t="s">
        <v>175</v>
      </c>
      <c r="I766">
        <v>2</v>
      </c>
      <c r="J766">
        <v>27.57</v>
      </c>
      <c r="K766">
        <v>0</v>
      </c>
      <c r="L766">
        <v>55.14</v>
      </c>
      <c r="M766">
        <v>12.15</v>
      </c>
      <c r="N766">
        <v>12.66</v>
      </c>
      <c r="O766" t="s">
        <v>39</v>
      </c>
      <c r="P766">
        <v>2024</v>
      </c>
      <c r="Q766" t="s">
        <v>3638</v>
      </c>
      <c r="R766">
        <v>55.14</v>
      </c>
      <c r="S766">
        <v>0.229597388465724</v>
      </c>
      <c r="T766" t="s">
        <v>3634</v>
      </c>
      <c r="U766" t="s">
        <v>3633</v>
      </c>
    </row>
    <row r="767" spans="1:21" x14ac:dyDescent="0.25">
      <c r="A767" t="s">
        <v>1543</v>
      </c>
      <c r="B767" s="1">
        <v>45358</v>
      </c>
      <c r="C767" t="s">
        <v>1133</v>
      </c>
      <c r="D767" t="s">
        <v>49</v>
      </c>
      <c r="E767" t="s">
        <v>59</v>
      </c>
      <c r="F767" t="s">
        <v>60</v>
      </c>
      <c r="G767" t="s">
        <v>42</v>
      </c>
      <c r="H767" t="s">
        <v>234</v>
      </c>
      <c r="I767">
        <v>4</v>
      </c>
      <c r="J767">
        <v>36.409999999999997</v>
      </c>
      <c r="K767">
        <v>10</v>
      </c>
      <c r="L767">
        <v>131.08000000000001</v>
      </c>
      <c r="M767">
        <v>17.64</v>
      </c>
      <c r="N767">
        <v>26.06</v>
      </c>
      <c r="O767" t="s">
        <v>56</v>
      </c>
      <c r="P767">
        <v>2024</v>
      </c>
      <c r="Q767" t="s">
        <v>3638</v>
      </c>
      <c r="R767">
        <v>117.97199999999999</v>
      </c>
      <c r="S767">
        <v>0.22089987454650301</v>
      </c>
      <c r="T767" t="s">
        <v>3632</v>
      </c>
      <c r="U767" t="s">
        <v>3633</v>
      </c>
    </row>
    <row r="768" spans="1:21" x14ac:dyDescent="0.25">
      <c r="A768" t="s">
        <v>1544</v>
      </c>
      <c r="B768" s="1">
        <v>45359</v>
      </c>
      <c r="C768" t="s">
        <v>1545</v>
      </c>
      <c r="D768" t="s">
        <v>30</v>
      </c>
      <c r="E768" t="s">
        <v>59</v>
      </c>
      <c r="F768" t="s">
        <v>60</v>
      </c>
      <c r="G768" t="s">
        <v>32</v>
      </c>
      <c r="H768" t="s">
        <v>115</v>
      </c>
      <c r="I768">
        <v>4</v>
      </c>
      <c r="J768">
        <v>7.72</v>
      </c>
      <c r="K768">
        <v>15</v>
      </c>
      <c r="L768">
        <v>26.25</v>
      </c>
      <c r="M768">
        <v>14</v>
      </c>
      <c r="N768">
        <v>-1.65</v>
      </c>
      <c r="O768" t="s">
        <v>39</v>
      </c>
      <c r="P768">
        <v>2024</v>
      </c>
      <c r="Q768" t="s">
        <v>3638</v>
      </c>
      <c r="R768">
        <v>22.3125</v>
      </c>
      <c r="S768">
        <v>-7.3949579831932802E-2</v>
      </c>
      <c r="T768" t="s">
        <v>3634</v>
      </c>
      <c r="U768" t="s">
        <v>3636</v>
      </c>
    </row>
    <row r="769" spans="1:21" x14ac:dyDescent="0.25">
      <c r="A769" t="s">
        <v>1546</v>
      </c>
      <c r="B769" s="1">
        <v>45359</v>
      </c>
      <c r="C769" t="s">
        <v>1547</v>
      </c>
      <c r="D769" t="s">
        <v>30</v>
      </c>
      <c r="E769" t="s">
        <v>76</v>
      </c>
      <c r="F769" t="s">
        <v>26</v>
      </c>
      <c r="G769" t="s">
        <v>20</v>
      </c>
      <c r="H769" t="s">
        <v>106</v>
      </c>
      <c r="I769">
        <v>2</v>
      </c>
      <c r="J769">
        <v>57.7</v>
      </c>
      <c r="K769">
        <v>0</v>
      </c>
      <c r="L769">
        <v>115.4</v>
      </c>
      <c r="M769">
        <v>9.5500000000000007</v>
      </c>
      <c r="N769">
        <v>42.38</v>
      </c>
      <c r="O769" t="s">
        <v>56</v>
      </c>
      <c r="P769">
        <v>2024</v>
      </c>
      <c r="Q769" t="s">
        <v>3638</v>
      </c>
      <c r="R769">
        <v>115.4</v>
      </c>
      <c r="S769">
        <v>0.36724436741767802</v>
      </c>
      <c r="T769" t="s">
        <v>3632</v>
      </c>
      <c r="U769" t="s">
        <v>3633</v>
      </c>
    </row>
    <row r="770" spans="1:21" x14ac:dyDescent="0.25">
      <c r="A770" t="s">
        <v>1548</v>
      </c>
      <c r="B770" s="1">
        <v>45359</v>
      </c>
      <c r="C770" t="s">
        <v>1549</v>
      </c>
      <c r="D770" t="s">
        <v>30</v>
      </c>
      <c r="E770" t="s">
        <v>18</v>
      </c>
      <c r="F770" t="s">
        <v>19</v>
      </c>
      <c r="G770" t="s">
        <v>20</v>
      </c>
      <c r="H770" t="s">
        <v>264</v>
      </c>
      <c r="I770">
        <v>3</v>
      </c>
      <c r="J770">
        <v>69.59</v>
      </c>
      <c r="K770">
        <v>20</v>
      </c>
      <c r="L770">
        <v>167.02</v>
      </c>
      <c r="M770">
        <v>10.17</v>
      </c>
      <c r="N770">
        <v>42.03</v>
      </c>
      <c r="O770" t="s">
        <v>22</v>
      </c>
      <c r="P770">
        <v>2024</v>
      </c>
      <c r="Q770" t="s">
        <v>3638</v>
      </c>
      <c r="R770">
        <v>133.61600000000001</v>
      </c>
      <c r="S770">
        <v>0.31455813675008998</v>
      </c>
      <c r="T770" t="s">
        <v>3632</v>
      </c>
      <c r="U770" t="s">
        <v>3633</v>
      </c>
    </row>
    <row r="771" spans="1:21" x14ac:dyDescent="0.25">
      <c r="A771" t="s">
        <v>1550</v>
      </c>
      <c r="B771" s="1">
        <v>45360</v>
      </c>
      <c r="C771" t="s">
        <v>651</v>
      </c>
      <c r="D771" t="s">
        <v>30</v>
      </c>
      <c r="E771" t="s">
        <v>166</v>
      </c>
      <c r="F771" t="s">
        <v>60</v>
      </c>
      <c r="G771" t="s">
        <v>32</v>
      </c>
      <c r="H771" t="s">
        <v>82</v>
      </c>
      <c r="I771">
        <v>1</v>
      </c>
      <c r="J771">
        <v>10.42</v>
      </c>
      <c r="K771">
        <v>10</v>
      </c>
      <c r="L771">
        <v>9.3800000000000008</v>
      </c>
      <c r="M771">
        <v>10.01</v>
      </c>
      <c r="N771">
        <v>-5.32</v>
      </c>
      <c r="O771" t="s">
        <v>34</v>
      </c>
      <c r="P771">
        <v>2024</v>
      </c>
      <c r="Q771" t="s">
        <v>3638</v>
      </c>
      <c r="R771">
        <v>8.4420000000000002</v>
      </c>
      <c r="S771">
        <v>-0.63018242122719703</v>
      </c>
      <c r="T771" t="s">
        <v>3634</v>
      </c>
      <c r="U771" t="s">
        <v>3636</v>
      </c>
    </row>
    <row r="772" spans="1:21" x14ac:dyDescent="0.25">
      <c r="A772" t="s">
        <v>1551</v>
      </c>
      <c r="B772" s="1">
        <v>45361</v>
      </c>
      <c r="C772" t="s">
        <v>1552</v>
      </c>
      <c r="D772" t="s">
        <v>30</v>
      </c>
      <c r="E772" t="s">
        <v>53</v>
      </c>
      <c r="F772" t="s">
        <v>54</v>
      </c>
      <c r="G772" t="s">
        <v>32</v>
      </c>
      <c r="H772" t="s">
        <v>132</v>
      </c>
      <c r="I772">
        <v>1</v>
      </c>
      <c r="J772">
        <v>10.33</v>
      </c>
      <c r="K772">
        <v>0</v>
      </c>
      <c r="L772">
        <v>10.33</v>
      </c>
      <c r="M772">
        <v>12.17</v>
      </c>
      <c r="N772">
        <v>-6.49</v>
      </c>
      <c r="O772" t="s">
        <v>34</v>
      </c>
      <c r="P772">
        <v>2024</v>
      </c>
      <c r="Q772" t="s">
        <v>3638</v>
      </c>
      <c r="R772">
        <v>10.33</v>
      </c>
      <c r="S772">
        <v>-0.62826718296224604</v>
      </c>
      <c r="T772" t="s">
        <v>3634</v>
      </c>
      <c r="U772" t="s">
        <v>3636</v>
      </c>
    </row>
    <row r="773" spans="1:21" x14ac:dyDescent="0.25">
      <c r="A773" t="s">
        <v>1553</v>
      </c>
      <c r="B773" s="1">
        <v>45361</v>
      </c>
      <c r="C773" t="s">
        <v>1100</v>
      </c>
      <c r="D773" t="s">
        <v>30</v>
      </c>
      <c r="E773" t="s">
        <v>248</v>
      </c>
      <c r="F773" t="s">
        <v>26</v>
      </c>
      <c r="G773" t="s">
        <v>69</v>
      </c>
      <c r="H773" t="s">
        <v>196</v>
      </c>
      <c r="I773">
        <v>1</v>
      </c>
      <c r="J773">
        <v>24.87</v>
      </c>
      <c r="K773">
        <v>20</v>
      </c>
      <c r="L773">
        <v>19.899999999999999</v>
      </c>
      <c r="M773">
        <v>7.99</v>
      </c>
      <c r="N773">
        <v>-0.53</v>
      </c>
      <c r="O773" t="s">
        <v>39</v>
      </c>
      <c r="P773">
        <v>2024</v>
      </c>
      <c r="Q773" t="s">
        <v>3638</v>
      </c>
      <c r="R773">
        <v>15.92</v>
      </c>
      <c r="S773">
        <v>-3.3291457286432201E-2</v>
      </c>
      <c r="T773" t="s">
        <v>3634</v>
      </c>
      <c r="U773" t="s">
        <v>3636</v>
      </c>
    </row>
    <row r="774" spans="1:21" x14ac:dyDescent="0.25">
      <c r="A774" t="s">
        <v>1554</v>
      </c>
      <c r="B774" s="1">
        <v>45361</v>
      </c>
      <c r="C774" t="s">
        <v>1555</v>
      </c>
      <c r="D774" t="s">
        <v>30</v>
      </c>
      <c r="E774" t="s">
        <v>135</v>
      </c>
      <c r="F774" t="s">
        <v>26</v>
      </c>
      <c r="G774" t="s">
        <v>20</v>
      </c>
      <c r="H774" t="s">
        <v>55</v>
      </c>
      <c r="I774">
        <v>5</v>
      </c>
      <c r="J774">
        <v>73.849999999999994</v>
      </c>
      <c r="K774">
        <v>0</v>
      </c>
      <c r="L774">
        <v>369.25</v>
      </c>
      <c r="M774">
        <v>19.399999999999999</v>
      </c>
      <c r="N774">
        <v>146.76</v>
      </c>
      <c r="O774" t="s">
        <v>22</v>
      </c>
      <c r="P774">
        <v>2024</v>
      </c>
      <c r="Q774" t="s">
        <v>3638</v>
      </c>
      <c r="R774">
        <v>369.25</v>
      </c>
      <c r="S774">
        <v>0.397454299255247</v>
      </c>
      <c r="T774" t="s">
        <v>3632</v>
      </c>
      <c r="U774" t="s">
        <v>3633</v>
      </c>
    </row>
    <row r="775" spans="1:21" x14ac:dyDescent="0.25">
      <c r="A775" t="s">
        <v>1556</v>
      </c>
      <c r="B775" s="1">
        <v>45364</v>
      </c>
      <c r="C775" t="s">
        <v>1557</v>
      </c>
      <c r="D775" t="s">
        <v>17</v>
      </c>
      <c r="E775" t="s">
        <v>31</v>
      </c>
      <c r="F775" t="s">
        <v>19</v>
      </c>
      <c r="G775" t="s">
        <v>32</v>
      </c>
      <c r="H775" t="s">
        <v>149</v>
      </c>
      <c r="I775">
        <v>8</v>
      </c>
      <c r="J775">
        <v>16.12</v>
      </c>
      <c r="K775">
        <v>10</v>
      </c>
      <c r="L775">
        <v>116.06</v>
      </c>
      <c r="M775">
        <v>20.61</v>
      </c>
      <c r="N775">
        <v>37.42</v>
      </c>
      <c r="O775" t="s">
        <v>34</v>
      </c>
      <c r="P775">
        <v>2024</v>
      </c>
      <c r="Q775" t="s">
        <v>3638</v>
      </c>
      <c r="R775">
        <v>104.45399999999999</v>
      </c>
      <c r="S775">
        <v>0.35824382024623302</v>
      </c>
      <c r="T775" t="s">
        <v>3632</v>
      </c>
      <c r="U775" t="s">
        <v>3633</v>
      </c>
    </row>
    <row r="776" spans="1:21" x14ac:dyDescent="0.25">
      <c r="A776" t="s">
        <v>1558</v>
      </c>
      <c r="B776" s="1">
        <v>45364</v>
      </c>
      <c r="C776" t="s">
        <v>1559</v>
      </c>
      <c r="D776" t="s">
        <v>49</v>
      </c>
      <c r="E776" t="s">
        <v>59</v>
      </c>
      <c r="F776" t="s">
        <v>60</v>
      </c>
      <c r="G776" t="s">
        <v>20</v>
      </c>
      <c r="H776" t="s">
        <v>106</v>
      </c>
      <c r="I776">
        <v>4</v>
      </c>
      <c r="J776">
        <v>74.64</v>
      </c>
      <c r="K776">
        <v>0</v>
      </c>
      <c r="L776">
        <v>298.56</v>
      </c>
      <c r="M776">
        <v>12.03</v>
      </c>
      <c r="N776">
        <v>122.32</v>
      </c>
      <c r="O776" t="s">
        <v>39</v>
      </c>
      <c r="P776">
        <v>2024</v>
      </c>
      <c r="Q776" t="s">
        <v>3638</v>
      </c>
      <c r="R776">
        <v>298.56</v>
      </c>
      <c r="S776">
        <v>0.40969989281886399</v>
      </c>
      <c r="T776" t="s">
        <v>3632</v>
      </c>
      <c r="U776" t="s">
        <v>3633</v>
      </c>
    </row>
    <row r="777" spans="1:21" x14ac:dyDescent="0.25">
      <c r="A777" t="s">
        <v>1560</v>
      </c>
      <c r="B777" s="1">
        <v>45364</v>
      </c>
      <c r="C777" t="s">
        <v>1561</v>
      </c>
      <c r="D777" t="s">
        <v>49</v>
      </c>
      <c r="E777" t="s">
        <v>53</v>
      </c>
      <c r="F777" t="s">
        <v>54</v>
      </c>
      <c r="G777" t="s">
        <v>42</v>
      </c>
      <c r="H777" t="s">
        <v>294</v>
      </c>
      <c r="I777">
        <v>4</v>
      </c>
      <c r="J777">
        <v>119.66</v>
      </c>
      <c r="K777">
        <v>10</v>
      </c>
      <c r="L777">
        <v>430.78</v>
      </c>
      <c r="M777">
        <v>18.850000000000001</v>
      </c>
      <c r="N777">
        <v>124.75</v>
      </c>
      <c r="O777" t="s">
        <v>39</v>
      </c>
      <c r="P777">
        <v>2024</v>
      </c>
      <c r="Q777" t="s">
        <v>3638</v>
      </c>
      <c r="R777">
        <v>387.702</v>
      </c>
      <c r="S777">
        <v>0.321767749457057</v>
      </c>
      <c r="T777" t="s">
        <v>3632</v>
      </c>
      <c r="U777" t="s">
        <v>3633</v>
      </c>
    </row>
    <row r="778" spans="1:21" x14ac:dyDescent="0.25">
      <c r="A778" t="s">
        <v>1562</v>
      </c>
      <c r="B778" s="1">
        <v>45367</v>
      </c>
      <c r="C778" t="s">
        <v>1563</v>
      </c>
      <c r="D778" t="s">
        <v>30</v>
      </c>
      <c r="E778" t="s">
        <v>63</v>
      </c>
      <c r="F778" t="s">
        <v>54</v>
      </c>
      <c r="G778" t="s">
        <v>20</v>
      </c>
      <c r="H778" t="s">
        <v>199</v>
      </c>
      <c r="I778">
        <v>3</v>
      </c>
      <c r="J778">
        <v>187.16</v>
      </c>
      <c r="K778">
        <v>0</v>
      </c>
      <c r="L778">
        <v>561.48</v>
      </c>
      <c r="M778">
        <v>15.51</v>
      </c>
      <c r="N778">
        <v>237.16</v>
      </c>
      <c r="O778" t="s">
        <v>22</v>
      </c>
      <c r="P778">
        <v>2024</v>
      </c>
      <c r="Q778" t="s">
        <v>3638</v>
      </c>
      <c r="R778">
        <v>561.48</v>
      </c>
      <c r="S778">
        <v>0.42238370022084498</v>
      </c>
      <c r="T778" t="s">
        <v>3635</v>
      </c>
      <c r="U778" t="s">
        <v>3633</v>
      </c>
    </row>
    <row r="779" spans="1:21" x14ac:dyDescent="0.25">
      <c r="A779" t="s">
        <v>1564</v>
      </c>
      <c r="B779" s="1">
        <v>45368</v>
      </c>
      <c r="C779" t="s">
        <v>1565</v>
      </c>
      <c r="D779" t="s">
        <v>49</v>
      </c>
      <c r="E779" t="s">
        <v>248</v>
      </c>
      <c r="F779" t="s">
        <v>26</v>
      </c>
      <c r="G779" t="s">
        <v>32</v>
      </c>
      <c r="H779" t="s">
        <v>50</v>
      </c>
      <c r="I779">
        <v>2</v>
      </c>
      <c r="J779">
        <v>10.08</v>
      </c>
      <c r="K779">
        <v>15</v>
      </c>
      <c r="L779">
        <v>17.14</v>
      </c>
      <c r="M779">
        <v>9.67</v>
      </c>
      <c r="N779">
        <v>-1.6</v>
      </c>
      <c r="O779" t="s">
        <v>39</v>
      </c>
      <c r="P779">
        <v>2024</v>
      </c>
      <c r="Q779" t="s">
        <v>3638</v>
      </c>
      <c r="R779">
        <v>14.569000000000001</v>
      </c>
      <c r="S779">
        <v>-0.10982222527284</v>
      </c>
      <c r="T779" t="s">
        <v>3634</v>
      </c>
      <c r="U779" t="s">
        <v>3636</v>
      </c>
    </row>
    <row r="780" spans="1:21" x14ac:dyDescent="0.25">
      <c r="A780" t="s">
        <v>1566</v>
      </c>
      <c r="B780" s="1">
        <v>45368</v>
      </c>
      <c r="C780" t="s">
        <v>1567</v>
      </c>
      <c r="D780" t="s">
        <v>30</v>
      </c>
      <c r="E780" t="s">
        <v>67</v>
      </c>
      <c r="F780" t="s">
        <v>68</v>
      </c>
      <c r="G780" t="s">
        <v>42</v>
      </c>
      <c r="H780" t="s">
        <v>64</v>
      </c>
      <c r="I780">
        <v>2</v>
      </c>
      <c r="J780">
        <v>115.3</v>
      </c>
      <c r="K780">
        <v>5</v>
      </c>
      <c r="L780">
        <v>219.07</v>
      </c>
      <c r="M780">
        <v>13.43</v>
      </c>
      <c r="N780">
        <v>67.28</v>
      </c>
      <c r="O780" t="s">
        <v>22</v>
      </c>
      <c r="P780">
        <v>2024</v>
      </c>
      <c r="Q780" t="s">
        <v>3638</v>
      </c>
      <c r="R780">
        <v>208.1165</v>
      </c>
      <c r="S780">
        <v>0.32328047031350199</v>
      </c>
      <c r="T780" t="s">
        <v>3632</v>
      </c>
      <c r="U780" t="s">
        <v>3633</v>
      </c>
    </row>
    <row r="781" spans="1:21" x14ac:dyDescent="0.25">
      <c r="A781" t="s">
        <v>1568</v>
      </c>
      <c r="B781" s="1">
        <v>45368</v>
      </c>
      <c r="C781" t="s">
        <v>1569</v>
      </c>
      <c r="D781" t="s">
        <v>30</v>
      </c>
      <c r="E781" t="s">
        <v>18</v>
      </c>
      <c r="F781" t="s">
        <v>19</v>
      </c>
      <c r="G781" t="s">
        <v>42</v>
      </c>
      <c r="H781" t="s">
        <v>294</v>
      </c>
      <c r="I781">
        <v>3</v>
      </c>
      <c r="J781">
        <v>185.09</v>
      </c>
      <c r="K781">
        <v>0</v>
      </c>
      <c r="L781">
        <v>555.27</v>
      </c>
      <c r="M781">
        <v>9.3699999999999992</v>
      </c>
      <c r="N781">
        <v>212.74</v>
      </c>
      <c r="O781" t="s">
        <v>34</v>
      </c>
      <c r="P781">
        <v>2024</v>
      </c>
      <c r="Q781" t="s">
        <v>3638</v>
      </c>
      <c r="R781">
        <v>555.27</v>
      </c>
      <c r="S781">
        <v>0.38312892826912998</v>
      </c>
      <c r="T781" t="s">
        <v>3635</v>
      </c>
      <c r="U781" t="s">
        <v>3633</v>
      </c>
    </row>
    <row r="782" spans="1:21" x14ac:dyDescent="0.25">
      <c r="A782" t="s">
        <v>1570</v>
      </c>
      <c r="B782" s="1">
        <v>45369</v>
      </c>
      <c r="C782" t="s">
        <v>1571</v>
      </c>
      <c r="D782" t="s">
        <v>49</v>
      </c>
      <c r="E782" t="s">
        <v>148</v>
      </c>
      <c r="F782" t="s">
        <v>60</v>
      </c>
      <c r="G782" t="s">
        <v>20</v>
      </c>
      <c r="H782" t="s">
        <v>170</v>
      </c>
      <c r="I782">
        <v>3</v>
      </c>
      <c r="J782">
        <v>55.49</v>
      </c>
      <c r="K782">
        <v>5</v>
      </c>
      <c r="L782">
        <v>158.15</v>
      </c>
      <c r="M782">
        <v>16.399999999999999</v>
      </c>
      <c r="N782">
        <v>50.19</v>
      </c>
      <c r="O782" t="s">
        <v>22</v>
      </c>
      <c r="P782">
        <v>2024</v>
      </c>
      <c r="Q782" t="s">
        <v>3638</v>
      </c>
      <c r="R782">
        <v>150.24250000000001</v>
      </c>
      <c r="S782">
        <v>0.334059936436095</v>
      </c>
      <c r="T782" t="s">
        <v>3632</v>
      </c>
      <c r="U782" t="s">
        <v>3633</v>
      </c>
    </row>
    <row r="783" spans="1:21" x14ac:dyDescent="0.25">
      <c r="A783" t="s">
        <v>1572</v>
      </c>
      <c r="B783" s="1">
        <v>45369</v>
      </c>
      <c r="C783" t="s">
        <v>1573</v>
      </c>
      <c r="D783" t="s">
        <v>30</v>
      </c>
      <c r="E783" t="s">
        <v>37</v>
      </c>
      <c r="F783" t="s">
        <v>26</v>
      </c>
      <c r="G783" t="s">
        <v>42</v>
      </c>
      <c r="H783" t="s">
        <v>234</v>
      </c>
      <c r="I783">
        <v>1</v>
      </c>
      <c r="J783">
        <v>53.47</v>
      </c>
      <c r="K783">
        <v>0</v>
      </c>
      <c r="L783">
        <v>53.47</v>
      </c>
      <c r="M783">
        <v>8.83</v>
      </c>
      <c r="N783">
        <v>12.56</v>
      </c>
      <c r="O783" t="s">
        <v>39</v>
      </c>
      <c r="P783">
        <v>2024</v>
      </c>
      <c r="Q783" t="s">
        <v>3638</v>
      </c>
      <c r="R783">
        <v>53.47</v>
      </c>
      <c r="S783">
        <v>0.23489807368617899</v>
      </c>
      <c r="T783" t="s">
        <v>3634</v>
      </c>
      <c r="U783" t="s">
        <v>3633</v>
      </c>
    </row>
    <row r="784" spans="1:21" x14ac:dyDescent="0.25">
      <c r="A784" t="s">
        <v>1574</v>
      </c>
      <c r="B784" s="1">
        <v>45370</v>
      </c>
      <c r="C784" t="s">
        <v>368</v>
      </c>
      <c r="D784" t="s">
        <v>17</v>
      </c>
      <c r="E784" t="s">
        <v>92</v>
      </c>
      <c r="F784" t="s">
        <v>60</v>
      </c>
      <c r="G784" t="s">
        <v>69</v>
      </c>
      <c r="H784" t="s">
        <v>163</v>
      </c>
      <c r="I784">
        <v>3</v>
      </c>
      <c r="J784">
        <v>24.44</v>
      </c>
      <c r="K784">
        <v>25</v>
      </c>
      <c r="L784">
        <v>54.99</v>
      </c>
      <c r="M784">
        <v>12.17</v>
      </c>
      <c r="N784">
        <v>6.16</v>
      </c>
      <c r="O784" t="s">
        <v>39</v>
      </c>
      <c r="P784">
        <v>2024</v>
      </c>
      <c r="Q784" t="s">
        <v>3638</v>
      </c>
      <c r="R784">
        <v>41.2425</v>
      </c>
      <c r="S784">
        <v>0.14936048978602201</v>
      </c>
      <c r="T784" t="s">
        <v>3634</v>
      </c>
      <c r="U784" t="s">
        <v>3633</v>
      </c>
    </row>
    <row r="785" spans="1:21" x14ac:dyDescent="0.25">
      <c r="A785" t="s">
        <v>1575</v>
      </c>
      <c r="B785" s="1">
        <v>45370</v>
      </c>
      <c r="C785" t="s">
        <v>1576</v>
      </c>
      <c r="D785" t="s">
        <v>30</v>
      </c>
      <c r="E785" t="s">
        <v>85</v>
      </c>
      <c r="F785" t="s">
        <v>60</v>
      </c>
      <c r="G785" t="s">
        <v>69</v>
      </c>
      <c r="H785" t="s">
        <v>196</v>
      </c>
      <c r="I785">
        <v>11</v>
      </c>
      <c r="J785">
        <v>15.11</v>
      </c>
      <c r="K785">
        <v>10</v>
      </c>
      <c r="L785">
        <v>149.59</v>
      </c>
      <c r="M785">
        <v>21.86</v>
      </c>
      <c r="N785">
        <v>44.63</v>
      </c>
      <c r="O785" t="s">
        <v>34</v>
      </c>
      <c r="P785">
        <v>2024</v>
      </c>
      <c r="Q785" t="s">
        <v>3638</v>
      </c>
      <c r="R785">
        <v>134.631</v>
      </c>
      <c r="S785">
        <v>0.33149868900921797</v>
      </c>
      <c r="T785" t="s">
        <v>3632</v>
      </c>
      <c r="U785" t="s">
        <v>3633</v>
      </c>
    </row>
    <row r="786" spans="1:21" x14ac:dyDescent="0.25">
      <c r="A786" t="s">
        <v>1577</v>
      </c>
      <c r="B786" s="1">
        <v>45370</v>
      </c>
      <c r="C786" t="s">
        <v>1578</v>
      </c>
      <c r="D786" t="s">
        <v>17</v>
      </c>
      <c r="E786" t="s">
        <v>76</v>
      </c>
      <c r="F786" t="s">
        <v>26</v>
      </c>
      <c r="G786" t="s">
        <v>32</v>
      </c>
      <c r="H786" t="s">
        <v>110</v>
      </c>
      <c r="I786">
        <v>2</v>
      </c>
      <c r="J786">
        <v>4.03</v>
      </c>
      <c r="K786">
        <v>5</v>
      </c>
      <c r="L786">
        <v>7.66</v>
      </c>
      <c r="M786">
        <v>10.73</v>
      </c>
      <c r="N786">
        <v>-6.7</v>
      </c>
      <c r="O786" t="s">
        <v>22</v>
      </c>
      <c r="P786">
        <v>2024</v>
      </c>
      <c r="Q786" t="s">
        <v>3638</v>
      </c>
      <c r="R786">
        <v>7.2770000000000001</v>
      </c>
      <c r="S786">
        <v>-0.920709083413494</v>
      </c>
      <c r="T786" t="s">
        <v>3634</v>
      </c>
      <c r="U786" t="s">
        <v>3636</v>
      </c>
    </row>
    <row r="787" spans="1:21" x14ac:dyDescent="0.25">
      <c r="A787" t="s">
        <v>1579</v>
      </c>
      <c r="B787" s="1">
        <v>45372</v>
      </c>
      <c r="C787" t="s">
        <v>333</v>
      </c>
      <c r="D787" t="s">
        <v>30</v>
      </c>
      <c r="E787" t="s">
        <v>85</v>
      </c>
      <c r="F787" t="s">
        <v>60</v>
      </c>
      <c r="G787" t="s">
        <v>69</v>
      </c>
      <c r="H787" t="s">
        <v>86</v>
      </c>
      <c r="I787">
        <v>4</v>
      </c>
      <c r="J787">
        <v>123.28</v>
      </c>
      <c r="K787">
        <v>5</v>
      </c>
      <c r="L787">
        <v>468.46</v>
      </c>
      <c r="M787">
        <v>13.33</v>
      </c>
      <c r="N787">
        <v>208.57</v>
      </c>
      <c r="O787" t="s">
        <v>39</v>
      </c>
      <c r="P787">
        <v>2024</v>
      </c>
      <c r="Q787" t="s">
        <v>3638</v>
      </c>
      <c r="R787">
        <v>445.03699999999998</v>
      </c>
      <c r="S787">
        <v>0.46865766217190902</v>
      </c>
      <c r="T787" t="s">
        <v>3632</v>
      </c>
      <c r="U787" t="s">
        <v>3633</v>
      </c>
    </row>
    <row r="788" spans="1:21" x14ac:dyDescent="0.25">
      <c r="A788" t="s">
        <v>1580</v>
      </c>
      <c r="B788" s="1">
        <v>45378</v>
      </c>
      <c r="C788" t="s">
        <v>868</v>
      </c>
      <c r="D788" t="s">
        <v>17</v>
      </c>
      <c r="E788" t="s">
        <v>53</v>
      </c>
      <c r="F788" t="s">
        <v>54</v>
      </c>
      <c r="G788" t="s">
        <v>20</v>
      </c>
      <c r="H788" t="s">
        <v>264</v>
      </c>
      <c r="I788">
        <v>2</v>
      </c>
      <c r="J788">
        <v>21.45</v>
      </c>
      <c r="K788">
        <v>15</v>
      </c>
      <c r="L788">
        <v>36.46</v>
      </c>
      <c r="M788">
        <v>13.62</v>
      </c>
      <c r="N788">
        <v>-0.76</v>
      </c>
      <c r="O788" t="s">
        <v>34</v>
      </c>
      <c r="P788">
        <v>2024</v>
      </c>
      <c r="Q788" t="s">
        <v>3638</v>
      </c>
      <c r="R788">
        <v>30.991</v>
      </c>
      <c r="S788">
        <v>-2.4523248685102101E-2</v>
      </c>
      <c r="T788" t="s">
        <v>3634</v>
      </c>
      <c r="U788" t="s">
        <v>3636</v>
      </c>
    </row>
    <row r="789" spans="1:21" x14ac:dyDescent="0.25">
      <c r="A789" t="s">
        <v>1581</v>
      </c>
      <c r="B789" s="1">
        <v>45378</v>
      </c>
      <c r="C789" t="s">
        <v>1582</v>
      </c>
      <c r="D789" t="s">
        <v>17</v>
      </c>
      <c r="E789" t="s">
        <v>248</v>
      </c>
      <c r="F789" t="s">
        <v>26</v>
      </c>
      <c r="G789" t="s">
        <v>20</v>
      </c>
      <c r="H789" t="s">
        <v>55</v>
      </c>
      <c r="I789">
        <v>1</v>
      </c>
      <c r="J789">
        <v>34.409999999999997</v>
      </c>
      <c r="K789">
        <v>5</v>
      </c>
      <c r="L789">
        <v>32.69</v>
      </c>
      <c r="M789">
        <v>7.58</v>
      </c>
      <c r="N789">
        <v>6.18</v>
      </c>
      <c r="O789" t="s">
        <v>34</v>
      </c>
      <c r="P789">
        <v>2024</v>
      </c>
      <c r="Q789" t="s">
        <v>3638</v>
      </c>
      <c r="R789">
        <v>31.055499999999999</v>
      </c>
      <c r="S789">
        <v>0.198998567081515</v>
      </c>
      <c r="T789" t="s">
        <v>3634</v>
      </c>
      <c r="U789" t="s">
        <v>3633</v>
      </c>
    </row>
    <row r="790" spans="1:21" x14ac:dyDescent="0.25">
      <c r="A790" t="s">
        <v>1583</v>
      </c>
      <c r="B790" s="1">
        <v>45378</v>
      </c>
      <c r="C790" t="s">
        <v>1584</v>
      </c>
      <c r="D790" t="s">
        <v>30</v>
      </c>
      <c r="E790" t="s">
        <v>18</v>
      </c>
      <c r="F790" t="s">
        <v>19</v>
      </c>
      <c r="G790" t="s">
        <v>20</v>
      </c>
      <c r="H790" t="s">
        <v>122</v>
      </c>
      <c r="I790">
        <v>6</v>
      </c>
      <c r="J790">
        <v>99.17</v>
      </c>
      <c r="K790">
        <v>15</v>
      </c>
      <c r="L790">
        <v>505.77</v>
      </c>
      <c r="M790">
        <v>13.35</v>
      </c>
      <c r="N790">
        <v>165.16</v>
      </c>
      <c r="O790" t="s">
        <v>34</v>
      </c>
      <c r="P790">
        <v>2024</v>
      </c>
      <c r="Q790" t="s">
        <v>3638</v>
      </c>
      <c r="R790">
        <v>429.90449999999998</v>
      </c>
      <c r="S790">
        <v>0.38417834658627698</v>
      </c>
      <c r="T790" t="s">
        <v>3635</v>
      </c>
      <c r="U790" t="s">
        <v>3633</v>
      </c>
    </row>
    <row r="791" spans="1:21" x14ac:dyDescent="0.25">
      <c r="A791" t="s">
        <v>1585</v>
      </c>
      <c r="B791" s="1">
        <v>45378</v>
      </c>
      <c r="C791" t="s">
        <v>1586</v>
      </c>
      <c r="D791" t="s">
        <v>17</v>
      </c>
      <c r="E791" t="s">
        <v>63</v>
      </c>
      <c r="F791" t="s">
        <v>54</v>
      </c>
      <c r="G791" t="s">
        <v>42</v>
      </c>
      <c r="H791" t="s">
        <v>371</v>
      </c>
      <c r="I791">
        <v>7</v>
      </c>
      <c r="J791">
        <v>140.88999999999999</v>
      </c>
      <c r="K791">
        <v>15</v>
      </c>
      <c r="L791">
        <v>838.3</v>
      </c>
      <c r="M791">
        <v>16.010000000000002</v>
      </c>
      <c r="N791">
        <v>230.55</v>
      </c>
      <c r="O791" t="s">
        <v>39</v>
      </c>
      <c r="P791">
        <v>2024</v>
      </c>
      <c r="Q791" t="s">
        <v>3638</v>
      </c>
      <c r="R791">
        <v>712.55499999999995</v>
      </c>
      <c r="S791">
        <v>0.32355397127239299</v>
      </c>
      <c r="T791" t="s">
        <v>3635</v>
      </c>
      <c r="U791" t="s">
        <v>3633</v>
      </c>
    </row>
    <row r="792" spans="1:21" x14ac:dyDescent="0.25">
      <c r="A792" t="s">
        <v>1587</v>
      </c>
      <c r="B792" s="1">
        <v>45379</v>
      </c>
      <c r="C792" t="s">
        <v>1588</v>
      </c>
      <c r="D792" t="s">
        <v>49</v>
      </c>
      <c r="E792" t="s">
        <v>31</v>
      </c>
      <c r="F792" t="s">
        <v>19</v>
      </c>
      <c r="G792" t="s">
        <v>20</v>
      </c>
      <c r="H792" t="s">
        <v>170</v>
      </c>
      <c r="I792">
        <v>12</v>
      </c>
      <c r="J792">
        <v>40.47</v>
      </c>
      <c r="K792">
        <v>5</v>
      </c>
      <c r="L792">
        <v>461.36</v>
      </c>
      <c r="M792">
        <v>27.85</v>
      </c>
      <c r="N792">
        <v>166.41</v>
      </c>
      <c r="O792" t="s">
        <v>22</v>
      </c>
      <c r="P792">
        <v>2024</v>
      </c>
      <c r="Q792" t="s">
        <v>3638</v>
      </c>
      <c r="R792">
        <v>438.29199999999997</v>
      </c>
      <c r="S792">
        <v>0.37967838792403202</v>
      </c>
      <c r="T792" t="s">
        <v>3632</v>
      </c>
      <c r="U792" t="s">
        <v>3633</v>
      </c>
    </row>
    <row r="793" spans="1:21" x14ac:dyDescent="0.25">
      <c r="A793" t="s">
        <v>1589</v>
      </c>
      <c r="B793" s="1">
        <v>45379</v>
      </c>
      <c r="C793" t="s">
        <v>1590</v>
      </c>
      <c r="D793" t="s">
        <v>30</v>
      </c>
      <c r="E793" t="s">
        <v>121</v>
      </c>
      <c r="F793" t="s">
        <v>68</v>
      </c>
      <c r="G793" t="s">
        <v>42</v>
      </c>
      <c r="H793" t="s">
        <v>64</v>
      </c>
      <c r="I793">
        <v>1</v>
      </c>
      <c r="J793">
        <v>42.6</v>
      </c>
      <c r="K793">
        <v>15</v>
      </c>
      <c r="L793">
        <v>36.21</v>
      </c>
      <c r="M793">
        <v>11.24</v>
      </c>
      <c r="N793">
        <v>-0.59</v>
      </c>
      <c r="O793" t="s">
        <v>56</v>
      </c>
      <c r="P793">
        <v>2024</v>
      </c>
      <c r="Q793" t="s">
        <v>3638</v>
      </c>
      <c r="R793">
        <v>30.778500000000001</v>
      </c>
      <c r="S793">
        <v>-1.9169225270887099E-2</v>
      </c>
      <c r="T793" t="s">
        <v>3634</v>
      </c>
      <c r="U793" t="s">
        <v>3636</v>
      </c>
    </row>
    <row r="794" spans="1:21" x14ac:dyDescent="0.25">
      <c r="A794" t="s">
        <v>1591</v>
      </c>
      <c r="B794" s="1">
        <v>45381</v>
      </c>
      <c r="C794" t="s">
        <v>1120</v>
      </c>
      <c r="D794" t="s">
        <v>17</v>
      </c>
      <c r="E794" t="s">
        <v>85</v>
      </c>
      <c r="F794" t="s">
        <v>60</v>
      </c>
      <c r="G794" t="s">
        <v>32</v>
      </c>
      <c r="H794" t="s">
        <v>115</v>
      </c>
      <c r="I794">
        <v>1</v>
      </c>
      <c r="J794">
        <v>7.85</v>
      </c>
      <c r="K794">
        <v>10</v>
      </c>
      <c r="L794">
        <v>7.06</v>
      </c>
      <c r="M794">
        <v>9.6</v>
      </c>
      <c r="N794">
        <v>-6.07</v>
      </c>
      <c r="O794" t="s">
        <v>34</v>
      </c>
      <c r="P794">
        <v>2024</v>
      </c>
      <c r="Q794" t="s">
        <v>3638</v>
      </c>
      <c r="R794">
        <v>6.3540000000000001</v>
      </c>
      <c r="S794">
        <v>-0.95530374567201803</v>
      </c>
      <c r="T794" t="s">
        <v>3634</v>
      </c>
      <c r="U794" t="s">
        <v>3636</v>
      </c>
    </row>
    <row r="795" spans="1:21" x14ac:dyDescent="0.25">
      <c r="A795" t="s">
        <v>1592</v>
      </c>
      <c r="B795" s="1">
        <v>45381</v>
      </c>
      <c r="C795" t="s">
        <v>946</v>
      </c>
      <c r="D795" t="s">
        <v>17</v>
      </c>
      <c r="E795" t="s">
        <v>135</v>
      </c>
      <c r="F795" t="s">
        <v>26</v>
      </c>
      <c r="G795" t="s">
        <v>42</v>
      </c>
      <c r="H795" t="s">
        <v>371</v>
      </c>
      <c r="I795">
        <v>6</v>
      </c>
      <c r="J795">
        <v>203.47</v>
      </c>
      <c r="K795">
        <v>10</v>
      </c>
      <c r="L795">
        <v>1098.74</v>
      </c>
      <c r="M795">
        <v>13.13</v>
      </c>
      <c r="N795">
        <v>353.12</v>
      </c>
      <c r="O795" t="s">
        <v>34</v>
      </c>
      <c r="P795">
        <v>2024</v>
      </c>
      <c r="Q795" t="s">
        <v>3638</v>
      </c>
      <c r="R795">
        <v>988.86599999999999</v>
      </c>
      <c r="S795">
        <v>0.357095905815348</v>
      </c>
      <c r="T795" t="s">
        <v>3635</v>
      </c>
      <c r="U795" t="s">
        <v>3633</v>
      </c>
    </row>
    <row r="796" spans="1:21" x14ac:dyDescent="0.25">
      <c r="A796" t="s">
        <v>1593</v>
      </c>
      <c r="B796" s="1">
        <v>45382</v>
      </c>
      <c r="C796" t="s">
        <v>1594</v>
      </c>
      <c r="D796" t="s">
        <v>49</v>
      </c>
      <c r="E796" t="s">
        <v>121</v>
      </c>
      <c r="F796" t="s">
        <v>68</v>
      </c>
      <c r="G796" t="s">
        <v>69</v>
      </c>
      <c r="H796" t="s">
        <v>160</v>
      </c>
      <c r="I796">
        <v>8</v>
      </c>
      <c r="J796">
        <v>14.51</v>
      </c>
      <c r="K796">
        <v>20</v>
      </c>
      <c r="L796">
        <v>92.86</v>
      </c>
      <c r="M796">
        <v>27.87</v>
      </c>
      <c r="N796">
        <v>6.95</v>
      </c>
      <c r="O796" t="s">
        <v>39</v>
      </c>
      <c r="P796">
        <v>2024</v>
      </c>
      <c r="Q796" t="s">
        <v>3638</v>
      </c>
      <c r="R796">
        <v>74.287999999999997</v>
      </c>
      <c r="S796">
        <v>9.3554813698040099E-2</v>
      </c>
      <c r="T796" t="s">
        <v>3634</v>
      </c>
      <c r="U796" t="s">
        <v>3633</v>
      </c>
    </row>
    <row r="797" spans="1:21" x14ac:dyDescent="0.25">
      <c r="A797" t="s">
        <v>1595</v>
      </c>
      <c r="B797" s="1">
        <v>45382</v>
      </c>
      <c r="C797" t="s">
        <v>114</v>
      </c>
      <c r="D797" t="s">
        <v>49</v>
      </c>
      <c r="E797" t="s">
        <v>129</v>
      </c>
      <c r="F797" t="s">
        <v>19</v>
      </c>
      <c r="G797" t="s">
        <v>32</v>
      </c>
      <c r="H797" t="s">
        <v>115</v>
      </c>
      <c r="I797">
        <v>7</v>
      </c>
      <c r="J797">
        <v>18.79</v>
      </c>
      <c r="K797">
        <v>5</v>
      </c>
      <c r="L797">
        <v>124.95</v>
      </c>
      <c r="M797">
        <v>9.1199999999999992</v>
      </c>
      <c r="N797">
        <v>56.64</v>
      </c>
      <c r="O797" t="s">
        <v>22</v>
      </c>
      <c r="P797">
        <v>2024</v>
      </c>
      <c r="Q797" t="s">
        <v>3638</v>
      </c>
      <c r="R797">
        <v>118.7025</v>
      </c>
      <c r="S797">
        <v>0.47715928476653802</v>
      </c>
      <c r="T797" t="s">
        <v>3632</v>
      </c>
      <c r="U797" t="s">
        <v>3633</v>
      </c>
    </row>
    <row r="798" spans="1:21" x14ac:dyDescent="0.25">
      <c r="A798" t="s">
        <v>1596</v>
      </c>
      <c r="B798" s="1">
        <v>45382</v>
      </c>
      <c r="C798" t="s">
        <v>748</v>
      </c>
      <c r="D798" t="s">
        <v>30</v>
      </c>
      <c r="E798" t="s">
        <v>248</v>
      </c>
      <c r="F798" t="s">
        <v>26</v>
      </c>
      <c r="G798" t="s">
        <v>32</v>
      </c>
      <c r="H798" t="s">
        <v>82</v>
      </c>
      <c r="I798">
        <v>1</v>
      </c>
      <c r="J798">
        <v>18.75</v>
      </c>
      <c r="K798">
        <v>0</v>
      </c>
      <c r="L798">
        <v>18.75</v>
      </c>
      <c r="M798">
        <v>9.2200000000000006</v>
      </c>
      <c r="N798">
        <v>1.0900000000000001</v>
      </c>
      <c r="O798" t="s">
        <v>39</v>
      </c>
      <c r="P798">
        <v>2024</v>
      </c>
      <c r="Q798" t="s">
        <v>3638</v>
      </c>
      <c r="R798">
        <v>18.75</v>
      </c>
      <c r="S798">
        <v>5.8133333333333301E-2</v>
      </c>
      <c r="T798" t="s">
        <v>3634</v>
      </c>
      <c r="U798" t="s">
        <v>3633</v>
      </c>
    </row>
    <row r="799" spans="1:21" x14ac:dyDescent="0.25">
      <c r="A799" t="s">
        <v>1597</v>
      </c>
      <c r="B799" s="1">
        <v>45382</v>
      </c>
      <c r="C799" t="s">
        <v>1598</v>
      </c>
      <c r="D799" t="s">
        <v>30</v>
      </c>
      <c r="E799" t="s">
        <v>92</v>
      </c>
      <c r="F799" t="s">
        <v>60</v>
      </c>
      <c r="G799" t="s">
        <v>20</v>
      </c>
      <c r="H799" t="s">
        <v>199</v>
      </c>
      <c r="I799">
        <v>4</v>
      </c>
      <c r="J799">
        <v>130.44999999999999</v>
      </c>
      <c r="K799">
        <v>0</v>
      </c>
      <c r="L799">
        <v>521.79999999999995</v>
      </c>
      <c r="M799">
        <v>18.510000000000002</v>
      </c>
      <c r="N799">
        <v>216.3</v>
      </c>
      <c r="O799" t="s">
        <v>39</v>
      </c>
      <c r="P799">
        <v>2024</v>
      </c>
      <c r="Q799" t="s">
        <v>3638</v>
      </c>
      <c r="R799">
        <v>521.79999999999995</v>
      </c>
      <c r="S799">
        <v>0.41452663855883498</v>
      </c>
      <c r="T799" t="s">
        <v>3635</v>
      </c>
      <c r="U799" t="s">
        <v>3633</v>
      </c>
    </row>
    <row r="800" spans="1:21" x14ac:dyDescent="0.25">
      <c r="A800" t="s">
        <v>1599</v>
      </c>
      <c r="B800" s="1">
        <v>45383</v>
      </c>
      <c r="C800" t="s">
        <v>1600</v>
      </c>
      <c r="D800" t="s">
        <v>49</v>
      </c>
      <c r="E800" t="s">
        <v>25</v>
      </c>
      <c r="F800" t="s">
        <v>26</v>
      </c>
      <c r="G800" t="s">
        <v>20</v>
      </c>
      <c r="H800" t="s">
        <v>21</v>
      </c>
      <c r="I800">
        <v>1</v>
      </c>
      <c r="J800">
        <v>231.11</v>
      </c>
      <c r="K800">
        <v>10</v>
      </c>
      <c r="L800">
        <v>208</v>
      </c>
      <c r="M800">
        <v>8.8699999999999992</v>
      </c>
      <c r="N800">
        <v>72.02</v>
      </c>
      <c r="O800" t="s">
        <v>39</v>
      </c>
      <c r="P800">
        <v>2024</v>
      </c>
      <c r="Q800" t="s">
        <v>3639</v>
      </c>
      <c r="R800">
        <v>187.2</v>
      </c>
      <c r="S800">
        <v>0.38472222222222202</v>
      </c>
      <c r="T800" t="s">
        <v>3632</v>
      </c>
      <c r="U800" t="s">
        <v>3633</v>
      </c>
    </row>
    <row r="801" spans="1:21" x14ac:dyDescent="0.25">
      <c r="A801" t="s">
        <v>1601</v>
      </c>
      <c r="B801" s="1">
        <v>45385</v>
      </c>
      <c r="C801" t="s">
        <v>1602</v>
      </c>
      <c r="D801" t="s">
        <v>17</v>
      </c>
      <c r="E801" t="s">
        <v>248</v>
      </c>
      <c r="F801" t="s">
        <v>26</v>
      </c>
      <c r="G801" t="s">
        <v>69</v>
      </c>
      <c r="H801" t="s">
        <v>79</v>
      </c>
      <c r="I801">
        <v>2</v>
      </c>
      <c r="J801">
        <v>35.17</v>
      </c>
      <c r="K801">
        <v>25</v>
      </c>
      <c r="L801">
        <v>52.76</v>
      </c>
      <c r="M801">
        <v>10.97</v>
      </c>
      <c r="N801">
        <v>6.62</v>
      </c>
      <c r="O801" t="s">
        <v>56</v>
      </c>
      <c r="P801">
        <v>2024</v>
      </c>
      <c r="Q801" t="s">
        <v>3639</v>
      </c>
      <c r="R801">
        <v>39.57</v>
      </c>
      <c r="S801">
        <v>0.16729845842810201</v>
      </c>
      <c r="T801" t="s">
        <v>3634</v>
      </c>
      <c r="U801" t="s">
        <v>3633</v>
      </c>
    </row>
    <row r="802" spans="1:21" x14ac:dyDescent="0.25">
      <c r="A802" t="s">
        <v>1603</v>
      </c>
      <c r="B802" s="1">
        <v>45385</v>
      </c>
      <c r="C802" t="s">
        <v>1604</v>
      </c>
      <c r="D802" t="s">
        <v>30</v>
      </c>
      <c r="E802" t="s">
        <v>85</v>
      </c>
      <c r="F802" t="s">
        <v>60</v>
      </c>
      <c r="G802" t="s">
        <v>20</v>
      </c>
      <c r="H802" t="s">
        <v>21</v>
      </c>
      <c r="I802">
        <v>13</v>
      </c>
      <c r="J802">
        <v>73.44</v>
      </c>
      <c r="K802">
        <v>15</v>
      </c>
      <c r="L802">
        <v>811.51</v>
      </c>
      <c r="M802">
        <v>34.33</v>
      </c>
      <c r="N802">
        <v>252.08</v>
      </c>
      <c r="O802" t="s">
        <v>34</v>
      </c>
      <c r="P802">
        <v>2024</v>
      </c>
      <c r="Q802" t="s">
        <v>3639</v>
      </c>
      <c r="R802">
        <v>689.7835</v>
      </c>
      <c r="S802">
        <v>0.36544799926353699</v>
      </c>
      <c r="T802" t="s">
        <v>3635</v>
      </c>
      <c r="U802" t="s">
        <v>3633</v>
      </c>
    </row>
    <row r="803" spans="1:21" x14ac:dyDescent="0.25">
      <c r="A803" t="s">
        <v>1605</v>
      </c>
      <c r="B803" s="1">
        <v>45385</v>
      </c>
      <c r="C803" t="s">
        <v>1606</v>
      </c>
      <c r="D803" t="s">
        <v>17</v>
      </c>
      <c r="E803" t="s">
        <v>37</v>
      </c>
      <c r="F803" t="s">
        <v>26</v>
      </c>
      <c r="G803" t="s">
        <v>32</v>
      </c>
      <c r="H803" t="s">
        <v>110</v>
      </c>
      <c r="I803">
        <v>2</v>
      </c>
      <c r="J803">
        <v>9.1</v>
      </c>
      <c r="K803">
        <v>0</v>
      </c>
      <c r="L803">
        <v>18.2</v>
      </c>
      <c r="M803">
        <v>9.66</v>
      </c>
      <c r="N803">
        <v>0.35</v>
      </c>
      <c r="O803" t="s">
        <v>39</v>
      </c>
      <c r="P803">
        <v>2024</v>
      </c>
      <c r="Q803" t="s">
        <v>3639</v>
      </c>
      <c r="R803">
        <v>18.2</v>
      </c>
      <c r="S803">
        <v>1.9230769230769201E-2</v>
      </c>
      <c r="T803" t="s">
        <v>3634</v>
      </c>
      <c r="U803" t="s">
        <v>3633</v>
      </c>
    </row>
    <row r="804" spans="1:21" x14ac:dyDescent="0.25">
      <c r="A804" t="s">
        <v>1607</v>
      </c>
      <c r="B804" s="1">
        <v>45386</v>
      </c>
      <c r="C804" t="s">
        <v>1608</v>
      </c>
      <c r="D804" t="s">
        <v>17</v>
      </c>
      <c r="E804" t="s">
        <v>148</v>
      </c>
      <c r="F804" t="s">
        <v>60</v>
      </c>
      <c r="G804" t="s">
        <v>32</v>
      </c>
      <c r="H804" t="s">
        <v>82</v>
      </c>
      <c r="I804">
        <v>3</v>
      </c>
      <c r="J804">
        <v>14.61</v>
      </c>
      <c r="K804">
        <v>15</v>
      </c>
      <c r="L804">
        <v>37.26</v>
      </c>
      <c r="M804">
        <v>14.68</v>
      </c>
      <c r="N804">
        <v>2.86</v>
      </c>
      <c r="O804" t="s">
        <v>39</v>
      </c>
      <c r="P804">
        <v>2024</v>
      </c>
      <c r="Q804" t="s">
        <v>3639</v>
      </c>
      <c r="R804">
        <v>31.670999999999999</v>
      </c>
      <c r="S804">
        <v>9.0303432161914707E-2</v>
      </c>
      <c r="T804" t="s">
        <v>3634</v>
      </c>
      <c r="U804" t="s">
        <v>3633</v>
      </c>
    </row>
    <row r="805" spans="1:21" x14ac:dyDescent="0.25">
      <c r="A805" t="s">
        <v>1609</v>
      </c>
      <c r="B805" s="1">
        <v>45386</v>
      </c>
      <c r="C805" t="s">
        <v>1610</v>
      </c>
      <c r="D805" t="s">
        <v>17</v>
      </c>
      <c r="E805" t="s">
        <v>85</v>
      </c>
      <c r="F805" t="s">
        <v>60</v>
      </c>
      <c r="G805" t="s">
        <v>32</v>
      </c>
      <c r="H805" t="s">
        <v>132</v>
      </c>
      <c r="I805">
        <v>5</v>
      </c>
      <c r="J805">
        <v>15.19</v>
      </c>
      <c r="K805">
        <v>10</v>
      </c>
      <c r="L805">
        <v>68.36</v>
      </c>
      <c r="M805">
        <v>12.71</v>
      </c>
      <c r="N805">
        <v>21.47</v>
      </c>
      <c r="O805" t="s">
        <v>22</v>
      </c>
      <c r="P805">
        <v>2024</v>
      </c>
      <c r="Q805" t="s">
        <v>3639</v>
      </c>
      <c r="R805">
        <v>61.524000000000001</v>
      </c>
      <c r="S805">
        <v>0.348969507834341</v>
      </c>
      <c r="T805" t="s">
        <v>3634</v>
      </c>
      <c r="U805" t="s">
        <v>3633</v>
      </c>
    </row>
    <row r="806" spans="1:21" x14ac:dyDescent="0.25">
      <c r="A806" t="s">
        <v>1611</v>
      </c>
      <c r="B806" s="1">
        <v>45386</v>
      </c>
      <c r="C806" t="s">
        <v>1612</v>
      </c>
      <c r="D806" t="s">
        <v>30</v>
      </c>
      <c r="E806" t="s">
        <v>166</v>
      </c>
      <c r="F806" t="s">
        <v>60</v>
      </c>
      <c r="G806" t="s">
        <v>20</v>
      </c>
      <c r="H806" t="s">
        <v>122</v>
      </c>
      <c r="I806">
        <v>1</v>
      </c>
      <c r="J806">
        <v>116.53</v>
      </c>
      <c r="K806">
        <v>10</v>
      </c>
      <c r="L806">
        <v>104.88</v>
      </c>
      <c r="M806">
        <v>10.52</v>
      </c>
      <c r="N806">
        <v>30.27</v>
      </c>
      <c r="O806" t="s">
        <v>39</v>
      </c>
      <c r="P806">
        <v>2024</v>
      </c>
      <c r="Q806" t="s">
        <v>3639</v>
      </c>
      <c r="R806">
        <v>94.391999999999996</v>
      </c>
      <c r="S806">
        <v>0.32068395626747997</v>
      </c>
      <c r="T806" t="s">
        <v>3632</v>
      </c>
      <c r="U806" t="s">
        <v>3633</v>
      </c>
    </row>
    <row r="807" spans="1:21" x14ac:dyDescent="0.25">
      <c r="A807" t="s">
        <v>1613</v>
      </c>
      <c r="B807" s="1">
        <v>45386</v>
      </c>
      <c r="C807" t="s">
        <v>487</v>
      </c>
      <c r="D807" t="s">
        <v>30</v>
      </c>
      <c r="E807" t="s">
        <v>248</v>
      </c>
      <c r="F807" t="s">
        <v>26</v>
      </c>
      <c r="G807" t="s">
        <v>69</v>
      </c>
      <c r="H807" t="s">
        <v>139</v>
      </c>
      <c r="I807">
        <v>5</v>
      </c>
      <c r="J807">
        <v>45.28</v>
      </c>
      <c r="K807">
        <v>25</v>
      </c>
      <c r="L807">
        <v>169.8</v>
      </c>
      <c r="M807">
        <v>12.55</v>
      </c>
      <c r="N807">
        <v>44.05</v>
      </c>
      <c r="O807" t="s">
        <v>34</v>
      </c>
      <c r="P807">
        <v>2024</v>
      </c>
      <c r="Q807" t="s">
        <v>3639</v>
      </c>
      <c r="R807">
        <v>127.35</v>
      </c>
      <c r="S807">
        <v>0.34589713388299997</v>
      </c>
      <c r="T807" t="s">
        <v>3632</v>
      </c>
      <c r="U807" t="s">
        <v>3633</v>
      </c>
    </row>
    <row r="808" spans="1:21" x14ac:dyDescent="0.25">
      <c r="A808" t="s">
        <v>1614</v>
      </c>
      <c r="B808" s="1">
        <v>45387</v>
      </c>
      <c r="C808" t="s">
        <v>174</v>
      </c>
      <c r="D808" t="s">
        <v>17</v>
      </c>
      <c r="E808" t="s">
        <v>85</v>
      </c>
      <c r="F808" t="s">
        <v>60</v>
      </c>
      <c r="G808" t="s">
        <v>69</v>
      </c>
      <c r="H808" t="s">
        <v>163</v>
      </c>
      <c r="I808">
        <v>1</v>
      </c>
      <c r="J808">
        <v>43.07</v>
      </c>
      <c r="K808">
        <v>20</v>
      </c>
      <c r="L808">
        <v>34.46</v>
      </c>
      <c r="M808">
        <v>10.5</v>
      </c>
      <c r="N808">
        <v>2.4300000000000002</v>
      </c>
      <c r="O808" t="s">
        <v>56</v>
      </c>
      <c r="P808">
        <v>2024</v>
      </c>
      <c r="Q808" t="s">
        <v>3639</v>
      </c>
      <c r="R808">
        <v>27.568000000000001</v>
      </c>
      <c r="S808">
        <v>8.8145676146256499E-2</v>
      </c>
      <c r="T808" t="s">
        <v>3634</v>
      </c>
      <c r="U808" t="s">
        <v>3633</v>
      </c>
    </row>
    <row r="809" spans="1:21" x14ac:dyDescent="0.25">
      <c r="A809" t="s">
        <v>1615</v>
      </c>
      <c r="B809" s="1">
        <v>45387</v>
      </c>
      <c r="C809" t="s">
        <v>1616</v>
      </c>
      <c r="D809" t="s">
        <v>49</v>
      </c>
      <c r="E809" t="s">
        <v>31</v>
      </c>
      <c r="F809" t="s">
        <v>19</v>
      </c>
      <c r="G809" t="s">
        <v>32</v>
      </c>
      <c r="H809" t="s">
        <v>50</v>
      </c>
      <c r="I809">
        <v>5</v>
      </c>
      <c r="J809">
        <v>23.69</v>
      </c>
      <c r="K809">
        <v>15</v>
      </c>
      <c r="L809">
        <v>100.68</v>
      </c>
      <c r="M809">
        <v>14.77</v>
      </c>
      <c r="N809">
        <v>32.61</v>
      </c>
      <c r="O809" t="s">
        <v>34</v>
      </c>
      <c r="P809">
        <v>2024</v>
      </c>
      <c r="Q809" t="s">
        <v>3639</v>
      </c>
      <c r="R809">
        <v>85.578000000000003</v>
      </c>
      <c r="S809">
        <v>0.38105587884736702</v>
      </c>
      <c r="T809" t="s">
        <v>3632</v>
      </c>
      <c r="U809" t="s">
        <v>3633</v>
      </c>
    </row>
    <row r="810" spans="1:21" x14ac:dyDescent="0.25">
      <c r="A810" t="s">
        <v>1617</v>
      </c>
      <c r="B810" s="1">
        <v>45387</v>
      </c>
      <c r="C810" t="s">
        <v>1618</v>
      </c>
      <c r="D810" t="s">
        <v>30</v>
      </c>
      <c r="E810" t="s">
        <v>31</v>
      </c>
      <c r="F810" t="s">
        <v>19</v>
      </c>
      <c r="G810" t="s">
        <v>20</v>
      </c>
      <c r="H810" t="s">
        <v>38</v>
      </c>
      <c r="I810">
        <v>3</v>
      </c>
      <c r="J810">
        <v>80.36</v>
      </c>
      <c r="K810">
        <v>20</v>
      </c>
      <c r="L810">
        <v>192.86</v>
      </c>
      <c r="M810">
        <v>9.0399999999999991</v>
      </c>
      <c r="N810">
        <v>51.23</v>
      </c>
      <c r="O810" t="s">
        <v>34</v>
      </c>
      <c r="P810">
        <v>2024</v>
      </c>
      <c r="Q810" t="s">
        <v>3639</v>
      </c>
      <c r="R810">
        <v>154.28800000000001</v>
      </c>
      <c r="S810">
        <v>0.33204137716478299</v>
      </c>
      <c r="T810" t="s">
        <v>3632</v>
      </c>
      <c r="U810" t="s">
        <v>3633</v>
      </c>
    </row>
    <row r="811" spans="1:21" x14ac:dyDescent="0.25">
      <c r="A811" t="s">
        <v>1619</v>
      </c>
      <c r="B811" s="1">
        <v>45388</v>
      </c>
      <c r="C811" t="s">
        <v>189</v>
      </c>
      <c r="D811" t="s">
        <v>30</v>
      </c>
      <c r="E811" t="s">
        <v>248</v>
      </c>
      <c r="F811" t="s">
        <v>26</v>
      </c>
      <c r="G811" t="s">
        <v>20</v>
      </c>
      <c r="H811" t="s">
        <v>170</v>
      </c>
      <c r="I811">
        <v>3</v>
      </c>
      <c r="J811">
        <v>39.53</v>
      </c>
      <c r="K811">
        <v>15</v>
      </c>
      <c r="L811">
        <v>100.8</v>
      </c>
      <c r="M811">
        <v>9.02</v>
      </c>
      <c r="N811">
        <v>26.56</v>
      </c>
      <c r="O811" t="s">
        <v>34</v>
      </c>
      <c r="P811">
        <v>2024</v>
      </c>
      <c r="Q811" t="s">
        <v>3639</v>
      </c>
      <c r="R811">
        <v>85.68</v>
      </c>
      <c r="S811">
        <v>0.30999066293183902</v>
      </c>
      <c r="T811" t="s">
        <v>3632</v>
      </c>
      <c r="U811" t="s">
        <v>3633</v>
      </c>
    </row>
    <row r="812" spans="1:21" x14ac:dyDescent="0.25">
      <c r="A812" t="s">
        <v>1620</v>
      </c>
      <c r="B812" s="1">
        <v>45388</v>
      </c>
      <c r="C812" t="s">
        <v>1621</v>
      </c>
      <c r="D812" t="s">
        <v>30</v>
      </c>
      <c r="E812" t="s">
        <v>31</v>
      </c>
      <c r="F812" t="s">
        <v>19</v>
      </c>
      <c r="G812" t="s">
        <v>32</v>
      </c>
      <c r="H812" t="s">
        <v>33</v>
      </c>
      <c r="I812">
        <v>5</v>
      </c>
      <c r="J812">
        <v>10.25</v>
      </c>
      <c r="K812">
        <v>15</v>
      </c>
      <c r="L812">
        <v>43.56</v>
      </c>
      <c r="M812">
        <v>9.7799999999999994</v>
      </c>
      <c r="N812">
        <v>10.72</v>
      </c>
      <c r="O812" t="s">
        <v>22</v>
      </c>
      <c r="P812">
        <v>2024</v>
      </c>
      <c r="Q812" t="s">
        <v>3639</v>
      </c>
      <c r="R812">
        <v>37.026000000000003</v>
      </c>
      <c r="S812">
        <v>0.289526278831092</v>
      </c>
      <c r="T812" t="s">
        <v>3634</v>
      </c>
      <c r="U812" t="s">
        <v>3633</v>
      </c>
    </row>
    <row r="813" spans="1:21" x14ac:dyDescent="0.25">
      <c r="A813" t="s">
        <v>1622</v>
      </c>
      <c r="B813" s="1">
        <v>45388</v>
      </c>
      <c r="C813" t="s">
        <v>807</v>
      </c>
      <c r="D813" t="s">
        <v>30</v>
      </c>
      <c r="E813" t="s">
        <v>18</v>
      </c>
      <c r="F813" t="s">
        <v>19</v>
      </c>
      <c r="G813" t="s">
        <v>32</v>
      </c>
      <c r="H813" t="s">
        <v>149</v>
      </c>
      <c r="I813">
        <v>2</v>
      </c>
      <c r="J813">
        <v>14.32</v>
      </c>
      <c r="K813">
        <v>10</v>
      </c>
      <c r="L813">
        <v>25.78</v>
      </c>
      <c r="M813">
        <v>7</v>
      </c>
      <c r="N813">
        <v>5.89</v>
      </c>
      <c r="O813" t="s">
        <v>34</v>
      </c>
      <c r="P813">
        <v>2024</v>
      </c>
      <c r="Q813" t="s">
        <v>3639</v>
      </c>
      <c r="R813">
        <v>23.202000000000002</v>
      </c>
      <c r="S813">
        <v>0.253857426083958</v>
      </c>
      <c r="T813" t="s">
        <v>3634</v>
      </c>
      <c r="U813" t="s">
        <v>3633</v>
      </c>
    </row>
    <row r="814" spans="1:21" x14ac:dyDescent="0.25">
      <c r="A814" t="s">
        <v>1623</v>
      </c>
      <c r="B814" s="1">
        <v>45388</v>
      </c>
      <c r="C814" t="s">
        <v>1624</v>
      </c>
      <c r="D814" t="s">
        <v>30</v>
      </c>
      <c r="E814" t="s">
        <v>135</v>
      </c>
      <c r="F814" t="s">
        <v>26</v>
      </c>
      <c r="G814" t="s">
        <v>32</v>
      </c>
      <c r="H814" t="s">
        <v>73</v>
      </c>
      <c r="I814">
        <v>8</v>
      </c>
      <c r="J814">
        <v>9</v>
      </c>
      <c r="K814">
        <v>0</v>
      </c>
      <c r="L814">
        <v>72</v>
      </c>
      <c r="M814">
        <v>16.77</v>
      </c>
      <c r="N814">
        <v>22.83</v>
      </c>
      <c r="O814" t="s">
        <v>34</v>
      </c>
      <c r="P814">
        <v>2024</v>
      </c>
      <c r="Q814" t="s">
        <v>3639</v>
      </c>
      <c r="R814">
        <v>72</v>
      </c>
      <c r="S814">
        <v>0.317083333333333</v>
      </c>
      <c r="T814" t="s">
        <v>3634</v>
      </c>
      <c r="U814" t="s">
        <v>3633</v>
      </c>
    </row>
    <row r="815" spans="1:21" x14ac:dyDescent="0.25">
      <c r="A815" t="s">
        <v>1625</v>
      </c>
      <c r="B815" s="1">
        <v>45389</v>
      </c>
      <c r="C815" t="s">
        <v>1626</v>
      </c>
      <c r="D815" t="s">
        <v>30</v>
      </c>
      <c r="E815" t="s">
        <v>169</v>
      </c>
      <c r="F815" t="s">
        <v>68</v>
      </c>
      <c r="G815" t="s">
        <v>69</v>
      </c>
      <c r="H815" t="s">
        <v>305</v>
      </c>
      <c r="I815">
        <v>5</v>
      </c>
      <c r="J815">
        <v>77.97</v>
      </c>
      <c r="K815">
        <v>5</v>
      </c>
      <c r="L815">
        <v>370.36</v>
      </c>
      <c r="M815">
        <v>20.41</v>
      </c>
      <c r="N815">
        <v>155.03</v>
      </c>
      <c r="O815" t="s">
        <v>34</v>
      </c>
      <c r="P815">
        <v>2024</v>
      </c>
      <c r="Q815" t="s">
        <v>3639</v>
      </c>
      <c r="R815">
        <v>351.84199999999998</v>
      </c>
      <c r="S815">
        <v>0.44062391641702803</v>
      </c>
      <c r="T815" t="s">
        <v>3632</v>
      </c>
      <c r="U815" t="s">
        <v>3633</v>
      </c>
    </row>
    <row r="816" spans="1:21" x14ac:dyDescent="0.25">
      <c r="A816" t="s">
        <v>1627</v>
      </c>
      <c r="B816" s="1">
        <v>45389</v>
      </c>
      <c r="C816" t="s">
        <v>1628</v>
      </c>
      <c r="D816" t="s">
        <v>30</v>
      </c>
      <c r="E816" t="s">
        <v>85</v>
      </c>
      <c r="F816" t="s">
        <v>60</v>
      </c>
      <c r="G816" t="s">
        <v>69</v>
      </c>
      <c r="H816" t="s">
        <v>79</v>
      </c>
      <c r="I816">
        <v>3</v>
      </c>
      <c r="J816">
        <v>70.34</v>
      </c>
      <c r="K816">
        <v>10</v>
      </c>
      <c r="L816">
        <v>189.92</v>
      </c>
      <c r="M816">
        <v>14.67</v>
      </c>
      <c r="N816">
        <v>69.739999999999995</v>
      </c>
      <c r="O816" t="s">
        <v>34</v>
      </c>
      <c r="P816">
        <v>2024</v>
      </c>
      <c r="Q816" t="s">
        <v>3639</v>
      </c>
      <c r="R816">
        <v>170.928</v>
      </c>
      <c r="S816">
        <v>0.40800805017317199</v>
      </c>
      <c r="T816" t="s">
        <v>3632</v>
      </c>
      <c r="U816" t="s">
        <v>3633</v>
      </c>
    </row>
    <row r="817" spans="1:21" x14ac:dyDescent="0.25">
      <c r="A817" t="s">
        <v>1629</v>
      </c>
      <c r="B817" s="1">
        <v>45390</v>
      </c>
      <c r="C817" t="s">
        <v>1630</v>
      </c>
      <c r="D817" t="s">
        <v>49</v>
      </c>
      <c r="E817" t="s">
        <v>248</v>
      </c>
      <c r="F817" t="s">
        <v>26</v>
      </c>
      <c r="G817" t="s">
        <v>69</v>
      </c>
      <c r="H817" t="s">
        <v>196</v>
      </c>
      <c r="I817">
        <v>6</v>
      </c>
      <c r="J817">
        <v>29.44</v>
      </c>
      <c r="K817">
        <v>10</v>
      </c>
      <c r="L817">
        <v>158.97999999999999</v>
      </c>
      <c r="M817">
        <v>17.71</v>
      </c>
      <c r="N817">
        <v>52.95</v>
      </c>
      <c r="O817" t="s">
        <v>34</v>
      </c>
      <c r="P817">
        <v>2024</v>
      </c>
      <c r="Q817" t="s">
        <v>3639</v>
      </c>
      <c r="R817">
        <v>143.08199999999999</v>
      </c>
      <c r="S817">
        <v>0.37006751373338398</v>
      </c>
      <c r="T817" t="s">
        <v>3632</v>
      </c>
      <c r="U817" t="s">
        <v>3633</v>
      </c>
    </row>
    <row r="818" spans="1:21" x14ac:dyDescent="0.25">
      <c r="A818" t="s">
        <v>1631</v>
      </c>
      <c r="B818" s="1">
        <v>45390</v>
      </c>
      <c r="C818" t="s">
        <v>1632</v>
      </c>
      <c r="D818" t="s">
        <v>30</v>
      </c>
      <c r="E818" t="s">
        <v>148</v>
      </c>
      <c r="F818" t="s">
        <v>60</v>
      </c>
      <c r="G818" t="s">
        <v>69</v>
      </c>
      <c r="H818" t="s">
        <v>243</v>
      </c>
      <c r="I818">
        <v>9</v>
      </c>
      <c r="J818">
        <v>36.630000000000003</v>
      </c>
      <c r="K818">
        <v>5</v>
      </c>
      <c r="L818">
        <v>313.19</v>
      </c>
      <c r="M818">
        <v>17.14</v>
      </c>
      <c r="N818">
        <v>131.21</v>
      </c>
      <c r="O818" t="s">
        <v>34</v>
      </c>
      <c r="P818">
        <v>2024</v>
      </c>
      <c r="Q818" t="s">
        <v>3639</v>
      </c>
      <c r="R818">
        <v>297.53050000000002</v>
      </c>
      <c r="S818">
        <v>0.44099680536953401</v>
      </c>
      <c r="T818" t="s">
        <v>3632</v>
      </c>
      <c r="U818" t="s">
        <v>3633</v>
      </c>
    </row>
    <row r="819" spans="1:21" x14ac:dyDescent="0.25">
      <c r="A819" t="s">
        <v>1633</v>
      </c>
      <c r="B819" s="1">
        <v>45390</v>
      </c>
      <c r="C819" t="s">
        <v>1634</v>
      </c>
      <c r="D819" t="s">
        <v>30</v>
      </c>
      <c r="E819" t="s">
        <v>18</v>
      </c>
      <c r="F819" t="s">
        <v>19</v>
      </c>
      <c r="G819" t="s">
        <v>32</v>
      </c>
      <c r="H819" t="s">
        <v>115</v>
      </c>
      <c r="I819">
        <v>1</v>
      </c>
      <c r="J819">
        <v>13.3</v>
      </c>
      <c r="K819">
        <v>15</v>
      </c>
      <c r="L819">
        <v>11.3</v>
      </c>
      <c r="M819">
        <v>5.8</v>
      </c>
      <c r="N819">
        <v>-0.48</v>
      </c>
      <c r="O819" t="s">
        <v>34</v>
      </c>
      <c r="P819">
        <v>2024</v>
      </c>
      <c r="Q819" t="s">
        <v>3639</v>
      </c>
      <c r="R819">
        <v>9.6050000000000004</v>
      </c>
      <c r="S819">
        <v>-4.9973971889640798E-2</v>
      </c>
      <c r="T819" t="s">
        <v>3634</v>
      </c>
      <c r="U819" t="s">
        <v>3636</v>
      </c>
    </row>
    <row r="820" spans="1:21" x14ac:dyDescent="0.25">
      <c r="A820" t="s">
        <v>1635</v>
      </c>
      <c r="B820" s="1">
        <v>45391</v>
      </c>
      <c r="C820" t="s">
        <v>1636</v>
      </c>
      <c r="D820" t="s">
        <v>30</v>
      </c>
      <c r="E820" t="s">
        <v>18</v>
      </c>
      <c r="F820" t="s">
        <v>19</v>
      </c>
      <c r="G820" t="s">
        <v>42</v>
      </c>
      <c r="H820" t="s">
        <v>43</v>
      </c>
      <c r="I820">
        <v>5</v>
      </c>
      <c r="J820">
        <v>184.93</v>
      </c>
      <c r="K820">
        <v>5</v>
      </c>
      <c r="L820">
        <v>878.42</v>
      </c>
      <c r="M820">
        <v>7.7</v>
      </c>
      <c r="N820">
        <v>315.93</v>
      </c>
      <c r="O820" t="s">
        <v>39</v>
      </c>
      <c r="P820">
        <v>2024</v>
      </c>
      <c r="Q820" t="s">
        <v>3639</v>
      </c>
      <c r="R820">
        <v>834.49900000000002</v>
      </c>
      <c r="S820">
        <v>0.37858643329710401</v>
      </c>
      <c r="T820" t="s">
        <v>3635</v>
      </c>
      <c r="U820" t="s">
        <v>3633</v>
      </c>
    </row>
    <row r="821" spans="1:21" x14ac:dyDescent="0.25">
      <c r="A821" t="s">
        <v>1637</v>
      </c>
      <c r="B821" s="1">
        <v>45391</v>
      </c>
      <c r="C821" t="s">
        <v>1638</v>
      </c>
      <c r="D821" t="s">
        <v>49</v>
      </c>
      <c r="E821" t="s">
        <v>18</v>
      </c>
      <c r="F821" t="s">
        <v>19</v>
      </c>
      <c r="G821" t="s">
        <v>69</v>
      </c>
      <c r="H821" t="s">
        <v>98</v>
      </c>
      <c r="I821">
        <v>1</v>
      </c>
      <c r="J821">
        <v>53.29</v>
      </c>
      <c r="K821">
        <v>10</v>
      </c>
      <c r="L821">
        <v>47.96</v>
      </c>
      <c r="M821">
        <v>6.39</v>
      </c>
      <c r="N821">
        <v>14.93</v>
      </c>
      <c r="O821" t="s">
        <v>34</v>
      </c>
      <c r="P821">
        <v>2024</v>
      </c>
      <c r="Q821" t="s">
        <v>3639</v>
      </c>
      <c r="R821">
        <v>43.164000000000001</v>
      </c>
      <c r="S821">
        <v>0.34589009359651601</v>
      </c>
      <c r="T821" t="s">
        <v>3634</v>
      </c>
      <c r="U821" t="s">
        <v>3633</v>
      </c>
    </row>
    <row r="822" spans="1:21" x14ac:dyDescent="0.25">
      <c r="A822" t="s">
        <v>1639</v>
      </c>
      <c r="B822" s="1">
        <v>45392</v>
      </c>
      <c r="C822" t="s">
        <v>1640</v>
      </c>
      <c r="D822" t="s">
        <v>17</v>
      </c>
      <c r="E822" t="s">
        <v>53</v>
      </c>
      <c r="F822" t="s">
        <v>54</v>
      </c>
      <c r="G822" t="s">
        <v>32</v>
      </c>
      <c r="H822" t="s">
        <v>33</v>
      </c>
      <c r="I822">
        <v>2</v>
      </c>
      <c r="J822">
        <v>14</v>
      </c>
      <c r="K822">
        <v>10</v>
      </c>
      <c r="L822">
        <v>25.2</v>
      </c>
      <c r="M822">
        <v>15.47</v>
      </c>
      <c r="N822">
        <v>-2.87</v>
      </c>
      <c r="O822" t="s">
        <v>39</v>
      </c>
      <c r="P822">
        <v>2024</v>
      </c>
      <c r="Q822" t="s">
        <v>3639</v>
      </c>
      <c r="R822">
        <v>22.68</v>
      </c>
      <c r="S822">
        <v>-0.12654320987654299</v>
      </c>
      <c r="T822" t="s">
        <v>3634</v>
      </c>
      <c r="U822" t="s">
        <v>3636</v>
      </c>
    </row>
    <row r="823" spans="1:21" x14ac:dyDescent="0.25">
      <c r="A823" t="s">
        <v>1641</v>
      </c>
      <c r="B823" s="1">
        <v>45392</v>
      </c>
      <c r="C823" t="s">
        <v>128</v>
      </c>
      <c r="D823" t="s">
        <v>30</v>
      </c>
      <c r="E823" t="s">
        <v>166</v>
      </c>
      <c r="F823" t="s">
        <v>60</v>
      </c>
      <c r="G823" t="s">
        <v>20</v>
      </c>
      <c r="H823" t="s">
        <v>199</v>
      </c>
      <c r="I823">
        <v>4</v>
      </c>
      <c r="J823">
        <v>43.88</v>
      </c>
      <c r="K823">
        <v>10</v>
      </c>
      <c r="L823">
        <v>157.97</v>
      </c>
      <c r="M823">
        <v>14.83</v>
      </c>
      <c r="N823">
        <v>46.6</v>
      </c>
      <c r="O823" t="s">
        <v>34</v>
      </c>
      <c r="P823">
        <v>2024</v>
      </c>
      <c r="Q823" t="s">
        <v>3639</v>
      </c>
      <c r="R823">
        <v>142.173</v>
      </c>
      <c r="S823">
        <v>0.32776968904081599</v>
      </c>
      <c r="T823" t="s">
        <v>3632</v>
      </c>
      <c r="U823" t="s">
        <v>3633</v>
      </c>
    </row>
    <row r="824" spans="1:21" x14ac:dyDescent="0.25">
      <c r="A824" t="s">
        <v>1642</v>
      </c>
      <c r="B824" s="1">
        <v>45392</v>
      </c>
      <c r="C824" t="s">
        <v>1643</v>
      </c>
      <c r="D824" t="s">
        <v>49</v>
      </c>
      <c r="E824" t="s">
        <v>59</v>
      </c>
      <c r="F824" t="s">
        <v>60</v>
      </c>
      <c r="G824" t="s">
        <v>20</v>
      </c>
      <c r="H824" t="s">
        <v>199</v>
      </c>
      <c r="I824">
        <v>1</v>
      </c>
      <c r="J824">
        <v>198.87</v>
      </c>
      <c r="K824">
        <v>15</v>
      </c>
      <c r="L824">
        <v>169.04</v>
      </c>
      <c r="M824">
        <v>10.72</v>
      </c>
      <c r="N824">
        <v>48.94</v>
      </c>
      <c r="O824" t="s">
        <v>34</v>
      </c>
      <c r="P824">
        <v>2024</v>
      </c>
      <c r="Q824" t="s">
        <v>3639</v>
      </c>
      <c r="R824">
        <v>143.684</v>
      </c>
      <c r="S824">
        <v>0.34060855766821602</v>
      </c>
      <c r="T824" t="s">
        <v>3632</v>
      </c>
      <c r="U824" t="s">
        <v>3633</v>
      </c>
    </row>
    <row r="825" spans="1:21" x14ac:dyDescent="0.25">
      <c r="A825" t="s">
        <v>1644</v>
      </c>
      <c r="B825" s="1">
        <v>45392</v>
      </c>
      <c r="C825" t="s">
        <v>1645</v>
      </c>
      <c r="D825" t="s">
        <v>30</v>
      </c>
      <c r="E825" t="s">
        <v>76</v>
      </c>
      <c r="F825" t="s">
        <v>26</v>
      </c>
      <c r="G825" t="s">
        <v>20</v>
      </c>
      <c r="H825" t="s">
        <v>264</v>
      </c>
      <c r="I825">
        <v>3</v>
      </c>
      <c r="J825">
        <v>53.25</v>
      </c>
      <c r="K825">
        <v>5</v>
      </c>
      <c r="L825">
        <v>151.76</v>
      </c>
      <c r="M825">
        <v>11.26</v>
      </c>
      <c r="N825">
        <v>52.64</v>
      </c>
      <c r="O825" t="s">
        <v>39</v>
      </c>
      <c r="P825">
        <v>2024</v>
      </c>
      <c r="Q825" t="s">
        <v>3639</v>
      </c>
      <c r="R825">
        <v>144.172</v>
      </c>
      <c r="S825">
        <v>0.36511944066809099</v>
      </c>
      <c r="T825" t="s">
        <v>3632</v>
      </c>
      <c r="U825" t="s">
        <v>3633</v>
      </c>
    </row>
    <row r="826" spans="1:21" x14ac:dyDescent="0.25">
      <c r="A826" t="s">
        <v>1646</v>
      </c>
      <c r="B826" s="1">
        <v>45393</v>
      </c>
      <c r="C826" t="s">
        <v>1647</v>
      </c>
      <c r="D826" t="s">
        <v>17</v>
      </c>
      <c r="E826" t="s">
        <v>148</v>
      </c>
      <c r="F826" t="s">
        <v>60</v>
      </c>
      <c r="G826" t="s">
        <v>69</v>
      </c>
      <c r="H826" t="s">
        <v>305</v>
      </c>
      <c r="I826">
        <v>4</v>
      </c>
      <c r="J826">
        <v>42.06</v>
      </c>
      <c r="K826">
        <v>10</v>
      </c>
      <c r="L826">
        <v>151.41999999999999</v>
      </c>
      <c r="M826">
        <v>11.14</v>
      </c>
      <c r="N826">
        <v>56.16</v>
      </c>
      <c r="O826" t="s">
        <v>39</v>
      </c>
      <c r="P826">
        <v>2024</v>
      </c>
      <c r="Q826" t="s">
        <v>3639</v>
      </c>
      <c r="R826">
        <v>136.27799999999999</v>
      </c>
      <c r="S826">
        <v>0.41209879804517202</v>
      </c>
      <c r="T826" t="s">
        <v>3632</v>
      </c>
      <c r="U826" t="s">
        <v>3633</v>
      </c>
    </row>
    <row r="827" spans="1:21" x14ac:dyDescent="0.25">
      <c r="A827" t="s">
        <v>1648</v>
      </c>
      <c r="B827" s="1">
        <v>45395</v>
      </c>
      <c r="C827" t="s">
        <v>1649</v>
      </c>
      <c r="D827" t="s">
        <v>30</v>
      </c>
      <c r="E827" t="s">
        <v>76</v>
      </c>
      <c r="F827" t="s">
        <v>26</v>
      </c>
      <c r="G827" t="s">
        <v>20</v>
      </c>
      <c r="H827" t="s">
        <v>170</v>
      </c>
      <c r="I827">
        <v>4</v>
      </c>
      <c r="J827">
        <v>24.16</v>
      </c>
      <c r="K827">
        <v>0</v>
      </c>
      <c r="L827">
        <v>96.64</v>
      </c>
      <c r="M827">
        <v>9.6300000000000008</v>
      </c>
      <c r="N827">
        <v>33.86</v>
      </c>
      <c r="O827" t="s">
        <v>22</v>
      </c>
      <c r="P827">
        <v>2024</v>
      </c>
      <c r="Q827" t="s">
        <v>3639</v>
      </c>
      <c r="R827">
        <v>96.64</v>
      </c>
      <c r="S827">
        <v>0.35037251655629098</v>
      </c>
      <c r="T827" t="s">
        <v>3634</v>
      </c>
      <c r="U827" t="s">
        <v>3633</v>
      </c>
    </row>
    <row r="828" spans="1:21" x14ac:dyDescent="0.25">
      <c r="A828" t="s">
        <v>1650</v>
      </c>
      <c r="B828" s="1">
        <v>45396</v>
      </c>
      <c r="C828" t="s">
        <v>1651</v>
      </c>
      <c r="D828" t="s">
        <v>30</v>
      </c>
      <c r="E828" t="s">
        <v>85</v>
      </c>
      <c r="F828" t="s">
        <v>60</v>
      </c>
      <c r="G828" t="s">
        <v>69</v>
      </c>
      <c r="H828" t="s">
        <v>98</v>
      </c>
      <c r="I828">
        <v>1</v>
      </c>
      <c r="J828">
        <v>33.049999999999997</v>
      </c>
      <c r="K828">
        <v>20</v>
      </c>
      <c r="L828">
        <v>26.44</v>
      </c>
      <c r="M828">
        <v>10.63</v>
      </c>
      <c r="N828">
        <v>-0.71</v>
      </c>
      <c r="O828" t="s">
        <v>56</v>
      </c>
      <c r="P828">
        <v>2024</v>
      </c>
      <c r="Q828" t="s">
        <v>3639</v>
      </c>
      <c r="R828">
        <v>21.152000000000001</v>
      </c>
      <c r="S828">
        <v>-3.3566565809379702E-2</v>
      </c>
      <c r="T828" t="s">
        <v>3634</v>
      </c>
      <c r="U828" t="s">
        <v>3636</v>
      </c>
    </row>
    <row r="829" spans="1:21" x14ac:dyDescent="0.25">
      <c r="A829" t="s">
        <v>1652</v>
      </c>
      <c r="B829" s="1">
        <v>45396</v>
      </c>
      <c r="C829" t="s">
        <v>1653</v>
      </c>
      <c r="D829" t="s">
        <v>30</v>
      </c>
      <c r="E829" t="s">
        <v>109</v>
      </c>
      <c r="F829" t="s">
        <v>54</v>
      </c>
      <c r="G829" t="s">
        <v>32</v>
      </c>
      <c r="H829" t="s">
        <v>132</v>
      </c>
      <c r="I829">
        <v>2</v>
      </c>
      <c r="J829">
        <v>10.3</v>
      </c>
      <c r="K829">
        <v>5</v>
      </c>
      <c r="L829">
        <v>19.57</v>
      </c>
      <c r="M829">
        <v>12.16</v>
      </c>
      <c r="N829">
        <v>-1.86</v>
      </c>
      <c r="O829" t="s">
        <v>22</v>
      </c>
      <c r="P829">
        <v>2024</v>
      </c>
      <c r="Q829" t="s">
        <v>3639</v>
      </c>
      <c r="R829">
        <v>18.5915</v>
      </c>
      <c r="S829">
        <v>-0.100045719818196</v>
      </c>
      <c r="T829" t="s">
        <v>3634</v>
      </c>
      <c r="U829" t="s">
        <v>3636</v>
      </c>
    </row>
    <row r="830" spans="1:21" x14ac:dyDescent="0.25">
      <c r="A830" t="s">
        <v>1654</v>
      </c>
      <c r="B830" s="1">
        <v>45396</v>
      </c>
      <c r="C830" t="s">
        <v>1655</v>
      </c>
      <c r="D830" t="s">
        <v>30</v>
      </c>
      <c r="E830" t="s">
        <v>92</v>
      </c>
      <c r="F830" t="s">
        <v>60</v>
      </c>
      <c r="G830" t="s">
        <v>32</v>
      </c>
      <c r="H830" t="s">
        <v>348</v>
      </c>
      <c r="I830">
        <v>2</v>
      </c>
      <c r="J830">
        <v>10.57</v>
      </c>
      <c r="K830">
        <v>5</v>
      </c>
      <c r="L830">
        <v>20.079999999999998</v>
      </c>
      <c r="M830">
        <v>11.11</v>
      </c>
      <c r="N830">
        <v>-0.54</v>
      </c>
      <c r="O830" t="s">
        <v>39</v>
      </c>
      <c r="P830">
        <v>2024</v>
      </c>
      <c r="Q830" t="s">
        <v>3639</v>
      </c>
      <c r="R830">
        <v>19.076000000000001</v>
      </c>
      <c r="S830">
        <v>-2.8307821346194199E-2</v>
      </c>
      <c r="T830" t="s">
        <v>3634</v>
      </c>
      <c r="U830" t="s">
        <v>3636</v>
      </c>
    </row>
    <row r="831" spans="1:21" x14ac:dyDescent="0.25">
      <c r="A831" t="s">
        <v>1656</v>
      </c>
      <c r="B831" s="1">
        <v>45397</v>
      </c>
      <c r="C831" t="s">
        <v>1657</v>
      </c>
      <c r="D831" t="s">
        <v>17</v>
      </c>
      <c r="E831" t="s">
        <v>169</v>
      </c>
      <c r="F831" t="s">
        <v>68</v>
      </c>
      <c r="G831" t="s">
        <v>20</v>
      </c>
      <c r="H831" t="s">
        <v>199</v>
      </c>
      <c r="I831">
        <v>14</v>
      </c>
      <c r="J831">
        <v>118.27</v>
      </c>
      <c r="K831">
        <v>10</v>
      </c>
      <c r="L831">
        <v>1490.2</v>
      </c>
      <c r="M831">
        <v>40.44</v>
      </c>
      <c r="N831">
        <v>539.08000000000004</v>
      </c>
      <c r="O831" t="s">
        <v>34</v>
      </c>
      <c r="P831">
        <v>2024</v>
      </c>
      <c r="Q831" t="s">
        <v>3639</v>
      </c>
      <c r="R831">
        <v>1341.18</v>
      </c>
      <c r="S831">
        <v>0.40194455628625497</v>
      </c>
      <c r="T831" t="s">
        <v>3635</v>
      </c>
      <c r="U831" t="s">
        <v>3633</v>
      </c>
    </row>
    <row r="832" spans="1:21" x14ac:dyDescent="0.25">
      <c r="A832" t="s">
        <v>1658</v>
      </c>
      <c r="B832" s="1">
        <v>45397</v>
      </c>
      <c r="C832" t="s">
        <v>1659</v>
      </c>
      <c r="D832" t="s">
        <v>49</v>
      </c>
      <c r="E832" t="s">
        <v>92</v>
      </c>
      <c r="F832" t="s">
        <v>60</v>
      </c>
      <c r="G832" t="s">
        <v>20</v>
      </c>
      <c r="H832" t="s">
        <v>106</v>
      </c>
      <c r="I832">
        <v>9</v>
      </c>
      <c r="J832">
        <v>38.81</v>
      </c>
      <c r="K832">
        <v>5</v>
      </c>
      <c r="L832">
        <v>331.83</v>
      </c>
      <c r="M832">
        <v>21.13</v>
      </c>
      <c r="N832">
        <v>118.59</v>
      </c>
      <c r="O832" t="s">
        <v>34</v>
      </c>
      <c r="P832">
        <v>2024</v>
      </c>
      <c r="Q832" t="s">
        <v>3639</v>
      </c>
      <c r="R832">
        <v>315.23849999999999</v>
      </c>
      <c r="S832">
        <v>0.37619135987514202</v>
      </c>
      <c r="T832" t="s">
        <v>3632</v>
      </c>
      <c r="U832" t="s">
        <v>3633</v>
      </c>
    </row>
    <row r="833" spans="1:21" x14ac:dyDescent="0.25">
      <c r="A833" t="s">
        <v>1660</v>
      </c>
      <c r="B833" s="1">
        <v>45398</v>
      </c>
      <c r="C833" t="s">
        <v>427</v>
      </c>
      <c r="D833" t="s">
        <v>17</v>
      </c>
      <c r="E833" t="s">
        <v>138</v>
      </c>
      <c r="F833" t="s">
        <v>54</v>
      </c>
      <c r="G833" t="s">
        <v>32</v>
      </c>
      <c r="H833" t="s">
        <v>101</v>
      </c>
      <c r="I833">
        <v>1</v>
      </c>
      <c r="J833">
        <v>9.5</v>
      </c>
      <c r="K833">
        <v>5</v>
      </c>
      <c r="L833">
        <v>9.0299999999999994</v>
      </c>
      <c r="M833">
        <v>13.01</v>
      </c>
      <c r="N833">
        <v>-8.26</v>
      </c>
      <c r="O833" t="s">
        <v>56</v>
      </c>
      <c r="P833">
        <v>2024</v>
      </c>
      <c r="Q833" t="s">
        <v>3639</v>
      </c>
      <c r="R833">
        <v>8.5785</v>
      </c>
      <c r="S833">
        <v>-0.96287229702162402</v>
      </c>
      <c r="T833" t="s">
        <v>3634</v>
      </c>
      <c r="U833" t="s">
        <v>3636</v>
      </c>
    </row>
    <row r="834" spans="1:21" x14ac:dyDescent="0.25">
      <c r="A834" t="s">
        <v>1661</v>
      </c>
      <c r="B834" s="1">
        <v>45398</v>
      </c>
      <c r="C834" t="s">
        <v>496</v>
      </c>
      <c r="D834" t="s">
        <v>17</v>
      </c>
      <c r="E834" t="s">
        <v>248</v>
      </c>
      <c r="F834" t="s">
        <v>26</v>
      </c>
      <c r="G834" t="s">
        <v>32</v>
      </c>
      <c r="H834" t="s">
        <v>101</v>
      </c>
      <c r="I834">
        <v>1</v>
      </c>
      <c r="J834">
        <v>9.64</v>
      </c>
      <c r="K834">
        <v>10</v>
      </c>
      <c r="L834">
        <v>8.68</v>
      </c>
      <c r="M834">
        <v>7.9</v>
      </c>
      <c r="N834">
        <v>-3.56</v>
      </c>
      <c r="O834" t="s">
        <v>22</v>
      </c>
      <c r="P834">
        <v>2024</v>
      </c>
      <c r="Q834" t="s">
        <v>3639</v>
      </c>
      <c r="R834">
        <v>7.8120000000000003</v>
      </c>
      <c r="S834">
        <v>-0.45570916538658501</v>
      </c>
      <c r="T834" t="s">
        <v>3634</v>
      </c>
      <c r="U834" t="s">
        <v>3636</v>
      </c>
    </row>
    <row r="835" spans="1:21" x14ac:dyDescent="0.25">
      <c r="A835" t="s">
        <v>1662</v>
      </c>
      <c r="B835" s="1">
        <v>45398</v>
      </c>
      <c r="C835" t="s">
        <v>1663</v>
      </c>
      <c r="D835" t="s">
        <v>17</v>
      </c>
      <c r="E835" t="s">
        <v>135</v>
      </c>
      <c r="F835" t="s">
        <v>26</v>
      </c>
      <c r="G835" t="s">
        <v>32</v>
      </c>
      <c r="H835" t="s">
        <v>82</v>
      </c>
      <c r="I835">
        <v>2</v>
      </c>
      <c r="J835">
        <v>10.28</v>
      </c>
      <c r="K835">
        <v>10</v>
      </c>
      <c r="L835">
        <v>18.5</v>
      </c>
      <c r="M835">
        <v>11.36</v>
      </c>
      <c r="N835">
        <v>-2.11</v>
      </c>
      <c r="O835" t="s">
        <v>22</v>
      </c>
      <c r="P835">
        <v>2024</v>
      </c>
      <c r="Q835" t="s">
        <v>3639</v>
      </c>
      <c r="R835">
        <v>16.649999999999999</v>
      </c>
      <c r="S835">
        <v>-0.126726726726727</v>
      </c>
      <c r="T835" t="s">
        <v>3634</v>
      </c>
      <c r="U835" t="s">
        <v>3636</v>
      </c>
    </row>
    <row r="836" spans="1:21" x14ac:dyDescent="0.25">
      <c r="A836" t="s">
        <v>1664</v>
      </c>
      <c r="B836" s="1">
        <v>45400</v>
      </c>
      <c r="C836" t="s">
        <v>1665</v>
      </c>
      <c r="D836" t="s">
        <v>30</v>
      </c>
      <c r="E836" t="s">
        <v>31</v>
      </c>
      <c r="F836" t="s">
        <v>19</v>
      </c>
      <c r="G836" t="s">
        <v>20</v>
      </c>
      <c r="H836" t="s">
        <v>170</v>
      </c>
      <c r="I836">
        <v>3</v>
      </c>
      <c r="J836">
        <v>20.41</v>
      </c>
      <c r="K836">
        <v>5</v>
      </c>
      <c r="L836">
        <v>58.17</v>
      </c>
      <c r="M836">
        <v>10.210000000000001</v>
      </c>
      <c r="N836">
        <v>14.28</v>
      </c>
      <c r="O836" t="s">
        <v>39</v>
      </c>
      <c r="P836">
        <v>2024</v>
      </c>
      <c r="Q836" t="s">
        <v>3639</v>
      </c>
      <c r="R836">
        <v>55.261499999999998</v>
      </c>
      <c r="S836">
        <v>0.25840775223256701</v>
      </c>
      <c r="T836" t="s">
        <v>3634</v>
      </c>
      <c r="U836" t="s">
        <v>3633</v>
      </c>
    </row>
    <row r="837" spans="1:21" x14ac:dyDescent="0.25">
      <c r="A837" t="s">
        <v>1666</v>
      </c>
      <c r="B837" s="1">
        <v>45400</v>
      </c>
      <c r="C837" t="s">
        <v>1667</v>
      </c>
      <c r="D837" t="s">
        <v>30</v>
      </c>
      <c r="E837" t="s">
        <v>248</v>
      </c>
      <c r="F837" t="s">
        <v>26</v>
      </c>
      <c r="G837" t="s">
        <v>32</v>
      </c>
      <c r="H837" t="s">
        <v>82</v>
      </c>
      <c r="I837">
        <v>2</v>
      </c>
      <c r="J837">
        <v>14.35</v>
      </c>
      <c r="K837">
        <v>10</v>
      </c>
      <c r="L837">
        <v>25.83</v>
      </c>
      <c r="M837">
        <v>9.58</v>
      </c>
      <c r="N837">
        <v>3.33</v>
      </c>
      <c r="O837" t="s">
        <v>34</v>
      </c>
      <c r="P837">
        <v>2024</v>
      </c>
      <c r="Q837" t="s">
        <v>3639</v>
      </c>
      <c r="R837">
        <v>23.247</v>
      </c>
      <c r="S837">
        <v>0.143244289585753</v>
      </c>
      <c r="T837" t="s">
        <v>3634</v>
      </c>
      <c r="U837" t="s">
        <v>3633</v>
      </c>
    </row>
    <row r="838" spans="1:21" x14ac:dyDescent="0.25">
      <c r="A838" t="s">
        <v>1668</v>
      </c>
      <c r="B838" s="1">
        <v>45400</v>
      </c>
      <c r="C838" t="s">
        <v>1669</v>
      </c>
      <c r="D838" t="s">
        <v>30</v>
      </c>
      <c r="E838" t="s">
        <v>59</v>
      </c>
      <c r="F838" t="s">
        <v>60</v>
      </c>
      <c r="G838" t="s">
        <v>42</v>
      </c>
      <c r="H838" t="s">
        <v>93</v>
      </c>
      <c r="I838">
        <v>2</v>
      </c>
      <c r="J838">
        <v>221.74</v>
      </c>
      <c r="K838">
        <v>25</v>
      </c>
      <c r="L838">
        <v>332.61</v>
      </c>
      <c r="M838">
        <v>10.29</v>
      </c>
      <c r="N838">
        <v>56.23</v>
      </c>
      <c r="O838" t="s">
        <v>39</v>
      </c>
      <c r="P838">
        <v>2024</v>
      </c>
      <c r="Q838" t="s">
        <v>3639</v>
      </c>
      <c r="R838">
        <v>249.45750000000001</v>
      </c>
      <c r="S838">
        <v>0.225409137829089</v>
      </c>
      <c r="T838" t="s">
        <v>3632</v>
      </c>
      <c r="U838" t="s">
        <v>3633</v>
      </c>
    </row>
    <row r="839" spans="1:21" x14ac:dyDescent="0.25">
      <c r="A839" t="s">
        <v>1670</v>
      </c>
      <c r="B839" s="1">
        <v>45401</v>
      </c>
      <c r="C839" t="s">
        <v>1671</v>
      </c>
      <c r="D839" t="s">
        <v>30</v>
      </c>
      <c r="E839" t="s">
        <v>148</v>
      </c>
      <c r="F839" t="s">
        <v>60</v>
      </c>
      <c r="G839" t="s">
        <v>32</v>
      </c>
      <c r="H839" t="s">
        <v>50</v>
      </c>
      <c r="I839">
        <v>4</v>
      </c>
      <c r="J839">
        <v>14.12</v>
      </c>
      <c r="K839">
        <v>25</v>
      </c>
      <c r="L839">
        <v>42.36</v>
      </c>
      <c r="M839">
        <v>11.69</v>
      </c>
      <c r="N839">
        <v>5.25</v>
      </c>
      <c r="O839" t="s">
        <v>34</v>
      </c>
      <c r="P839">
        <v>2024</v>
      </c>
      <c r="Q839" t="s">
        <v>3639</v>
      </c>
      <c r="R839">
        <v>31.77</v>
      </c>
      <c r="S839">
        <v>0.165250236071766</v>
      </c>
      <c r="T839" t="s">
        <v>3634</v>
      </c>
      <c r="U839" t="s">
        <v>3633</v>
      </c>
    </row>
    <row r="840" spans="1:21" x14ac:dyDescent="0.25">
      <c r="A840" t="s">
        <v>1672</v>
      </c>
      <c r="B840" s="1">
        <v>45401</v>
      </c>
      <c r="C840" t="s">
        <v>1673</v>
      </c>
      <c r="D840" t="s">
        <v>17</v>
      </c>
      <c r="E840" t="s">
        <v>92</v>
      </c>
      <c r="F840" t="s">
        <v>60</v>
      </c>
      <c r="G840" t="s">
        <v>69</v>
      </c>
      <c r="H840" t="s">
        <v>243</v>
      </c>
      <c r="I840">
        <v>4</v>
      </c>
      <c r="J840">
        <v>49.44</v>
      </c>
      <c r="K840">
        <v>25</v>
      </c>
      <c r="L840">
        <v>148.32</v>
      </c>
      <c r="M840">
        <v>14.14</v>
      </c>
      <c r="N840">
        <v>35.299999999999997</v>
      </c>
      <c r="O840" t="s">
        <v>39</v>
      </c>
      <c r="P840">
        <v>2024</v>
      </c>
      <c r="Q840" t="s">
        <v>3639</v>
      </c>
      <c r="R840">
        <v>111.24</v>
      </c>
      <c r="S840">
        <v>0.31733189500179798</v>
      </c>
      <c r="T840" t="s">
        <v>3632</v>
      </c>
      <c r="U840" t="s">
        <v>3633</v>
      </c>
    </row>
    <row r="841" spans="1:21" x14ac:dyDescent="0.25">
      <c r="A841" t="s">
        <v>1674</v>
      </c>
      <c r="B841" s="1">
        <v>45402</v>
      </c>
      <c r="C841" t="s">
        <v>1675</v>
      </c>
      <c r="D841" t="s">
        <v>30</v>
      </c>
      <c r="E841" t="s">
        <v>148</v>
      </c>
      <c r="F841" t="s">
        <v>60</v>
      </c>
      <c r="G841" t="s">
        <v>20</v>
      </c>
      <c r="H841" t="s">
        <v>27</v>
      </c>
      <c r="I841">
        <v>7</v>
      </c>
      <c r="J841">
        <v>67.05</v>
      </c>
      <c r="K841">
        <v>15</v>
      </c>
      <c r="L841">
        <v>398.95</v>
      </c>
      <c r="M841">
        <v>24.08</v>
      </c>
      <c r="N841">
        <v>116.73</v>
      </c>
      <c r="O841" t="s">
        <v>56</v>
      </c>
      <c r="P841">
        <v>2024</v>
      </c>
      <c r="Q841" t="s">
        <v>3639</v>
      </c>
      <c r="R841">
        <v>339.10750000000002</v>
      </c>
      <c r="S841">
        <v>0.34422712561650798</v>
      </c>
      <c r="T841" t="s">
        <v>3632</v>
      </c>
      <c r="U841" t="s">
        <v>3633</v>
      </c>
    </row>
    <row r="842" spans="1:21" x14ac:dyDescent="0.25">
      <c r="A842" t="s">
        <v>1676</v>
      </c>
      <c r="B842" s="1">
        <v>45402</v>
      </c>
      <c r="C842" t="s">
        <v>321</v>
      </c>
      <c r="D842" t="s">
        <v>49</v>
      </c>
      <c r="E842" t="s">
        <v>248</v>
      </c>
      <c r="F842" t="s">
        <v>26</v>
      </c>
      <c r="G842" t="s">
        <v>32</v>
      </c>
      <c r="H842" t="s">
        <v>82</v>
      </c>
      <c r="I842">
        <v>2</v>
      </c>
      <c r="J842">
        <v>20.62</v>
      </c>
      <c r="K842">
        <v>15</v>
      </c>
      <c r="L842">
        <v>35.049999999999997</v>
      </c>
      <c r="M842">
        <v>11.25</v>
      </c>
      <c r="N842">
        <v>5.24</v>
      </c>
      <c r="O842" t="s">
        <v>39</v>
      </c>
      <c r="P842">
        <v>2024</v>
      </c>
      <c r="Q842" t="s">
        <v>3639</v>
      </c>
      <c r="R842">
        <v>29.7925</v>
      </c>
      <c r="S842">
        <v>0.175883192078543</v>
      </c>
      <c r="T842" t="s">
        <v>3634</v>
      </c>
      <c r="U842" t="s">
        <v>3633</v>
      </c>
    </row>
    <row r="843" spans="1:21" x14ac:dyDescent="0.25">
      <c r="A843" t="s">
        <v>1677</v>
      </c>
      <c r="B843" s="1">
        <v>45403</v>
      </c>
      <c r="C843" t="s">
        <v>1678</v>
      </c>
      <c r="D843" t="s">
        <v>49</v>
      </c>
      <c r="E843" t="s">
        <v>248</v>
      </c>
      <c r="F843" t="s">
        <v>26</v>
      </c>
      <c r="G843" t="s">
        <v>69</v>
      </c>
      <c r="H843" t="s">
        <v>163</v>
      </c>
      <c r="I843">
        <v>1</v>
      </c>
      <c r="J843">
        <v>32.39</v>
      </c>
      <c r="K843">
        <v>10</v>
      </c>
      <c r="L843">
        <v>29.15</v>
      </c>
      <c r="M843">
        <v>9.08</v>
      </c>
      <c r="N843">
        <v>3.87</v>
      </c>
      <c r="O843" t="s">
        <v>56</v>
      </c>
      <c r="P843">
        <v>2024</v>
      </c>
      <c r="Q843" t="s">
        <v>3639</v>
      </c>
      <c r="R843">
        <v>26.234999999999999</v>
      </c>
      <c r="S843">
        <v>0.147512864493997</v>
      </c>
      <c r="T843" t="s">
        <v>3634</v>
      </c>
      <c r="U843" t="s">
        <v>3633</v>
      </c>
    </row>
    <row r="844" spans="1:21" x14ac:dyDescent="0.25">
      <c r="A844" t="s">
        <v>1679</v>
      </c>
      <c r="B844" s="1">
        <v>45403</v>
      </c>
      <c r="C844" t="s">
        <v>1680</v>
      </c>
      <c r="D844" t="s">
        <v>17</v>
      </c>
      <c r="E844" t="s">
        <v>135</v>
      </c>
      <c r="F844" t="s">
        <v>26</v>
      </c>
      <c r="G844" t="s">
        <v>32</v>
      </c>
      <c r="H844" t="s">
        <v>110</v>
      </c>
      <c r="I844">
        <v>1</v>
      </c>
      <c r="J844">
        <v>4.0199999999999996</v>
      </c>
      <c r="K844">
        <v>15</v>
      </c>
      <c r="L844">
        <v>3.42</v>
      </c>
      <c r="M844">
        <v>7.74</v>
      </c>
      <c r="N844">
        <v>-6.13</v>
      </c>
      <c r="O844" t="s">
        <v>56</v>
      </c>
      <c r="P844">
        <v>2024</v>
      </c>
      <c r="Q844" t="s">
        <v>3639</v>
      </c>
      <c r="R844">
        <v>2.907</v>
      </c>
      <c r="S844">
        <v>-2.1087031303749599</v>
      </c>
      <c r="T844" t="s">
        <v>3634</v>
      </c>
      <c r="U844" t="s">
        <v>3636</v>
      </c>
    </row>
    <row r="845" spans="1:21" x14ac:dyDescent="0.25">
      <c r="A845" t="s">
        <v>1681</v>
      </c>
      <c r="B845" s="1">
        <v>45403</v>
      </c>
      <c r="C845" t="s">
        <v>1682</v>
      </c>
      <c r="D845" t="s">
        <v>17</v>
      </c>
      <c r="E845" t="s">
        <v>92</v>
      </c>
      <c r="F845" t="s">
        <v>60</v>
      </c>
      <c r="G845" t="s">
        <v>69</v>
      </c>
      <c r="H845" t="s">
        <v>98</v>
      </c>
      <c r="I845">
        <v>10</v>
      </c>
      <c r="J845">
        <v>39.340000000000003</v>
      </c>
      <c r="K845">
        <v>20</v>
      </c>
      <c r="L845">
        <v>314.72000000000003</v>
      </c>
      <c r="M845">
        <v>28.72</v>
      </c>
      <c r="N845">
        <v>89.3</v>
      </c>
      <c r="O845" t="s">
        <v>39</v>
      </c>
      <c r="P845">
        <v>2024</v>
      </c>
      <c r="Q845" t="s">
        <v>3639</v>
      </c>
      <c r="R845">
        <v>251.77600000000001</v>
      </c>
      <c r="S845">
        <v>0.35468035078800197</v>
      </c>
      <c r="T845" t="s">
        <v>3632</v>
      </c>
      <c r="U845" t="s">
        <v>3633</v>
      </c>
    </row>
    <row r="846" spans="1:21" x14ac:dyDescent="0.25">
      <c r="A846" t="s">
        <v>1683</v>
      </c>
      <c r="B846" s="1">
        <v>45403</v>
      </c>
      <c r="C846" t="s">
        <v>1684</v>
      </c>
      <c r="D846" t="s">
        <v>49</v>
      </c>
      <c r="E846" t="s">
        <v>85</v>
      </c>
      <c r="F846" t="s">
        <v>60</v>
      </c>
      <c r="G846" t="s">
        <v>20</v>
      </c>
      <c r="H846" t="s">
        <v>106</v>
      </c>
      <c r="I846">
        <v>2</v>
      </c>
      <c r="J846">
        <v>69.72</v>
      </c>
      <c r="K846">
        <v>20</v>
      </c>
      <c r="L846">
        <v>111.55</v>
      </c>
      <c r="M846">
        <v>10.18</v>
      </c>
      <c r="N846">
        <v>24.68</v>
      </c>
      <c r="O846" t="s">
        <v>34</v>
      </c>
      <c r="P846">
        <v>2024</v>
      </c>
      <c r="Q846" t="s">
        <v>3639</v>
      </c>
      <c r="R846">
        <v>89.24</v>
      </c>
      <c r="S846">
        <v>0.27655759748991499</v>
      </c>
      <c r="T846" t="s">
        <v>3632</v>
      </c>
      <c r="U846" t="s">
        <v>3633</v>
      </c>
    </row>
    <row r="847" spans="1:21" x14ac:dyDescent="0.25">
      <c r="A847" t="s">
        <v>1685</v>
      </c>
      <c r="B847" s="1">
        <v>45403</v>
      </c>
      <c r="C847" t="s">
        <v>1133</v>
      </c>
      <c r="D847" t="s">
        <v>49</v>
      </c>
      <c r="E847" t="s">
        <v>18</v>
      </c>
      <c r="F847" t="s">
        <v>19</v>
      </c>
      <c r="G847" t="s">
        <v>69</v>
      </c>
      <c r="H847" t="s">
        <v>79</v>
      </c>
      <c r="I847">
        <v>4</v>
      </c>
      <c r="J847">
        <v>32.79</v>
      </c>
      <c r="K847">
        <v>5</v>
      </c>
      <c r="L847">
        <v>124.6</v>
      </c>
      <c r="M847">
        <v>8.07</v>
      </c>
      <c r="N847">
        <v>50.95</v>
      </c>
      <c r="O847" t="s">
        <v>34</v>
      </c>
      <c r="P847">
        <v>2024</v>
      </c>
      <c r="Q847" t="s">
        <v>3639</v>
      </c>
      <c r="R847">
        <v>118.37</v>
      </c>
      <c r="S847">
        <v>0.43043000760327799</v>
      </c>
      <c r="T847" t="s">
        <v>3632</v>
      </c>
      <c r="U847" t="s">
        <v>3633</v>
      </c>
    </row>
    <row r="848" spans="1:21" x14ac:dyDescent="0.25">
      <c r="A848" t="s">
        <v>1686</v>
      </c>
      <c r="B848" s="1">
        <v>45403</v>
      </c>
      <c r="C848" t="s">
        <v>1687</v>
      </c>
      <c r="D848" t="s">
        <v>17</v>
      </c>
      <c r="E848" t="s">
        <v>121</v>
      </c>
      <c r="F848" t="s">
        <v>68</v>
      </c>
      <c r="G848" t="s">
        <v>42</v>
      </c>
      <c r="H848" t="s">
        <v>43</v>
      </c>
      <c r="I848">
        <v>2</v>
      </c>
      <c r="J848">
        <v>123.37</v>
      </c>
      <c r="K848">
        <v>20</v>
      </c>
      <c r="L848">
        <v>197.39</v>
      </c>
      <c r="M848">
        <v>14.52</v>
      </c>
      <c r="N848">
        <v>34.83</v>
      </c>
      <c r="O848" t="s">
        <v>34</v>
      </c>
      <c r="P848">
        <v>2024</v>
      </c>
      <c r="Q848" t="s">
        <v>3639</v>
      </c>
      <c r="R848">
        <v>157.91200000000001</v>
      </c>
      <c r="S848">
        <v>0.220565884796596</v>
      </c>
      <c r="T848" t="s">
        <v>3632</v>
      </c>
      <c r="U848" t="s">
        <v>3633</v>
      </c>
    </row>
    <row r="849" spans="1:21" x14ac:dyDescent="0.25">
      <c r="A849" t="s">
        <v>1688</v>
      </c>
      <c r="B849" s="1">
        <v>45404</v>
      </c>
      <c r="C849" t="s">
        <v>661</v>
      </c>
      <c r="D849" t="s">
        <v>17</v>
      </c>
      <c r="E849" t="s">
        <v>169</v>
      </c>
      <c r="F849" t="s">
        <v>68</v>
      </c>
      <c r="G849" t="s">
        <v>42</v>
      </c>
      <c r="H849" t="s">
        <v>89</v>
      </c>
      <c r="I849">
        <v>8</v>
      </c>
      <c r="J849">
        <v>363.39</v>
      </c>
      <c r="K849">
        <v>10</v>
      </c>
      <c r="L849">
        <v>2616.41</v>
      </c>
      <c r="M849">
        <v>27.16</v>
      </c>
      <c r="N849">
        <v>844.98</v>
      </c>
      <c r="O849" t="s">
        <v>34</v>
      </c>
      <c r="P849">
        <v>2024</v>
      </c>
      <c r="Q849" t="s">
        <v>3639</v>
      </c>
      <c r="R849">
        <v>2354.7689999999998</v>
      </c>
      <c r="S849">
        <v>0.35883774586806599</v>
      </c>
      <c r="T849" t="s">
        <v>3635</v>
      </c>
      <c r="U849" t="s">
        <v>3633</v>
      </c>
    </row>
    <row r="850" spans="1:21" x14ac:dyDescent="0.25">
      <c r="A850" t="s">
        <v>1689</v>
      </c>
      <c r="B850" s="1">
        <v>45405</v>
      </c>
      <c r="C850" t="s">
        <v>1690</v>
      </c>
      <c r="D850" t="s">
        <v>30</v>
      </c>
      <c r="E850" t="s">
        <v>109</v>
      </c>
      <c r="F850" t="s">
        <v>54</v>
      </c>
      <c r="G850" t="s">
        <v>69</v>
      </c>
      <c r="H850" t="s">
        <v>79</v>
      </c>
      <c r="I850">
        <v>8</v>
      </c>
      <c r="J850">
        <v>82.89</v>
      </c>
      <c r="K850">
        <v>5</v>
      </c>
      <c r="L850">
        <v>629.96</v>
      </c>
      <c r="M850">
        <v>23.71</v>
      </c>
      <c r="N850">
        <v>274.69</v>
      </c>
      <c r="O850" t="s">
        <v>39</v>
      </c>
      <c r="P850">
        <v>2024</v>
      </c>
      <c r="Q850" t="s">
        <v>3639</v>
      </c>
      <c r="R850">
        <v>598.46199999999999</v>
      </c>
      <c r="S850">
        <v>0.45899321928543502</v>
      </c>
      <c r="T850" t="s">
        <v>3635</v>
      </c>
      <c r="U850" t="s">
        <v>3633</v>
      </c>
    </row>
    <row r="851" spans="1:21" x14ac:dyDescent="0.25">
      <c r="A851" t="s">
        <v>1691</v>
      </c>
      <c r="B851" s="1">
        <v>45405</v>
      </c>
      <c r="C851" t="s">
        <v>1692</v>
      </c>
      <c r="D851" t="s">
        <v>17</v>
      </c>
      <c r="E851" t="s">
        <v>148</v>
      </c>
      <c r="F851" t="s">
        <v>60</v>
      </c>
      <c r="G851" t="s">
        <v>42</v>
      </c>
      <c r="H851" t="s">
        <v>294</v>
      </c>
      <c r="I851">
        <v>1</v>
      </c>
      <c r="J851">
        <v>189.66</v>
      </c>
      <c r="K851">
        <v>20</v>
      </c>
      <c r="L851">
        <v>151.72999999999999</v>
      </c>
      <c r="M851">
        <v>9.52</v>
      </c>
      <c r="N851">
        <v>28.41</v>
      </c>
      <c r="O851" t="s">
        <v>22</v>
      </c>
      <c r="P851">
        <v>2024</v>
      </c>
      <c r="Q851" t="s">
        <v>3639</v>
      </c>
      <c r="R851">
        <v>121.384</v>
      </c>
      <c r="S851">
        <v>0.234050616226191</v>
      </c>
      <c r="T851" t="s">
        <v>3632</v>
      </c>
      <c r="U851" t="s">
        <v>3633</v>
      </c>
    </row>
    <row r="852" spans="1:21" x14ac:dyDescent="0.25">
      <c r="A852" t="s">
        <v>1693</v>
      </c>
      <c r="B852" s="1">
        <v>45405</v>
      </c>
      <c r="C852" t="s">
        <v>1694</v>
      </c>
      <c r="D852" t="s">
        <v>30</v>
      </c>
      <c r="E852" t="s">
        <v>92</v>
      </c>
      <c r="F852" t="s">
        <v>60</v>
      </c>
      <c r="G852" t="s">
        <v>42</v>
      </c>
      <c r="H852" t="s">
        <v>118</v>
      </c>
      <c r="I852">
        <v>4</v>
      </c>
      <c r="J852">
        <v>83.03</v>
      </c>
      <c r="K852">
        <v>5</v>
      </c>
      <c r="L852">
        <v>315.51</v>
      </c>
      <c r="M852">
        <v>17.34</v>
      </c>
      <c r="N852">
        <v>98.9</v>
      </c>
      <c r="O852" t="s">
        <v>34</v>
      </c>
      <c r="P852">
        <v>2024</v>
      </c>
      <c r="Q852" t="s">
        <v>3639</v>
      </c>
      <c r="R852">
        <v>299.73450000000003</v>
      </c>
      <c r="S852">
        <v>0.329958680098554</v>
      </c>
      <c r="T852" t="s">
        <v>3632</v>
      </c>
      <c r="U852" t="s">
        <v>3633</v>
      </c>
    </row>
    <row r="853" spans="1:21" x14ac:dyDescent="0.25">
      <c r="A853" t="s">
        <v>1695</v>
      </c>
      <c r="B853" s="1">
        <v>45405</v>
      </c>
      <c r="C853" t="s">
        <v>1696</v>
      </c>
      <c r="D853" t="s">
        <v>30</v>
      </c>
      <c r="E853" t="s">
        <v>169</v>
      </c>
      <c r="F853" t="s">
        <v>68</v>
      </c>
      <c r="G853" t="s">
        <v>20</v>
      </c>
      <c r="H853" t="s">
        <v>55</v>
      </c>
      <c r="I853">
        <v>3</v>
      </c>
      <c r="J853">
        <v>79.819999999999993</v>
      </c>
      <c r="K853">
        <v>5</v>
      </c>
      <c r="L853">
        <v>227.49</v>
      </c>
      <c r="M853">
        <v>13.83</v>
      </c>
      <c r="N853">
        <v>81.96</v>
      </c>
      <c r="O853" t="s">
        <v>39</v>
      </c>
      <c r="P853">
        <v>2024</v>
      </c>
      <c r="Q853" t="s">
        <v>3639</v>
      </c>
      <c r="R853">
        <v>216.1155</v>
      </c>
      <c r="S853">
        <v>0.37924165550365402</v>
      </c>
      <c r="T853" t="s">
        <v>3632</v>
      </c>
      <c r="U853" t="s">
        <v>3633</v>
      </c>
    </row>
    <row r="854" spans="1:21" x14ac:dyDescent="0.25">
      <c r="A854" t="s">
        <v>1697</v>
      </c>
      <c r="B854" s="1">
        <v>45406</v>
      </c>
      <c r="C854" t="s">
        <v>1698</v>
      </c>
      <c r="D854" t="s">
        <v>17</v>
      </c>
      <c r="E854" t="s">
        <v>169</v>
      </c>
      <c r="F854" t="s">
        <v>68</v>
      </c>
      <c r="G854" t="s">
        <v>20</v>
      </c>
      <c r="H854" t="s">
        <v>122</v>
      </c>
      <c r="I854">
        <v>2</v>
      </c>
      <c r="J854">
        <v>128.49</v>
      </c>
      <c r="K854">
        <v>20</v>
      </c>
      <c r="L854">
        <v>205.58</v>
      </c>
      <c r="M854">
        <v>11.38</v>
      </c>
      <c r="N854">
        <v>52.86</v>
      </c>
      <c r="O854" t="s">
        <v>56</v>
      </c>
      <c r="P854">
        <v>2024</v>
      </c>
      <c r="Q854" t="s">
        <v>3639</v>
      </c>
      <c r="R854">
        <v>164.464</v>
      </c>
      <c r="S854">
        <v>0.32140772448681798</v>
      </c>
      <c r="T854" t="s">
        <v>3632</v>
      </c>
      <c r="U854" t="s">
        <v>3633</v>
      </c>
    </row>
    <row r="855" spans="1:21" x14ac:dyDescent="0.25">
      <c r="A855" t="s">
        <v>1699</v>
      </c>
      <c r="B855" s="1">
        <v>45406</v>
      </c>
      <c r="C855" t="s">
        <v>1700</v>
      </c>
      <c r="D855" t="s">
        <v>49</v>
      </c>
      <c r="E855" t="s">
        <v>31</v>
      </c>
      <c r="F855" t="s">
        <v>19</v>
      </c>
      <c r="G855" t="s">
        <v>20</v>
      </c>
      <c r="H855" t="s">
        <v>106</v>
      </c>
      <c r="I855">
        <v>3</v>
      </c>
      <c r="J855">
        <v>57.54</v>
      </c>
      <c r="K855">
        <v>20</v>
      </c>
      <c r="L855">
        <v>138.1</v>
      </c>
      <c r="M855">
        <v>9.7100000000000009</v>
      </c>
      <c r="N855">
        <v>33.450000000000003</v>
      </c>
      <c r="O855" t="s">
        <v>34</v>
      </c>
      <c r="P855">
        <v>2024</v>
      </c>
      <c r="Q855" t="s">
        <v>3639</v>
      </c>
      <c r="R855">
        <v>110.48</v>
      </c>
      <c r="S855">
        <v>0.30276973207820401</v>
      </c>
      <c r="T855" t="s">
        <v>3632</v>
      </c>
      <c r="U855" t="s">
        <v>3633</v>
      </c>
    </row>
    <row r="856" spans="1:21" x14ac:dyDescent="0.25">
      <c r="A856" t="s">
        <v>1701</v>
      </c>
      <c r="B856" s="1">
        <v>45407</v>
      </c>
      <c r="C856" t="s">
        <v>1702</v>
      </c>
      <c r="D856" t="s">
        <v>17</v>
      </c>
      <c r="E856" t="s">
        <v>31</v>
      </c>
      <c r="F856" t="s">
        <v>19</v>
      </c>
      <c r="G856" t="s">
        <v>42</v>
      </c>
      <c r="H856" t="s">
        <v>234</v>
      </c>
      <c r="I856">
        <v>1</v>
      </c>
      <c r="J856">
        <v>74.599999999999994</v>
      </c>
      <c r="K856">
        <v>10</v>
      </c>
      <c r="L856">
        <v>67.14</v>
      </c>
      <c r="M856">
        <v>6.8</v>
      </c>
      <c r="N856">
        <v>15.58</v>
      </c>
      <c r="O856" t="s">
        <v>34</v>
      </c>
      <c r="P856">
        <v>2024</v>
      </c>
      <c r="Q856" t="s">
        <v>3639</v>
      </c>
      <c r="R856">
        <v>60.426000000000002</v>
      </c>
      <c r="S856">
        <v>0.257836030847648</v>
      </c>
      <c r="T856" t="s">
        <v>3634</v>
      </c>
      <c r="U856" t="s">
        <v>3633</v>
      </c>
    </row>
    <row r="857" spans="1:21" x14ac:dyDescent="0.25">
      <c r="A857" t="s">
        <v>1703</v>
      </c>
      <c r="B857" s="1">
        <v>45408</v>
      </c>
      <c r="C857" t="s">
        <v>1704</v>
      </c>
      <c r="D857" t="s">
        <v>17</v>
      </c>
      <c r="E857" t="s">
        <v>85</v>
      </c>
      <c r="F857" t="s">
        <v>60</v>
      </c>
      <c r="G857" t="s">
        <v>32</v>
      </c>
      <c r="H857" t="s">
        <v>110</v>
      </c>
      <c r="I857">
        <v>1</v>
      </c>
      <c r="J857">
        <v>12.87</v>
      </c>
      <c r="K857">
        <v>0</v>
      </c>
      <c r="L857">
        <v>12.87</v>
      </c>
      <c r="M857">
        <v>11.47</v>
      </c>
      <c r="N857">
        <v>-4.3899999999999997</v>
      </c>
      <c r="O857" t="s">
        <v>39</v>
      </c>
      <c r="P857">
        <v>2024</v>
      </c>
      <c r="Q857" t="s">
        <v>3639</v>
      </c>
      <c r="R857">
        <v>12.87</v>
      </c>
      <c r="S857">
        <v>-0.34110334110334101</v>
      </c>
      <c r="T857" t="s">
        <v>3634</v>
      </c>
      <c r="U857" t="s">
        <v>3636</v>
      </c>
    </row>
    <row r="858" spans="1:21" x14ac:dyDescent="0.25">
      <c r="A858" t="s">
        <v>1705</v>
      </c>
      <c r="B858" s="1">
        <v>45408</v>
      </c>
      <c r="C858" t="s">
        <v>805</v>
      </c>
      <c r="D858" t="s">
        <v>30</v>
      </c>
      <c r="E858" t="s">
        <v>138</v>
      </c>
      <c r="F858" t="s">
        <v>54</v>
      </c>
      <c r="G858" t="s">
        <v>42</v>
      </c>
      <c r="H858" t="s">
        <v>294</v>
      </c>
      <c r="I858">
        <v>15</v>
      </c>
      <c r="J858">
        <v>107.45</v>
      </c>
      <c r="K858">
        <v>5</v>
      </c>
      <c r="L858">
        <v>1531.16</v>
      </c>
      <c r="M858">
        <v>23.4</v>
      </c>
      <c r="N858">
        <v>540.71</v>
      </c>
      <c r="O858" t="s">
        <v>34</v>
      </c>
      <c r="P858">
        <v>2024</v>
      </c>
      <c r="Q858" t="s">
        <v>3639</v>
      </c>
      <c r="R858">
        <v>1454.6020000000001</v>
      </c>
      <c r="S858">
        <v>0.37172367424216401</v>
      </c>
      <c r="T858" t="s">
        <v>3635</v>
      </c>
      <c r="U858" t="s">
        <v>3633</v>
      </c>
    </row>
    <row r="859" spans="1:21" x14ac:dyDescent="0.25">
      <c r="A859" t="s">
        <v>1706</v>
      </c>
      <c r="B859" s="1">
        <v>45408</v>
      </c>
      <c r="C859" t="s">
        <v>1707</v>
      </c>
      <c r="D859" t="s">
        <v>30</v>
      </c>
      <c r="E859" t="s">
        <v>76</v>
      </c>
      <c r="F859" t="s">
        <v>26</v>
      </c>
      <c r="G859" t="s">
        <v>20</v>
      </c>
      <c r="H859" t="s">
        <v>38</v>
      </c>
      <c r="I859">
        <v>3</v>
      </c>
      <c r="J859">
        <v>72.81</v>
      </c>
      <c r="K859">
        <v>10</v>
      </c>
      <c r="L859">
        <v>196.59</v>
      </c>
      <c r="M859">
        <v>11.86</v>
      </c>
      <c r="N859">
        <v>64.59</v>
      </c>
      <c r="O859" t="s">
        <v>34</v>
      </c>
      <c r="P859">
        <v>2024</v>
      </c>
      <c r="Q859" t="s">
        <v>3639</v>
      </c>
      <c r="R859">
        <v>176.93100000000001</v>
      </c>
      <c r="S859">
        <v>0.36505756481340201</v>
      </c>
      <c r="T859" t="s">
        <v>3632</v>
      </c>
      <c r="U859" t="s">
        <v>3633</v>
      </c>
    </row>
    <row r="860" spans="1:21" x14ac:dyDescent="0.25">
      <c r="A860" t="s">
        <v>1708</v>
      </c>
      <c r="B860" s="1">
        <v>45410</v>
      </c>
      <c r="C860" t="s">
        <v>1709</v>
      </c>
      <c r="D860" t="s">
        <v>17</v>
      </c>
      <c r="E860" t="s">
        <v>129</v>
      </c>
      <c r="F860" t="s">
        <v>19</v>
      </c>
      <c r="G860" t="s">
        <v>69</v>
      </c>
      <c r="H860" t="s">
        <v>163</v>
      </c>
      <c r="I860">
        <v>2</v>
      </c>
      <c r="J860">
        <v>69.05</v>
      </c>
      <c r="K860">
        <v>25</v>
      </c>
      <c r="L860">
        <v>103.57</v>
      </c>
      <c r="M860">
        <v>8.58</v>
      </c>
      <c r="N860">
        <v>25.94</v>
      </c>
      <c r="O860" t="s">
        <v>34</v>
      </c>
      <c r="P860">
        <v>2024</v>
      </c>
      <c r="Q860" t="s">
        <v>3639</v>
      </c>
      <c r="R860">
        <v>77.677499999999995</v>
      </c>
      <c r="S860">
        <v>0.333944836020727</v>
      </c>
      <c r="T860" t="s">
        <v>3632</v>
      </c>
      <c r="U860" t="s">
        <v>3633</v>
      </c>
    </row>
    <row r="861" spans="1:21" x14ac:dyDescent="0.25">
      <c r="A861" t="s">
        <v>1710</v>
      </c>
      <c r="B861" s="1">
        <v>45410</v>
      </c>
      <c r="C861" t="s">
        <v>1711</v>
      </c>
      <c r="D861" t="s">
        <v>49</v>
      </c>
      <c r="E861" t="s">
        <v>18</v>
      </c>
      <c r="F861" t="s">
        <v>19</v>
      </c>
      <c r="G861" t="s">
        <v>32</v>
      </c>
      <c r="H861" t="s">
        <v>101</v>
      </c>
      <c r="I861">
        <v>5</v>
      </c>
      <c r="J861">
        <v>6.24</v>
      </c>
      <c r="K861">
        <v>10</v>
      </c>
      <c r="L861">
        <v>28.08</v>
      </c>
      <c r="M861">
        <v>11.46</v>
      </c>
      <c r="N861">
        <v>2.58</v>
      </c>
      <c r="O861" t="s">
        <v>34</v>
      </c>
      <c r="P861">
        <v>2024</v>
      </c>
      <c r="Q861" t="s">
        <v>3639</v>
      </c>
      <c r="R861">
        <v>25.271999999999998</v>
      </c>
      <c r="S861">
        <v>0.10208926875593501</v>
      </c>
      <c r="T861" t="s">
        <v>3634</v>
      </c>
      <c r="U861" t="s">
        <v>3633</v>
      </c>
    </row>
    <row r="862" spans="1:21" x14ac:dyDescent="0.25">
      <c r="A862" t="s">
        <v>1712</v>
      </c>
      <c r="B862" s="1">
        <v>45410</v>
      </c>
      <c r="C862" t="s">
        <v>1090</v>
      </c>
      <c r="D862" t="s">
        <v>49</v>
      </c>
      <c r="E862" t="s">
        <v>166</v>
      </c>
      <c r="F862" t="s">
        <v>60</v>
      </c>
      <c r="G862" t="s">
        <v>42</v>
      </c>
      <c r="H862" t="s">
        <v>43</v>
      </c>
      <c r="I862">
        <v>1</v>
      </c>
      <c r="J862">
        <v>137.49</v>
      </c>
      <c r="K862">
        <v>15</v>
      </c>
      <c r="L862">
        <v>116.87</v>
      </c>
      <c r="M862">
        <v>10.119999999999999</v>
      </c>
      <c r="N862">
        <v>24.26</v>
      </c>
      <c r="O862" t="s">
        <v>39</v>
      </c>
      <c r="P862">
        <v>2024</v>
      </c>
      <c r="Q862" t="s">
        <v>3639</v>
      </c>
      <c r="R862">
        <v>99.339500000000001</v>
      </c>
      <c r="S862">
        <v>0.24421302704362299</v>
      </c>
      <c r="T862" t="s">
        <v>3632</v>
      </c>
      <c r="U862" t="s">
        <v>3633</v>
      </c>
    </row>
    <row r="863" spans="1:21" x14ac:dyDescent="0.25">
      <c r="A863" t="s">
        <v>1713</v>
      </c>
      <c r="B863" s="1">
        <v>45410</v>
      </c>
      <c r="C863" t="s">
        <v>1714</v>
      </c>
      <c r="D863" t="s">
        <v>30</v>
      </c>
      <c r="E863" t="s">
        <v>59</v>
      </c>
      <c r="F863" t="s">
        <v>60</v>
      </c>
      <c r="G863" t="s">
        <v>42</v>
      </c>
      <c r="H863" t="s">
        <v>294</v>
      </c>
      <c r="I863">
        <v>2</v>
      </c>
      <c r="J863">
        <v>242.25</v>
      </c>
      <c r="K863">
        <v>10</v>
      </c>
      <c r="L863">
        <v>436.05</v>
      </c>
      <c r="M863">
        <v>10.98</v>
      </c>
      <c r="N863">
        <v>134.37</v>
      </c>
      <c r="O863" t="s">
        <v>34</v>
      </c>
      <c r="P863">
        <v>2024</v>
      </c>
      <c r="Q863" t="s">
        <v>3639</v>
      </c>
      <c r="R863">
        <v>392.44499999999999</v>
      </c>
      <c r="S863">
        <v>0.34239192753124598</v>
      </c>
      <c r="T863" t="s">
        <v>3632</v>
      </c>
      <c r="U863" t="s">
        <v>3633</v>
      </c>
    </row>
    <row r="864" spans="1:21" x14ac:dyDescent="0.25">
      <c r="A864" t="s">
        <v>1715</v>
      </c>
      <c r="B864" s="1">
        <v>45410</v>
      </c>
      <c r="C864" t="s">
        <v>1716</v>
      </c>
      <c r="D864" t="s">
        <v>17</v>
      </c>
      <c r="E864" t="s">
        <v>169</v>
      </c>
      <c r="F864" t="s">
        <v>68</v>
      </c>
      <c r="G864" t="s">
        <v>20</v>
      </c>
      <c r="H864" t="s">
        <v>27</v>
      </c>
      <c r="I864">
        <v>1</v>
      </c>
      <c r="J864">
        <v>128.34</v>
      </c>
      <c r="K864">
        <v>15</v>
      </c>
      <c r="L864">
        <v>109.09</v>
      </c>
      <c r="M864">
        <v>11.04</v>
      </c>
      <c r="N864">
        <v>27.46</v>
      </c>
      <c r="O864" t="s">
        <v>56</v>
      </c>
      <c r="P864">
        <v>2024</v>
      </c>
      <c r="Q864" t="s">
        <v>3639</v>
      </c>
      <c r="R864">
        <v>92.726500000000001</v>
      </c>
      <c r="S864">
        <v>0.296139722732984</v>
      </c>
      <c r="T864" t="s">
        <v>3632</v>
      </c>
      <c r="U864" t="s">
        <v>3633</v>
      </c>
    </row>
    <row r="865" spans="1:21" x14ac:dyDescent="0.25">
      <c r="A865" t="s">
        <v>1717</v>
      </c>
      <c r="B865" s="1">
        <v>45410</v>
      </c>
      <c r="C865" t="s">
        <v>1718</v>
      </c>
      <c r="D865" t="s">
        <v>30</v>
      </c>
      <c r="E865" t="s">
        <v>166</v>
      </c>
      <c r="F865" t="s">
        <v>60</v>
      </c>
      <c r="G865" t="s">
        <v>42</v>
      </c>
      <c r="H865" t="s">
        <v>118</v>
      </c>
      <c r="I865">
        <v>4</v>
      </c>
      <c r="J865">
        <v>34.76</v>
      </c>
      <c r="K865">
        <v>15</v>
      </c>
      <c r="L865">
        <v>118.18</v>
      </c>
      <c r="M865">
        <v>17.86</v>
      </c>
      <c r="N865">
        <v>16.899999999999999</v>
      </c>
      <c r="O865" t="s">
        <v>39</v>
      </c>
      <c r="P865">
        <v>2024</v>
      </c>
      <c r="Q865" t="s">
        <v>3639</v>
      </c>
      <c r="R865">
        <v>100.453</v>
      </c>
      <c r="S865">
        <v>0.168237882392761</v>
      </c>
      <c r="T865" t="s">
        <v>3632</v>
      </c>
      <c r="U865" t="s">
        <v>3633</v>
      </c>
    </row>
    <row r="866" spans="1:21" x14ac:dyDescent="0.25">
      <c r="A866" t="s">
        <v>1719</v>
      </c>
      <c r="B866" s="1">
        <v>45411</v>
      </c>
      <c r="C866" t="s">
        <v>1720</v>
      </c>
      <c r="D866" t="s">
        <v>17</v>
      </c>
      <c r="E866" t="s">
        <v>67</v>
      </c>
      <c r="F866" t="s">
        <v>68</v>
      </c>
      <c r="G866" t="s">
        <v>20</v>
      </c>
      <c r="H866" t="s">
        <v>170</v>
      </c>
      <c r="I866">
        <v>2</v>
      </c>
      <c r="J866">
        <v>52.77</v>
      </c>
      <c r="K866">
        <v>30</v>
      </c>
      <c r="L866">
        <v>73.88</v>
      </c>
      <c r="M866">
        <v>14.69</v>
      </c>
      <c r="N866">
        <v>1.1399999999999999</v>
      </c>
      <c r="O866" t="s">
        <v>34</v>
      </c>
      <c r="P866">
        <v>2024</v>
      </c>
      <c r="Q866" t="s">
        <v>3639</v>
      </c>
      <c r="R866">
        <v>51.716000000000001</v>
      </c>
      <c r="S866">
        <v>2.20434681723258E-2</v>
      </c>
      <c r="T866" t="s">
        <v>3634</v>
      </c>
      <c r="U866" t="s">
        <v>3633</v>
      </c>
    </row>
    <row r="867" spans="1:21" x14ac:dyDescent="0.25">
      <c r="A867" t="s">
        <v>1721</v>
      </c>
      <c r="B867" s="1">
        <v>45412</v>
      </c>
      <c r="C867" t="s">
        <v>1722</v>
      </c>
      <c r="D867" t="s">
        <v>49</v>
      </c>
      <c r="E867" t="s">
        <v>129</v>
      </c>
      <c r="F867" t="s">
        <v>19</v>
      </c>
      <c r="G867" t="s">
        <v>20</v>
      </c>
      <c r="H867" t="s">
        <v>175</v>
      </c>
      <c r="I867">
        <v>1</v>
      </c>
      <c r="J867">
        <v>28.72</v>
      </c>
      <c r="K867">
        <v>5</v>
      </c>
      <c r="L867">
        <v>27.28</v>
      </c>
      <c r="M867">
        <v>6.34</v>
      </c>
      <c r="N867">
        <v>5.14</v>
      </c>
      <c r="O867" t="s">
        <v>56</v>
      </c>
      <c r="P867">
        <v>2024</v>
      </c>
      <c r="Q867" t="s">
        <v>3639</v>
      </c>
      <c r="R867">
        <v>25.916</v>
      </c>
      <c r="S867">
        <v>0.19833307609199</v>
      </c>
      <c r="T867" t="s">
        <v>3634</v>
      </c>
      <c r="U867" t="s">
        <v>3633</v>
      </c>
    </row>
    <row r="868" spans="1:21" x14ac:dyDescent="0.25">
      <c r="A868" t="s">
        <v>1723</v>
      </c>
      <c r="B868" s="1">
        <v>45416</v>
      </c>
      <c r="C868" t="s">
        <v>1724</v>
      </c>
      <c r="D868" t="s">
        <v>30</v>
      </c>
      <c r="E868" t="s">
        <v>129</v>
      </c>
      <c r="F868" t="s">
        <v>19</v>
      </c>
      <c r="G868" t="s">
        <v>42</v>
      </c>
      <c r="H868" t="s">
        <v>43</v>
      </c>
      <c r="I868">
        <v>3</v>
      </c>
      <c r="J868">
        <v>264.57</v>
      </c>
      <c r="K868">
        <v>5</v>
      </c>
      <c r="L868">
        <v>754.02</v>
      </c>
      <c r="M868">
        <v>9.64</v>
      </c>
      <c r="N868">
        <v>268.14999999999998</v>
      </c>
      <c r="O868" t="s">
        <v>39</v>
      </c>
      <c r="P868">
        <v>2024</v>
      </c>
      <c r="Q868" t="s">
        <v>3640</v>
      </c>
      <c r="R868">
        <v>716.31899999999996</v>
      </c>
      <c r="S868">
        <v>0.37434439125585101</v>
      </c>
      <c r="T868" t="s">
        <v>3635</v>
      </c>
      <c r="U868" t="s">
        <v>3633</v>
      </c>
    </row>
    <row r="869" spans="1:21" x14ac:dyDescent="0.25">
      <c r="A869" t="s">
        <v>1725</v>
      </c>
      <c r="B869" s="1">
        <v>45416</v>
      </c>
      <c r="C869" t="s">
        <v>1726</v>
      </c>
      <c r="D869" t="s">
        <v>17</v>
      </c>
      <c r="E869" t="s">
        <v>37</v>
      </c>
      <c r="F869" t="s">
        <v>26</v>
      </c>
      <c r="G869" t="s">
        <v>69</v>
      </c>
      <c r="H869" t="s">
        <v>79</v>
      </c>
      <c r="I869">
        <v>3</v>
      </c>
      <c r="J869">
        <v>85.33</v>
      </c>
      <c r="K869">
        <v>15</v>
      </c>
      <c r="L869">
        <v>217.59</v>
      </c>
      <c r="M869">
        <v>12.17</v>
      </c>
      <c r="N869">
        <v>77.42</v>
      </c>
      <c r="O869" t="s">
        <v>34</v>
      </c>
      <c r="P869">
        <v>2024</v>
      </c>
      <c r="Q869" t="s">
        <v>3640</v>
      </c>
      <c r="R869">
        <v>184.95150000000001</v>
      </c>
      <c r="S869">
        <v>0.41859622657831902</v>
      </c>
      <c r="T869" t="s">
        <v>3632</v>
      </c>
      <c r="U869" t="s">
        <v>3633</v>
      </c>
    </row>
    <row r="870" spans="1:21" x14ac:dyDescent="0.25">
      <c r="A870" t="s">
        <v>1727</v>
      </c>
      <c r="B870" s="1">
        <v>45416</v>
      </c>
      <c r="C870" t="s">
        <v>1722</v>
      </c>
      <c r="D870" t="s">
        <v>49</v>
      </c>
      <c r="E870" t="s">
        <v>37</v>
      </c>
      <c r="F870" t="s">
        <v>26</v>
      </c>
      <c r="G870" t="s">
        <v>20</v>
      </c>
      <c r="H870" t="s">
        <v>175</v>
      </c>
      <c r="I870">
        <v>10</v>
      </c>
      <c r="J870">
        <v>39.28</v>
      </c>
      <c r="K870">
        <v>10</v>
      </c>
      <c r="L870">
        <v>353.52</v>
      </c>
      <c r="M870">
        <v>31.89</v>
      </c>
      <c r="N870">
        <v>105.59</v>
      </c>
      <c r="O870" t="s">
        <v>34</v>
      </c>
      <c r="P870">
        <v>2024</v>
      </c>
      <c r="Q870" t="s">
        <v>3640</v>
      </c>
      <c r="R870">
        <v>318.16800000000001</v>
      </c>
      <c r="S870">
        <v>0.331868698297755</v>
      </c>
      <c r="T870" t="s">
        <v>3632</v>
      </c>
      <c r="U870" t="s">
        <v>3633</v>
      </c>
    </row>
    <row r="871" spans="1:21" x14ac:dyDescent="0.25">
      <c r="A871" t="s">
        <v>1728</v>
      </c>
      <c r="B871" s="1">
        <v>45416</v>
      </c>
      <c r="C871" t="s">
        <v>1729</v>
      </c>
      <c r="D871" t="s">
        <v>30</v>
      </c>
      <c r="E871" t="s">
        <v>31</v>
      </c>
      <c r="F871" t="s">
        <v>19</v>
      </c>
      <c r="G871" t="s">
        <v>32</v>
      </c>
      <c r="H871" t="s">
        <v>73</v>
      </c>
      <c r="I871">
        <v>2</v>
      </c>
      <c r="J871">
        <v>6.14</v>
      </c>
      <c r="K871">
        <v>0</v>
      </c>
      <c r="L871">
        <v>12.28</v>
      </c>
      <c r="M871">
        <v>9</v>
      </c>
      <c r="N871">
        <v>-2.25</v>
      </c>
      <c r="O871" t="s">
        <v>56</v>
      </c>
      <c r="P871">
        <v>2024</v>
      </c>
      <c r="Q871" t="s">
        <v>3640</v>
      </c>
      <c r="R871">
        <v>12.28</v>
      </c>
      <c r="S871">
        <v>-0.18322475570032601</v>
      </c>
      <c r="T871" t="s">
        <v>3634</v>
      </c>
      <c r="U871" t="s">
        <v>3636</v>
      </c>
    </row>
    <row r="872" spans="1:21" x14ac:dyDescent="0.25">
      <c r="A872" t="s">
        <v>1730</v>
      </c>
      <c r="B872" s="1">
        <v>45416</v>
      </c>
      <c r="C872" t="s">
        <v>1731</v>
      </c>
      <c r="D872" t="s">
        <v>30</v>
      </c>
      <c r="E872" t="s">
        <v>166</v>
      </c>
      <c r="F872" t="s">
        <v>60</v>
      </c>
      <c r="G872" t="s">
        <v>20</v>
      </c>
      <c r="H872" t="s">
        <v>27</v>
      </c>
      <c r="I872">
        <v>5</v>
      </c>
      <c r="J872">
        <v>77.16</v>
      </c>
      <c r="K872">
        <v>5</v>
      </c>
      <c r="L872">
        <v>366.51</v>
      </c>
      <c r="M872">
        <v>19.79</v>
      </c>
      <c r="N872">
        <v>134.53</v>
      </c>
      <c r="O872" t="s">
        <v>34</v>
      </c>
      <c r="P872">
        <v>2024</v>
      </c>
      <c r="Q872" t="s">
        <v>3640</v>
      </c>
      <c r="R872">
        <v>348.18450000000001</v>
      </c>
      <c r="S872">
        <v>0.38637561407816801</v>
      </c>
      <c r="T872" t="s">
        <v>3632</v>
      </c>
      <c r="U872" t="s">
        <v>3633</v>
      </c>
    </row>
    <row r="873" spans="1:21" x14ac:dyDescent="0.25">
      <c r="A873" t="s">
        <v>1732</v>
      </c>
      <c r="B873" s="1">
        <v>45417</v>
      </c>
      <c r="C873" t="s">
        <v>1733</v>
      </c>
      <c r="D873" t="s">
        <v>17</v>
      </c>
      <c r="E873" t="s">
        <v>92</v>
      </c>
      <c r="F873" t="s">
        <v>60</v>
      </c>
      <c r="G873" t="s">
        <v>32</v>
      </c>
      <c r="H873" t="s">
        <v>73</v>
      </c>
      <c r="I873">
        <v>3</v>
      </c>
      <c r="J873">
        <v>5.66</v>
      </c>
      <c r="K873">
        <v>10</v>
      </c>
      <c r="L873">
        <v>15.28</v>
      </c>
      <c r="M873">
        <v>12.07</v>
      </c>
      <c r="N873">
        <v>-4.43</v>
      </c>
      <c r="O873" t="s">
        <v>39</v>
      </c>
      <c r="P873">
        <v>2024</v>
      </c>
      <c r="Q873" t="s">
        <v>3640</v>
      </c>
      <c r="R873">
        <v>13.752000000000001</v>
      </c>
      <c r="S873">
        <v>-0.32213496218731802</v>
      </c>
      <c r="T873" t="s">
        <v>3634</v>
      </c>
      <c r="U873" t="s">
        <v>3636</v>
      </c>
    </row>
    <row r="874" spans="1:21" x14ac:dyDescent="0.25">
      <c r="A874" t="s">
        <v>1734</v>
      </c>
      <c r="B874" s="1">
        <v>45417</v>
      </c>
      <c r="C874" t="s">
        <v>601</v>
      </c>
      <c r="D874" t="s">
        <v>30</v>
      </c>
      <c r="E874" t="s">
        <v>129</v>
      </c>
      <c r="F874" t="s">
        <v>19</v>
      </c>
      <c r="G874" t="s">
        <v>42</v>
      </c>
      <c r="H874" t="s">
        <v>64</v>
      </c>
      <c r="I874">
        <v>4</v>
      </c>
      <c r="J874">
        <v>112.68</v>
      </c>
      <c r="K874">
        <v>0</v>
      </c>
      <c r="L874">
        <v>450.72</v>
      </c>
      <c r="M874">
        <v>12.94</v>
      </c>
      <c r="N874">
        <v>167.35</v>
      </c>
      <c r="O874" t="s">
        <v>56</v>
      </c>
      <c r="P874">
        <v>2024</v>
      </c>
      <c r="Q874" t="s">
        <v>3640</v>
      </c>
      <c r="R874">
        <v>450.72</v>
      </c>
      <c r="S874">
        <v>0.37129481718139901</v>
      </c>
      <c r="T874" t="s">
        <v>3632</v>
      </c>
      <c r="U874" t="s">
        <v>3633</v>
      </c>
    </row>
    <row r="875" spans="1:21" x14ac:dyDescent="0.25">
      <c r="A875" t="s">
        <v>1735</v>
      </c>
      <c r="B875" s="1">
        <v>45417</v>
      </c>
      <c r="C875" t="s">
        <v>1736</v>
      </c>
      <c r="D875" t="s">
        <v>30</v>
      </c>
      <c r="E875" t="s">
        <v>76</v>
      </c>
      <c r="F875" t="s">
        <v>26</v>
      </c>
      <c r="G875" t="s">
        <v>20</v>
      </c>
      <c r="H875" t="s">
        <v>122</v>
      </c>
      <c r="I875">
        <v>2</v>
      </c>
      <c r="J875">
        <v>72.3</v>
      </c>
      <c r="K875">
        <v>10</v>
      </c>
      <c r="L875">
        <v>130.13999999999999</v>
      </c>
      <c r="M875">
        <v>11.95</v>
      </c>
      <c r="N875">
        <v>38.659999999999997</v>
      </c>
      <c r="O875" t="s">
        <v>34</v>
      </c>
      <c r="P875">
        <v>2024</v>
      </c>
      <c r="Q875" t="s">
        <v>3640</v>
      </c>
      <c r="R875">
        <v>117.126</v>
      </c>
      <c r="S875">
        <v>0.330071888393696</v>
      </c>
      <c r="T875" t="s">
        <v>3632</v>
      </c>
      <c r="U875" t="s">
        <v>3633</v>
      </c>
    </row>
    <row r="876" spans="1:21" x14ac:dyDescent="0.25">
      <c r="A876" t="s">
        <v>1737</v>
      </c>
      <c r="B876" s="1">
        <v>45418</v>
      </c>
      <c r="C876" t="s">
        <v>1738</v>
      </c>
      <c r="D876" t="s">
        <v>30</v>
      </c>
      <c r="E876" t="s">
        <v>59</v>
      </c>
      <c r="F876" t="s">
        <v>60</v>
      </c>
      <c r="G876" t="s">
        <v>20</v>
      </c>
      <c r="H876" t="s">
        <v>55</v>
      </c>
      <c r="I876">
        <v>2</v>
      </c>
      <c r="J876">
        <v>33.61</v>
      </c>
      <c r="K876">
        <v>10</v>
      </c>
      <c r="L876">
        <v>60.5</v>
      </c>
      <c r="M876">
        <v>11.88</v>
      </c>
      <c r="N876">
        <v>11.65</v>
      </c>
      <c r="O876" t="s">
        <v>34</v>
      </c>
      <c r="P876">
        <v>2024</v>
      </c>
      <c r="Q876" t="s">
        <v>3640</v>
      </c>
      <c r="R876">
        <v>54.45</v>
      </c>
      <c r="S876">
        <v>0.21395775941230499</v>
      </c>
      <c r="T876" t="s">
        <v>3634</v>
      </c>
      <c r="U876" t="s">
        <v>3633</v>
      </c>
    </row>
    <row r="877" spans="1:21" x14ac:dyDescent="0.25">
      <c r="A877" t="s">
        <v>1739</v>
      </c>
      <c r="B877" s="1">
        <v>45419</v>
      </c>
      <c r="C877" t="s">
        <v>1594</v>
      </c>
      <c r="D877" t="s">
        <v>17</v>
      </c>
      <c r="E877" t="s">
        <v>138</v>
      </c>
      <c r="F877" t="s">
        <v>54</v>
      </c>
      <c r="G877" t="s">
        <v>32</v>
      </c>
      <c r="H877" t="s">
        <v>110</v>
      </c>
      <c r="I877">
        <v>3</v>
      </c>
      <c r="J877">
        <v>8.1300000000000008</v>
      </c>
      <c r="K877">
        <v>15</v>
      </c>
      <c r="L877">
        <v>20.73</v>
      </c>
      <c r="M877">
        <v>14.66</v>
      </c>
      <c r="N877">
        <v>-4.91</v>
      </c>
      <c r="O877" t="s">
        <v>39</v>
      </c>
      <c r="P877">
        <v>2024</v>
      </c>
      <c r="Q877" t="s">
        <v>3640</v>
      </c>
      <c r="R877">
        <v>17.6205</v>
      </c>
      <c r="S877">
        <v>-0.278652705655345</v>
      </c>
      <c r="T877" t="s">
        <v>3634</v>
      </c>
      <c r="U877" t="s">
        <v>3636</v>
      </c>
    </row>
    <row r="878" spans="1:21" x14ac:dyDescent="0.25">
      <c r="A878" t="s">
        <v>1740</v>
      </c>
      <c r="B878" s="1">
        <v>45419</v>
      </c>
      <c r="C878" t="s">
        <v>1741</v>
      </c>
      <c r="D878" t="s">
        <v>17</v>
      </c>
      <c r="E878" t="s">
        <v>85</v>
      </c>
      <c r="F878" t="s">
        <v>60</v>
      </c>
      <c r="G878" t="s">
        <v>20</v>
      </c>
      <c r="H878" t="s">
        <v>175</v>
      </c>
      <c r="I878">
        <v>3</v>
      </c>
      <c r="J878">
        <v>37.590000000000003</v>
      </c>
      <c r="K878">
        <v>15</v>
      </c>
      <c r="L878">
        <v>95.85</v>
      </c>
      <c r="M878">
        <v>10.77</v>
      </c>
      <c r="N878">
        <v>23.06</v>
      </c>
      <c r="O878" t="s">
        <v>34</v>
      </c>
      <c r="P878">
        <v>2024</v>
      </c>
      <c r="Q878" t="s">
        <v>3640</v>
      </c>
      <c r="R878">
        <v>81.472499999999997</v>
      </c>
      <c r="S878">
        <v>0.28304028966829298</v>
      </c>
      <c r="T878" t="s">
        <v>3634</v>
      </c>
      <c r="U878" t="s">
        <v>3633</v>
      </c>
    </row>
    <row r="879" spans="1:21" x14ac:dyDescent="0.25">
      <c r="A879" t="s">
        <v>1742</v>
      </c>
      <c r="B879" s="1">
        <v>45420</v>
      </c>
      <c r="C879" t="s">
        <v>1743</v>
      </c>
      <c r="D879" t="s">
        <v>30</v>
      </c>
      <c r="E879" t="s">
        <v>92</v>
      </c>
      <c r="F879" t="s">
        <v>60</v>
      </c>
      <c r="G879" t="s">
        <v>42</v>
      </c>
      <c r="H879" t="s">
        <v>64</v>
      </c>
      <c r="I879">
        <v>3</v>
      </c>
      <c r="J879">
        <v>52.88</v>
      </c>
      <c r="K879">
        <v>0</v>
      </c>
      <c r="L879">
        <v>158.63999999999999</v>
      </c>
      <c r="M879">
        <v>12.03</v>
      </c>
      <c r="N879">
        <v>51.43</v>
      </c>
      <c r="O879" t="s">
        <v>34</v>
      </c>
      <c r="P879">
        <v>2024</v>
      </c>
      <c r="Q879" t="s">
        <v>3640</v>
      </c>
      <c r="R879">
        <v>158.63999999999999</v>
      </c>
      <c r="S879">
        <v>0.32419314170448799</v>
      </c>
      <c r="T879" t="s">
        <v>3632</v>
      </c>
      <c r="U879" t="s">
        <v>3633</v>
      </c>
    </row>
    <row r="880" spans="1:21" x14ac:dyDescent="0.25">
      <c r="A880" t="s">
        <v>1744</v>
      </c>
      <c r="B880" s="1">
        <v>45421</v>
      </c>
      <c r="C880" t="s">
        <v>1184</v>
      </c>
      <c r="D880" t="s">
        <v>30</v>
      </c>
      <c r="E880" t="s">
        <v>169</v>
      </c>
      <c r="F880" t="s">
        <v>68</v>
      </c>
      <c r="G880" t="s">
        <v>32</v>
      </c>
      <c r="H880" t="s">
        <v>348</v>
      </c>
      <c r="I880">
        <v>1</v>
      </c>
      <c r="J880">
        <v>9.5500000000000007</v>
      </c>
      <c r="K880">
        <v>5</v>
      </c>
      <c r="L880">
        <v>9.07</v>
      </c>
      <c r="M880">
        <v>11.92</v>
      </c>
      <c r="N880">
        <v>-7.15</v>
      </c>
      <c r="O880" t="s">
        <v>39</v>
      </c>
      <c r="P880">
        <v>2024</v>
      </c>
      <c r="Q880" t="s">
        <v>3640</v>
      </c>
      <c r="R880">
        <v>8.6165000000000003</v>
      </c>
      <c r="S880">
        <v>-0.82980328439621598</v>
      </c>
      <c r="T880" t="s">
        <v>3634</v>
      </c>
      <c r="U880" t="s">
        <v>3636</v>
      </c>
    </row>
    <row r="881" spans="1:21" x14ac:dyDescent="0.25">
      <c r="A881" t="s">
        <v>1745</v>
      </c>
      <c r="B881" s="1">
        <v>45421</v>
      </c>
      <c r="C881" t="s">
        <v>1746</v>
      </c>
      <c r="D881" t="s">
        <v>17</v>
      </c>
      <c r="E881" t="s">
        <v>92</v>
      </c>
      <c r="F881" t="s">
        <v>60</v>
      </c>
      <c r="G881" t="s">
        <v>69</v>
      </c>
      <c r="H881" t="s">
        <v>86</v>
      </c>
      <c r="I881">
        <v>10</v>
      </c>
      <c r="J881">
        <v>99.39</v>
      </c>
      <c r="K881">
        <v>0</v>
      </c>
      <c r="L881">
        <v>993.9</v>
      </c>
      <c r="M881">
        <v>21.95</v>
      </c>
      <c r="N881">
        <v>475</v>
      </c>
      <c r="O881" t="s">
        <v>22</v>
      </c>
      <c r="P881">
        <v>2024</v>
      </c>
      <c r="Q881" t="s">
        <v>3640</v>
      </c>
      <c r="R881">
        <v>993.9</v>
      </c>
      <c r="S881">
        <v>0.477915283227689</v>
      </c>
      <c r="T881" t="s">
        <v>3635</v>
      </c>
      <c r="U881" t="s">
        <v>3633</v>
      </c>
    </row>
    <row r="882" spans="1:21" x14ac:dyDescent="0.25">
      <c r="A882" t="s">
        <v>1747</v>
      </c>
      <c r="B882" s="1">
        <v>45423</v>
      </c>
      <c r="C882" t="s">
        <v>1748</v>
      </c>
      <c r="D882" t="s">
        <v>30</v>
      </c>
      <c r="E882" t="s">
        <v>59</v>
      </c>
      <c r="F882" t="s">
        <v>60</v>
      </c>
      <c r="G882" t="s">
        <v>20</v>
      </c>
      <c r="H882" t="s">
        <v>199</v>
      </c>
      <c r="I882">
        <v>1</v>
      </c>
      <c r="J882">
        <v>76.11</v>
      </c>
      <c r="K882">
        <v>0</v>
      </c>
      <c r="L882">
        <v>76.11</v>
      </c>
      <c r="M882">
        <v>10.16</v>
      </c>
      <c r="N882">
        <v>24.09</v>
      </c>
      <c r="O882" t="s">
        <v>39</v>
      </c>
      <c r="P882">
        <v>2024</v>
      </c>
      <c r="Q882" t="s">
        <v>3640</v>
      </c>
      <c r="R882">
        <v>76.11</v>
      </c>
      <c r="S882">
        <v>0.31651556957035898</v>
      </c>
      <c r="T882" t="s">
        <v>3634</v>
      </c>
      <c r="U882" t="s">
        <v>3633</v>
      </c>
    </row>
    <row r="883" spans="1:21" x14ac:dyDescent="0.25">
      <c r="A883" t="s">
        <v>1749</v>
      </c>
      <c r="B883" s="1">
        <v>45423</v>
      </c>
      <c r="C883" t="s">
        <v>471</v>
      </c>
      <c r="D883" t="s">
        <v>30</v>
      </c>
      <c r="E883" t="s">
        <v>53</v>
      </c>
      <c r="F883" t="s">
        <v>54</v>
      </c>
      <c r="G883" t="s">
        <v>20</v>
      </c>
      <c r="H883" t="s">
        <v>27</v>
      </c>
      <c r="I883">
        <v>1</v>
      </c>
      <c r="J883">
        <v>57.26</v>
      </c>
      <c r="K883">
        <v>20</v>
      </c>
      <c r="L883">
        <v>45.81</v>
      </c>
      <c r="M883">
        <v>12.91</v>
      </c>
      <c r="N883">
        <v>1.41</v>
      </c>
      <c r="O883" t="s">
        <v>34</v>
      </c>
      <c r="P883">
        <v>2024</v>
      </c>
      <c r="Q883" t="s">
        <v>3640</v>
      </c>
      <c r="R883">
        <v>36.648000000000003</v>
      </c>
      <c r="S883">
        <v>3.84741322855272E-2</v>
      </c>
      <c r="T883" t="s">
        <v>3634</v>
      </c>
      <c r="U883" t="s">
        <v>3633</v>
      </c>
    </row>
    <row r="884" spans="1:21" x14ac:dyDescent="0.25">
      <c r="A884" t="s">
        <v>1750</v>
      </c>
      <c r="B884" s="1">
        <v>45423</v>
      </c>
      <c r="C884" t="s">
        <v>1751</v>
      </c>
      <c r="D884" t="s">
        <v>17</v>
      </c>
      <c r="E884" t="s">
        <v>59</v>
      </c>
      <c r="F884" t="s">
        <v>60</v>
      </c>
      <c r="G884" t="s">
        <v>69</v>
      </c>
      <c r="H884" t="s">
        <v>139</v>
      </c>
      <c r="I884">
        <v>2</v>
      </c>
      <c r="J884">
        <v>42.93</v>
      </c>
      <c r="K884">
        <v>5</v>
      </c>
      <c r="L884">
        <v>81.569999999999993</v>
      </c>
      <c r="M884">
        <v>13.52</v>
      </c>
      <c r="N884">
        <v>25.12</v>
      </c>
      <c r="O884" t="s">
        <v>22</v>
      </c>
      <c r="P884">
        <v>2024</v>
      </c>
      <c r="Q884" t="s">
        <v>3640</v>
      </c>
      <c r="R884">
        <v>77.491500000000002</v>
      </c>
      <c r="S884">
        <v>0.324164585793281</v>
      </c>
      <c r="T884" t="s">
        <v>3634</v>
      </c>
      <c r="U884" t="s">
        <v>3633</v>
      </c>
    </row>
    <row r="885" spans="1:21" x14ac:dyDescent="0.25">
      <c r="A885" t="s">
        <v>1752</v>
      </c>
      <c r="B885" s="1">
        <v>45423</v>
      </c>
      <c r="C885" t="s">
        <v>1753</v>
      </c>
      <c r="D885" t="s">
        <v>30</v>
      </c>
      <c r="E885" t="s">
        <v>37</v>
      </c>
      <c r="F885" t="s">
        <v>26</v>
      </c>
      <c r="G885" t="s">
        <v>20</v>
      </c>
      <c r="H885" t="s">
        <v>175</v>
      </c>
      <c r="I885">
        <v>4</v>
      </c>
      <c r="J885">
        <v>37.01</v>
      </c>
      <c r="K885">
        <v>0</v>
      </c>
      <c r="L885">
        <v>148.04</v>
      </c>
      <c r="M885">
        <v>12.78</v>
      </c>
      <c r="N885">
        <v>53.84</v>
      </c>
      <c r="O885" t="s">
        <v>34</v>
      </c>
      <c r="P885">
        <v>2024</v>
      </c>
      <c r="Q885" t="s">
        <v>3640</v>
      </c>
      <c r="R885">
        <v>148.04</v>
      </c>
      <c r="S885">
        <v>0.36368549040799802</v>
      </c>
      <c r="T885" t="s">
        <v>3632</v>
      </c>
      <c r="U885" t="s">
        <v>3633</v>
      </c>
    </row>
    <row r="886" spans="1:21" x14ac:dyDescent="0.25">
      <c r="A886" t="s">
        <v>1754</v>
      </c>
      <c r="B886" s="1">
        <v>45424</v>
      </c>
      <c r="C886" t="s">
        <v>1755</v>
      </c>
      <c r="D886" t="s">
        <v>17</v>
      </c>
      <c r="E886" t="s">
        <v>18</v>
      </c>
      <c r="F886" t="s">
        <v>19</v>
      </c>
      <c r="G886" t="s">
        <v>69</v>
      </c>
      <c r="H886" t="s">
        <v>70</v>
      </c>
      <c r="I886">
        <v>5</v>
      </c>
      <c r="J886">
        <v>57.38</v>
      </c>
      <c r="K886">
        <v>0</v>
      </c>
      <c r="L886">
        <v>286.89999999999998</v>
      </c>
      <c r="M886">
        <v>10.15</v>
      </c>
      <c r="N886">
        <v>133.30000000000001</v>
      </c>
      <c r="O886" t="s">
        <v>22</v>
      </c>
      <c r="P886">
        <v>2024</v>
      </c>
      <c r="Q886" t="s">
        <v>3640</v>
      </c>
      <c r="R886">
        <v>286.89999999999998</v>
      </c>
      <c r="S886">
        <v>0.46462181944928599</v>
      </c>
      <c r="T886" t="s">
        <v>3632</v>
      </c>
      <c r="U886" t="s">
        <v>3633</v>
      </c>
    </row>
    <row r="887" spans="1:21" x14ac:dyDescent="0.25">
      <c r="A887" t="s">
        <v>1756</v>
      </c>
      <c r="B887" s="1">
        <v>45426</v>
      </c>
      <c r="C887" t="s">
        <v>1201</v>
      </c>
      <c r="D887" t="s">
        <v>30</v>
      </c>
      <c r="E887" t="s">
        <v>25</v>
      </c>
      <c r="F887" t="s">
        <v>26</v>
      </c>
      <c r="G887" t="s">
        <v>69</v>
      </c>
      <c r="H887" t="s">
        <v>196</v>
      </c>
      <c r="I887">
        <v>1</v>
      </c>
      <c r="J887">
        <v>20.52</v>
      </c>
      <c r="K887">
        <v>5</v>
      </c>
      <c r="L887">
        <v>19.489999999999998</v>
      </c>
      <c r="M887">
        <v>7.58</v>
      </c>
      <c r="N887">
        <v>1.65</v>
      </c>
      <c r="O887" t="s">
        <v>39</v>
      </c>
      <c r="P887">
        <v>2024</v>
      </c>
      <c r="Q887" t="s">
        <v>3640</v>
      </c>
      <c r="R887">
        <v>18.515499999999999</v>
      </c>
      <c r="S887">
        <v>8.9114525667683797E-2</v>
      </c>
      <c r="T887" t="s">
        <v>3634</v>
      </c>
      <c r="U887" t="s">
        <v>3633</v>
      </c>
    </row>
    <row r="888" spans="1:21" x14ac:dyDescent="0.25">
      <c r="A888" t="s">
        <v>1757</v>
      </c>
      <c r="B888" s="1">
        <v>45426</v>
      </c>
      <c r="C888" t="s">
        <v>269</v>
      </c>
      <c r="D888" t="s">
        <v>30</v>
      </c>
      <c r="E888" t="s">
        <v>109</v>
      </c>
      <c r="F888" t="s">
        <v>54</v>
      </c>
      <c r="G888" t="s">
        <v>32</v>
      </c>
      <c r="H888" t="s">
        <v>149</v>
      </c>
      <c r="I888">
        <v>5</v>
      </c>
      <c r="J888">
        <v>10.88</v>
      </c>
      <c r="K888">
        <v>5</v>
      </c>
      <c r="L888">
        <v>51.68</v>
      </c>
      <c r="M888">
        <v>16.95</v>
      </c>
      <c r="N888">
        <v>10.25</v>
      </c>
      <c r="O888" t="s">
        <v>34</v>
      </c>
      <c r="P888">
        <v>2024</v>
      </c>
      <c r="Q888" t="s">
        <v>3640</v>
      </c>
      <c r="R888">
        <v>49.095999999999997</v>
      </c>
      <c r="S888">
        <v>0.20877464559230899</v>
      </c>
      <c r="T888" t="s">
        <v>3634</v>
      </c>
      <c r="U888" t="s">
        <v>3633</v>
      </c>
    </row>
    <row r="889" spans="1:21" x14ac:dyDescent="0.25">
      <c r="A889" t="s">
        <v>1758</v>
      </c>
      <c r="B889" s="1">
        <v>45427</v>
      </c>
      <c r="C889" t="s">
        <v>1759</v>
      </c>
      <c r="D889" t="s">
        <v>30</v>
      </c>
      <c r="E889" t="s">
        <v>76</v>
      </c>
      <c r="F889" t="s">
        <v>26</v>
      </c>
      <c r="G889" t="s">
        <v>69</v>
      </c>
      <c r="H889" t="s">
        <v>163</v>
      </c>
      <c r="I889">
        <v>3</v>
      </c>
      <c r="J889">
        <v>66.48</v>
      </c>
      <c r="K889">
        <v>0</v>
      </c>
      <c r="L889">
        <v>199.44</v>
      </c>
      <c r="M889">
        <v>9.0500000000000007</v>
      </c>
      <c r="N889">
        <v>90.67</v>
      </c>
      <c r="O889" t="s">
        <v>39</v>
      </c>
      <c r="P889">
        <v>2024</v>
      </c>
      <c r="Q889" t="s">
        <v>3640</v>
      </c>
      <c r="R889">
        <v>199.44</v>
      </c>
      <c r="S889">
        <v>0.454622944243883</v>
      </c>
      <c r="T889" t="s">
        <v>3632</v>
      </c>
      <c r="U889" t="s">
        <v>3633</v>
      </c>
    </row>
    <row r="890" spans="1:21" x14ac:dyDescent="0.25">
      <c r="A890" t="s">
        <v>1760</v>
      </c>
      <c r="B890" s="1">
        <v>45427</v>
      </c>
      <c r="C890" t="s">
        <v>1761</v>
      </c>
      <c r="D890" t="s">
        <v>17</v>
      </c>
      <c r="E890" t="s">
        <v>31</v>
      </c>
      <c r="F890" t="s">
        <v>19</v>
      </c>
      <c r="G890" t="s">
        <v>20</v>
      </c>
      <c r="H890" t="s">
        <v>175</v>
      </c>
      <c r="I890">
        <v>8</v>
      </c>
      <c r="J890">
        <v>32.31</v>
      </c>
      <c r="K890">
        <v>15</v>
      </c>
      <c r="L890">
        <v>219.71</v>
      </c>
      <c r="M890">
        <v>18.899999999999999</v>
      </c>
      <c r="N890">
        <v>58.65</v>
      </c>
      <c r="O890" t="s">
        <v>34</v>
      </c>
      <c r="P890">
        <v>2024</v>
      </c>
      <c r="Q890" t="s">
        <v>3640</v>
      </c>
      <c r="R890">
        <v>186.7535</v>
      </c>
      <c r="S890">
        <v>0.31405033908333702</v>
      </c>
      <c r="T890" t="s">
        <v>3632</v>
      </c>
      <c r="U890" t="s">
        <v>3633</v>
      </c>
    </row>
    <row r="891" spans="1:21" x14ac:dyDescent="0.25">
      <c r="A891" t="s">
        <v>1762</v>
      </c>
      <c r="B891" s="1">
        <v>45428</v>
      </c>
      <c r="C891" t="s">
        <v>1763</v>
      </c>
      <c r="D891" t="s">
        <v>17</v>
      </c>
      <c r="E891" t="s">
        <v>18</v>
      </c>
      <c r="F891" t="s">
        <v>19</v>
      </c>
      <c r="G891" t="s">
        <v>32</v>
      </c>
      <c r="H891" t="s">
        <v>33</v>
      </c>
      <c r="I891">
        <v>4</v>
      </c>
      <c r="J891">
        <v>12.42</v>
      </c>
      <c r="K891">
        <v>15</v>
      </c>
      <c r="L891">
        <v>42.23</v>
      </c>
      <c r="M891">
        <v>13.37</v>
      </c>
      <c r="N891">
        <v>6.5</v>
      </c>
      <c r="O891" t="s">
        <v>34</v>
      </c>
      <c r="P891">
        <v>2024</v>
      </c>
      <c r="Q891" t="s">
        <v>3640</v>
      </c>
      <c r="R891">
        <v>35.895499999999998</v>
      </c>
      <c r="S891">
        <v>0.181081194021535</v>
      </c>
      <c r="T891" t="s">
        <v>3634</v>
      </c>
      <c r="U891" t="s">
        <v>3633</v>
      </c>
    </row>
    <row r="892" spans="1:21" x14ac:dyDescent="0.25">
      <c r="A892" t="s">
        <v>1764</v>
      </c>
      <c r="B892" s="1">
        <v>45428</v>
      </c>
      <c r="C892" t="s">
        <v>603</v>
      </c>
      <c r="D892" t="s">
        <v>30</v>
      </c>
      <c r="E892" t="s">
        <v>37</v>
      </c>
      <c r="F892" t="s">
        <v>26</v>
      </c>
      <c r="G892" t="s">
        <v>20</v>
      </c>
      <c r="H892" t="s">
        <v>55</v>
      </c>
      <c r="I892">
        <v>2</v>
      </c>
      <c r="J892">
        <v>54.24</v>
      </c>
      <c r="K892">
        <v>10</v>
      </c>
      <c r="L892">
        <v>97.63</v>
      </c>
      <c r="M892">
        <v>9.9700000000000006</v>
      </c>
      <c r="N892">
        <v>28</v>
      </c>
      <c r="O892" t="s">
        <v>34</v>
      </c>
      <c r="P892">
        <v>2024</v>
      </c>
      <c r="Q892" t="s">
        <v>3640</v>
      </c>
      <c r="R892">
        <v>87.867000000000004</v>
      </c>
      <c r="S892">
        <v>0.318663434508974</v>
      </c>
      <c r="T892" t="s">
        <v>3634</v>
      </c>
      <c r="U892" t="s">
        <v>3633</v>
      </c>
    </row>
    <row r="893" spans="1:21" x14ac:dyDescent="0.25">
      <c r="A893" t="s">
        <v>1765</v>
      </c>
      <c r="B893" s="1">
        <v>45428</v>
      </c>
      <c r="C893" t="s">
        <v>1766</v>
      </c>
      <c r="D893" t="s">
        <v>30</v>
      </c>
      <c r="E893" t="s">
        <v>18</v>
      </c>
      <c r="F893" t="s">
        <v>19</v>
      </c>
      <c r="G893" t="s">
        <v>42</v>
      </c>
      <c r="H893" t="s">
        <v>255</v>
      </c>
      <c r="I893">
        <v>1</v>
      </c>
      <c r="J893">
        <v>49.78</v>
      </c>
      <c r="K893">
        <v>15</v>
      </c>
      <c r="L893">
        <v>42.31</v>
      </c>
      <c r="M893">
        <v>6.63</v>
      </c>
      <c r="N893">
        <v>5.81</v>
      </c>
      <c r="O893" t="s">
        <v>39</v>
      </c>
      <c r="P893">
        <v>2024</v>
      </c>
      <c r="Q893" t="s">
        <v>3640</v>
      </c>
      <c r="R893">
        <v>35.963500000000003</v>
      </c>
      <c r="S893">
        <v>0.16155268536154699</v>
      </c>
      <c r="T893" t="s">
        <v>3634</v>
      </c>
      <c r="U893" t="s">
        <v>3633</v>
      </c>
    </row>
    <row r="894" spans="1:21" x14ac:dyDescent="0.25">
      <c r="A894" t="s">
        <v>1767</v>
      </c>
      <c r="B894" s="1">
        <v>45429</v>
      </c>
      <c r="C894" t="s">
        <v>1768</v>
      </c>
      <c r="D894" t="s">
        <v>30</v>
      </c>
      <c r="E894" t="s">
        <v>169</v>
      </c>
      <c r="F894" t="s">
        <v>68</v>
      </c>
      <c r="G894" t="s">
        <v>20</v>
      </c>
      <c r="H894" t="s">
        <v>106</v>
      </c>
      <c r="I894">
        <v>3</v>
      </c>
      <c r="J894">
        <v>26.2</v>
      </c>
      <c r="K894">
        <v>10</v>
      </c>
      <c r="L894">
        <v>70.739999999999995</v>
      </c>
      <c r="M894">
        <v>15.66</v>
      </c>
      <c r="N894">
        <v>11.85</v>
      </c>
      <c r="O894" t="s">
        <v>34</v>
      </c>
      <c r="P894">
        <v>2024</v>
      </c>
      <c r="Q894" t="s">
        <v>3640</v>
      </c>
      <c r="R894">
        <v>63.665999999999997</v>
      </c>
      <c r="S894">
        <v>0.18612760343040199</v>
      </c>
      <c r="T894" t="s">
        <v>3634</v>
      </c>
      <c r="U894" t="s">
        <v>3633</v>
      </c>
    </row>
    <row r="895" spans="1:21" x14ac:dyDescent="0.25">
      <c r="A895" t="s">
        <v>1769</v>
      </c>
      <c r="B895" s="1">
        <v>45429</v>
      </c>
      <c r="C895" t="s">
        <v>1538</v>
      </c>
      <c r="D895" t="s">
        <v>17</v>
      </c>
      <c r="E895" t="s">
        <v>31</v>
      </c>
      <c r="F895" t="s">
        <v>19</v>
      </c>
      <c r="G895" t="s">
        <v>69</v>
      </c>
      <c r="H895" t="s">
        <v>86</v>
      </c>
      <c r="I895">
        <v>8</v>
      </c>
      <c r="J895">
        <v>50.94</v>
      </c>
      <c r="K895">
        <v>15</v>
      </c>
      <c r="L895">
        <v>346.39</v>
      </c>
      <c r="M895">
        <v>11.7</v>
      </c>
      <c r="N895">
        <v>130.93</v>
      </c>
      <c r="O895" t="s">
        <v>34</v>
      </c>
      <c r="P895">
        <v>2024</v>
      </c>
      <c r="Q895" t="s">
        <v>3640</v>
      </c>
      <c r="R895">
        <v>294.43150000000003</v>
      </c>
      <c r="S895">
        <v>0.444687473996498</v>
      </c>
      <c r="T895" t="s">
        <v>3632</v>
      </c>
      <c r="U895" t="s">
        <v>3633</v>
      </c>
    </row>
    <row r="896" spans="1:21" x14ac:dyDescent="0.25">
      <c r="A896" t="s">
        <v>1770</v>
      </c>
      <c r="B896" s="1">
        <v>45430</v>
      </c>
      <c r="C896" t="s">
        <v>1771</v>
      </c>
      <c r="D896" t="s">
        <v>30</v>
      </c>
      <c r="E896" t="s">
        <v>37</v>
      </c>
      <c r="F896" t="s">
        <v>26</v>
      </c>
      <c r="G896" t="s">
        <v>42</v>
      </c>
      <c r="H896" t="s">
        <v>255</v>
      </c>
      <c r="I896">
        <v>6</v>
      </c>
      <c r="J896">
        <v>26.58</v>
      </c>
      <c r="K896">
        <v>20</v>
      </c>
      <c r="L896">
        <v>127.58</v>
      </c>
      <c r="M896">
        <v>17.7</v>
      </c>
      <c r="N896">
        <v>14.19</v>
      </c>
      <c r="O896" t="s">
        <v>39</v>
      </c>
      <c r="P896">
        <v>2024</v>
      </c>
      <c r="Q896" t="s">
        <v>3640</v>
      </c>
      <c r="R896">
        <v>102.06399999999999</v>
      </c>
      <c r="S896">
        <v>0.139030412290328</v>
      </c>
      <c r="T896" t="s">
        <v>3632</v>
      </c>
      <c r="U896" t="s">
        <v>3633</v>
      </c>
    </row>
    <row r="897" spans="1:21" x14ac:dyDescent="0.25">
      <c r="A897" t="s">
        <v>1772</v>
      </c>
      <c r="B897" s="1">
        <v>45430</v>
      </c>
      <c r="C897" t="s">
        <v>929</v>
      </c>
      <c r="D897" t="s">
        <v>30</v>
      </c>
      <c r="E897" t="s">
        <v>76</v>
      </c>
      <c r="F897" t="s">
        <v>26</v>
      </c>
      <c r="G897" t="s">
        <v>42</v>
      </c>
      <c r="H897" t="s">
        <v>294</v>
      </c>
      <c r="I897">
        <v>1</v>
      </c>
      <c r="J897">
        <v>296.60000000000002</v>
      </c>
      <c r="K897">
        <v>5</v>
      </c>
      <c r="L897">
        <v>281.77</v>
      </c>
      <c r="M897">
        <v>9.0299999999999994</v>
      </c>
      <c r="N897">
        <v>94.78</v>
      </c>
      <c r="O897" t="s">
        <v>22</v>
      </c>
      <c r="P897">
        <v>2024</v>
      </c>
      <c r="Q897" t="s">
        <v>3640</v>
      </c>
      <c r="R897">
        <v>267.68150000000003</v>
      </c>
      <c r="S897">
        <v>0.354077513761691</v>
      </c>
      <c r="T897" t="s">
        <v>3632</v>
      </c>
      <c r="U897" t="s">
        <v>3633</v>
      </c>
    </row>
    <row r="898" spans="1:21" x14ac:dyDescent="0.25">
      <c r="A898" t="s">
        <v>1773</v>
      </c>
      <c r="B898" s="1">
        <v>45430</v>
      </c>
      <c r="C898" t="s">
        <v>1774</v>
      </c>
      <c r="D898" t="s">
        <v>49</v>
      </c>
      <c r="E898" t="s">
        <v>166</v>
      </c>
      <c r="F898" t="s">
        <v>60</v>
      </c>
      <c r="G898" t="s">
        <v>42</v>
      </c>
      <c r="H898" t="s">
        <v>294</v>
      </c>
      <c r="I898">
        <v>6</v>
      </c>
      <c r="J898">
        <v>151.62</v>
      </c>
      <c r="K898">
        <v>0</v>
      </c>
      <c r="L898">
        <v>909.72</v>
      </c>
      <c r="M898">
        <v>15.6</v>
      </c>
      <c r="N898">
        <v>348.29</v>
      </c>
      <c r="O898" t="s">
        <v>22</v>
      </c>
      <c r="P898">
        <v>2024</v>
      </c>
      <c r="Q898" t="s">
        <v>3640</v>
      </c>
      <c r="R898">
        <v>909.72</v>
      </c>
      <c r="S898">
        <v>0.38285406498702901</v>
      </c>
      <c r="T898" t="s">
        <v>3635</v>
      </c>
      <c r="U898" t="s">
        <v>3633</v>
      </c>
    </row>
    <row r="899" spans="1:21" x14ac:dyDescent="0.25">
      <c r="A899" t="s">
        <v>1775</v>
      </c>
      <c r="B899" s="1">
        <v>45430</v>
      </c>
      <c r="C899" t="s">
        <v>1776</v>
      </c>
      <c r="D899" t="s">
        <v>49</v>
      </c>
      <c r="E899" t="s">
        <v>18</v>
      </c>
      <c r="F899" t="s">
        <v>19</v>
      </c>
      <c r="G899" t="s">
        <v>69</v>
      </c>
      <c r="H899" t="s">
        <v>163</v>
      </c>
      <c r="I899">
        <v>3</v>
      </c>
      <c r="J899">
        <v>34.369999999999997</v>
      </c>
      <c r="K899">
        <v>10</v>
      </c>
      <c r="L899">
        <v>92.8</v>
      </c>
      <c r="M899">
        <v>11.23</v>
      </c>
      <c r="N899">
        <v>30.02</v>
      </c>
      <c r="O899" t="s">
        <v>39</v>
      </c>
      <c r="P899">
        <v>2024</v>
      </c>
      <c r="Q899" t="s">
        <v>3640</v>
      </c>
      <c r="R899">
        <v>83.52</v>
      </c>
      <c r="S899">
        <v>0.35943486590038298</v>
      </c>
      <c r="T899" t="s">
        <v>3634</v>
      </c>
      <c r="U899" t="s">
        <v>3633</v>
      </c>
    </row>
    <row r="900" spans="1:21" x14ac:dyDescent="0.25">
      <c r="A900" t="s">
        <v>1777</v>
      </c>
      <c r="B900" s="1">
        <v>45431</v>
      </c>
      <c r="C900" t="s">
        <v>1778</v>
      </c>
      <c r="D900" t="s">
        <v>17</v>
      </c>
      <c r="E900" t="s">
        <v>85</v>
      </c>
      <c r="F900" t="s">
        <v>60</v>
      </c>
      <c r="G900" t="s">
        <v>32</v>
      </c>
      <c r="H900" t="s">
        <v>115</v>
      </c>
      <c r="I900">
        <v>2</v>
      </c>
      <c r="J900">
        <v>10.26</v>
      </c>
      <c r="K900">
        <v>0</v>
      </c>
      <c r="L900">
        <v>20.52</v>
      </c>
      <c r="M900">
        <v>12.54</v>
      </c>
      <c r="N900">
        <v>-1.25</v>
      </c>
      <c r="O900" t="s">
        <v>34</v>
      </c>
      <c r="P900">
        <v>2024</v>
      </c>
      <c r="Q900" t="s">
        <v>3640</v>
      </c>
      <c r="R900">
        <v>20.52</v>
      </c>
      <c r="S900">
        <v>-6.0916179337232E-2</v>
      </c>
      <c r="T900" t="s">
        <v>3634</v>
      </c>
      <c r="U900" t="s">
        <v>3636</v>
      </c>
    </row>
    <row r="901" spans="1:21" x14ac:dyDescent="0.25">
      <c r="A901" t="s">
        <v>1779</v>
      </c>
      <c r="B901" s="1">
        <v>45432</v>
      </c>
      <c r="C901" t="s">
        <v>1780</v>
      </c>
      <c r="D901" t="s">
        <v>17</v>
      </c>
      <c r="E901" t="s">
        <v>129</v>
      </c>
      <c r="F901" t="s">
        <v>19</v>
      </c>
      <c r="G901" t="s">
        <v>20</v>
      </c>
      <c r="H901" t="s">
        <v>27</v>
      </c>
      <c r="I901">
        <v>5</v>
      </c>
      <c r="J901">
        <v>128.41</v>
      </c>
      <c r="K901">
        <v>30</v>
      </c>
      <c r="L901">
        <v>449.43</v>
      </c>
      <c r="M901">
        <v>13.49</v>
      </c>
      <c r="N901">
        <v>82.81</v>
      </c>
      <c r="O901" t="s">
        <v>34</v>
      </c>
      <c r="P901">
        <v>2024</v>
      </c>
      <c r="Q901" t="s">
        <v>3640</v>
      </c>
      <c r="R901">
        <v>314.601</v>
      </c>
      <c r="S901">
        <v>0.26322230380704398</v>
      </c>
      <c r="T901" t="s">
        <v>3632</v>
      </c>
      <c r="U901" t="s">
        <v>3633</v>
      </c>
    </row>
    <row r="902" spans="1:21" x14ac:dyDescent="0.25">
      <c r="A902" t="s">
        <v>1781</v>
      </c>
      <c r="B902" s="1">
        <v>45433</v>
      </c>
      <c r="C902" t="s">
        <v>591</v>
      </c>
      <c r="D902" t="s">
        <v>30</v>
      </c>
      <c r="E902" t="s">
        <v>109</v>
      </c>
      <c r="F902" t="s">
        <v>54</v>
      </c>
      <c r="G902" t="s">
        <v>20</v>
      </c>
      <c r="H902" t="s">
        <v>264</v>
      </c>
      <c r="I902">
        <v>3</v>
      </c>
      <c r="J902">
        <v>21.23</v>
      </c>
      <c r="K902">
        <v>5</v>
      </c>
      <c r="L902">
        <v>60.51</v>
      </c>
      <c r="M902">
        <v>18.059999999999999</v>
      </c>
      <c r="N902">
        <v>7.42</v>
      </c>
      <c r="O902" t="s">
        <v>34</v>
      </c>
      <c r="P902">
        <v>2024</v>
      </c>
      <c r="Q902" t="s">
        <v>3640</v>
      </c>
      <c r="R902">
        <v>57.484499999999997</v>
      </c>
      <c r="S902">
        <v>0.129078273273665</v>
      </c>
      <c r="T902" t="s">
        <v>3634</v>
      </c>
      <c r="U902" t="s">
        <v>3633</v>
      </c>
    </row>
    <row r="903" spans="1:21" x14ac:dyDescent="0.25">
      <c r="A903" t="s">
        <v>1782</v>
      </c>
      <c r="B903" s="1">
        <v>45433</v>
      </c>
      <c r="C903" t="s">
        <v>1783</v>
      </c>
      <c r="D903" t="s">
        <v>17</v>
      </c>
      <c r="E903" t="s">
        <v>166</v>
      </c>
      <c r="F903" t="s">
        <v>60</v>
      </c>
      <c r="G903" t="s">
        <v>32</v>
      </c>
      <c r="H903" t="s">
        <v>33</v>
      </c>
      <c r="I903">
        <v>3</v>
      </c>
      <c r="J903">
        <v>5.26</v>
      </c>
      <c r="K903">
        <v>5</v>
      </c>
      <c r="L903">
        <v>14.99</v>
      </c>
      <c r="M903">
        <v>12.25</v>
      </c>
      <c r="N903">
        <v>-4.3600000000000003</v>
      </c>
      <c r="O903" t="s">
        <v>34</v>
      </c>
      <c r="P903">
        <v>2024</v>
      </c>
      <c r="Q903" t="s">
        <v>3640</v>
      </c>
      <c r="R903">
        <v>14.240500000000001</v>
      </c>
      <c r="S903">
        <v>-0.30616902496401099</v>
      </c>
      <c r="T903" t="s">
        <v>3634</v>
      </c>
      <c r="U903" t="s">
        <v>3636</v>
      </c>
    </row>
    <row r="904" spans="1:21" x14ac:dyDescent="0.25">
      <c r="A904" t="s">
        <v>1784</v>
      </c>
      <c r="B904" s="1">
        <v>45434</v>
      </c>
      <c r="C904" t="s">
        <v>1785</v>
      </c>
      <c r="D904" t="s">
        <v>30</v>
      </c>
      <c r="E904" t="s">
        <v>85</v>
      </c>
      <c r="F904" t="s">
        <v>60</v>
      </c>
      <c r="G904" t="s">
        <v>32</v>
      </c>
      <c r="H904" t="s">
        <v>348</v>
      </c>
      <c r="I904">
        <v>4</v>
      </c>
      <c r="J904">
        <v>9.24</v>
      </c>
      <c r="K904">
        <v>5</v>
      </c>
      <c r="L904">
        <v>35.11</v>
      </c>
      <c r="M904">
        <v>18.34</v>
      </c>
      <c r="N904">
        <v>0.14000000000000001</v>
      </c>
      <c r="O904" t="s">
        <v>34</v>
      </c>
      <c r="P904">
        <v>2024</v>
      </c>
      <c r="Q904" t="s">
        <v>3640</v>
      </c>
      <c r="R904">
        <v>33.354500000000002</v>
      </c>
      <c r="S904">
        <v>4.1973346924702804E-3</v>
      </c>
      <c r="T904" t="s">
        <v>3634</v>
      </c>
      <c r="U904" t="s">
        <v>3633</v>
      </c>
    </row>
    <row r="905" spans="1:21" x14ac:dyDescent="0.25">
      <c r="A905" t="s">
        <v>1786</v>
      </c>
      <c r="B905" s="1">
        <v>45435</v>
      </c>
      <c r="C905" t="s">
        <v>1787</v>
      </c>
      <c r="D905" t="s">
        <v>49</v>
      </c>
      <c r="E905" t="s">
        <v>25</v>
      </c>
      <c r="F905" t="s">
        <v>26</v>
      </c>
      <c r="G905" t="s">
        <v>20</v>
      </c>
      <c r="H905" t="s">
        <v>38</v>
      </c>
      <c r="I905">
        <v>2</v>
      </c>
      <c r="J905">
        <v>88.23</v>
      </c>
      <c r="K905">
        <v>0</v>
      </c>
      <c r="L905">
        <v>176.46</v>
      </c>
      <c r="M905">
        <v>9.65</v>
      </c>
      <c r="N905">
        <v>69.760000000000005</v>
      </c>
      <c r="O905" t="s">
        <v>56</v>
      </c>
      <c r="P905">
        <v>2024</v>
      </c>
      <c r="Q905" t="s">
        <v>3640</v>
      </c>
      <c r="R905">
        <v>176.46</v>
      </c>
      <c r="S905">
        <v>0.39533038648985602</v>
      </c>
      <c r="T905" t="s">
        <v>3632</v>
      </c>
      <c r="U905" t="s">
        <v>3633</v>
      </c>
    </row>
    <row r="906" spans="1:21" x14ac:dyDescent="0.25">
      <c r="A906" t="s">
        <v>1788</v>
      </c>
      <c r="B906" s="1">
        <v>45436</v>
      </c>
      <c r="C906" t="s">
        <v>1789</v>
      </c>
      <c r="D906" t="s">
        <v>30</v>
      </c>
      <c r="E906" t="s">
        <v>76</v>
      </c>
      <c r="F906" t="s">
        <v>26</v>
      </c>
      <c r="G906" t="s">
        <v>20</v>
      </c>
      <c r="H906" t="s">
        <v>199</v>
      </c>
      <c r="I906">
        <v>2</v>
      </c>
      <c r="J906">
        <v>111.78</v>
      </c>
      <c r="K906">
        <v>0</v>
      </c>
      <c r="L906">
        <v>223.56</v>
      </c>
      <c r="M906">
        <v>9</v>
      </c>
      <c r="N906">
        <v>91.6</v>
      </c>
      <c r="O906" t="s">
        <v>22</v>
      </c>
      <c r="P906">
        <v>2024</v>
      </c>
      <c r="Q906" t="s">
        <v>3640</v>
      </c>
      <c r="R906">
        <v>223.56</v>
      </c>
      <c r="S906">
        <v>0.409733404902487</v>
      </c>
      <c r="T906" t="s">
        <v>3632</v>
      </c>
      <c r="U906" t="s">
        <v>3633</v>
      </c>
    </row>
    <row r="907" spans="1:21" x14ac:dyDescent="0.25">
      <c r="A907" t="s">
        <v>1790</v>
      </c>
      <c r="B907" s="1">
        <v>45436</v>
      </c>
      <c r="C907" t="s">
        <v>1791</v>
      </c>
      <c r="D907" t="s">
        <v>30</v>
      </c>
      <c r="E907" t="s">
        <v>31</v>
      </c>
      <c r="F907" t="s">
        <v>19</v>
      </c>
      <c r="G907" t="s">
        <v>42</v>
      </c>
      <c r="H907" t="s">
        <v>89</v>
      </c>
      <c r="I907">
        <v>13</v>
      </c>
      <c r="J907">
        <v>201.56</v>
      </c>
      <c r="K907">
        <v>0</v>
      </c>
      <c r="L907">
        <v>2620.2800000000002</v>
      </c>
      <c r="M907">
        <v>30.62</v>
      </c>
      <c r="N907">
        <v>1017.49</v>
      </c>
      <c r="O907" t="s">
        <v>34</v>
      </c>
      <c r="P907">
        <v>2024</v>
      </c>
      <c r="Q907" t="s">
        <v>3640</v>
      </c>
      <c r="R907">
        <v>2620.2800000000002</v>
      </c>
      <c r="S907">
        <v>0.38831346268337702</v>
      </c>
      <c r="T907" t="s">
        <v>3635</v>
      </c>
      <c r="U907" t="s">
        <v>3633</v>
      </c>
    </row>
    <row r="908" spans="1:21" x14ac:dyDescent="0.25">
      <c r="A908" t="s">
        <v>1792</v>
      </c>
      <c r="B908" s="1">
        <v>45436</v>
      </c>
      <c r="C908" t="s">
        <v>1793</v>
      </c>
      <c r="D908" t="s">
        <v>30</v>
      </c>
      <c r="E908" t="s">
        <v>18</v>
      </c>
      <c r="F908" t="s">
        <v>19</v>
      </c>
      <c r="G908" t="s">
        <v>69</v>
      </c>
      <c r="H908" t="s">
        <v>243</v>
      </c>
      <c r="I908">
        <v>1</v>
      </c>
      <c r="J908">
        <v>48.43</v>
      </c>
      <c r="K908">
        <v>20</v>
      </c>
      <c r="L908">
        <v>38.74</v>
      </c>
      <c r="M908">
        <v>6.96</v>
      </c>
      <c r="N908">
        <v>7.57</v>
      </c>
      <c r="O908" t="s">
        <v>34</v>
      </c>
      <c r="P908">
        <v>2024</v>
      </c>
      <c r="Q908" t="s">
        <v>3640</v>
      </c>
      <c r="R908">
        <v>30.992000000000001</v>
      </c>
      <c r="S908">
        <v>0.24425658234383099</v>
      </c>
      <c r="T908" t="s">
        <v>3634</v>
      </c>
      <c r="U908" t="s">
        <v>3633</v>
      </c>
    </row>
    <row r="909" spans="1:21" x14ac:dyDescent="0.25">
      <c r="A909" t="s">
        <v>1794</v>
      </c>
      <c r="B909" s="1">
        <v>45436</v>
      </c>
      <c r="C909" t="s">
        <v>1795</v>
      </c>
      <c r="D909" t="s">
        <v>30</v>
      </c>
      <c r="E909" t="s">
        <v>37</v>
      </c>
      <c r="F909" t="s">
        <v>26</v>
      </c>
      <c r="G909" t="s">
        <v>32</v>
      </c>
      <c r="H909" t="s">
        <v>33</v>
      </c>
      <c r="I909">
        <v>3</v>
      </c>
      <c r="J909">
        <v>9.99</v>
      </c>
      <c r="K909">
        <v>10</v>
      </c>
      <c r="L909">
        <v>26.97</v>
      </c>
      <c r="M909">
        <v>8.52</v>
      </c>
      <c r="N909">
        <v>4.96</v>
      </c>
      <c r="O909" t="s">
        <v>39</v>
      </c>
      <c r="P909">
        <v>2024</v>
      </c>
      <c r="Q909" t="s">
        <v>3640</v>
      </c>
      <c r="R909">
        <v>24.273</v>
      </c>
      <c r="S909">
        <v>0.20434227330779101</v>
      </c>
      <c r="T909" t="s">
        <v>3634</v>
      </c>
      <c r="U909" t="s">
        <v>3633</v>
      </c>
    </row>
    <row r="910" spans="1:21" x14ac:dyDescent="0.25">
      <c r="A910" t="s">
        <v>1796</v>
      </c>
      <c r="B910" s="1">
        <v>45437</v>
      </c>
      <c r="C910" t="s">
        <v>1797</v>
      </c>
      <c r="D910" t="s">
        <v>17</v>
      </c>
      <c r="E910" t="s">
        <v>166</v>
      </c>
      <c r="F910" t="s">
        <v>60</v>
      </c>
      <c r="G910" t="s">
        <v>69</v>
      </c>
      <c r="H910" t="s">
        <v>243</v>
      </c>
      <c r="I910">
        <v>1</v>
      </c>
      <c r="J910">
        <v>51.37</v>
      </c>
      <c r="K910">
        <v>0</v>
      </c>
      <c r="L910">
        <v>51.37</v>
      </c>
      <c r="M910">
        <v>11.26</v>
      </c>
      <c r="N910">
        <v>14.42</v>
      </c>
      <c r="O910" t="s">
        <v>39</v>
      </c>
      <c r="P910">
        <v>2024</v>
      </c>
      <c r="Q910" t="s">
        <v>3640</v>
      </c>
      <c r="R910">
        <v>51.37</v>
      </c>
      <c r="S910">
        <v>0.28070858477710697</v>
      </c>
      <c r="T910" t="s">
        <v>3634</v>
      </c>
      <c r="U910" t="s">
        <v>3633</v>
      </c>
    </row>
    <row r="911" spans="1:21" x14ac:dyDescent="0.25">
      <c r="A911" t="s">
        <v>1798</v>
      </c>
      <c r="B911" s="1">
        <v>45437</v>
      </c>
      <c r="C911" t="s">
        <v>1707</v>
      </c>
      <c r="D911" t="s">
        <v>30</v>
      </c>
      <c r="E911" t="s">
        <v>166</v>
      </c>
      <c r="F911" t="s">
        <v>60</v>
      </c>
      <c r="G911" t="s">
        <v>32</v>
      </c>
      <c r="H911" t="s">
        <v>149</v>
      </c>
      <c r="I911">
        <v>2</v>
      </c>
      <c r="J911">
        <v>14.19</v>
      </c>
      <c r="K911">
        <v>10</v>
      </c>
      <c r="L911">
        <v>25.54</v>
      </c>
      <c r="M911">
        <v>10.01</v>
      </c>
      <c r="N911">
        <v>2.76</v>
      </c>
      <c r="O911" t="s">
        <v>34</v>
      </c>
      <c r="P911">
        <v>2024</v>
      </c>
      <c r="Q911" t="s">
        <v>3640</v>
      </c>
      <c r="R911">
        <v>22.986000000000001</v>
      </c>
      <c r="S911">
        <v>0.120073087966588</v>
      </c>
      <c r="T911" t="s">
        <v>3634</v>
      </c>
      <c r="U911" t="s">
        <v>3633</v>
      </c>
    </row>
    <row r="912" spans="1:21" x14ac:dyDescent="0.25">
      <c r="A912" t="s">
        <v>1799</v>
      </c>
      <c r="B912" s="1">
        <v>45437</v>
      </c>
      <c r="C912" t="s">
        <v>1800</v>
      </c>
      <c r="D912" t="s">
        <v>17</v>
      </c>
      <c r="E912" t="s">
        <v>166</v>
      </c>
      <c r="F912" t="s">
        <v>60</v>
      </c>
      <c r="G912" t="s">
        <v>69</v>
      </c>
      <c r="H912" t="s">
        <v>86</v>
      </c>
      <c r="I912">
        <v>4</v>
      </c>
      <c r="J912">
        <v>59.09</v>
      </c>
      <c r="K912">
        <v>5</v>
      </c>
      <c r="L912">
        <v>224.54</v>
      </c>
      <c r="M912">
        <v>11.63</v>
      </c>
      <c r="N912">
        <v>94.73</v>
      </c>
      <c r="O912" t="s">
        <v>22</v>
      </c>
      <c r="P912">
        <v>2024</v>
      </c>
      <c r="Q912" t="s">
        <v>3640</v>
      </c>
      <c r="R912">
        <v>213.31299999999999</v>
      </c>
      <c r="S912">
        <v>0.44408920225208998</v>
      </c>
      <c r="T912" t="s">
        <v>3632</v>
      </c>
      <c r="U912" t="s">
        <v>3633</v>
      </c>
    </row>
    <row r="913" spans="1:21" x14ac:dyDescent="0.25">
      <c r="A913" t="s">
        <v>1801</v>
      </c>
      <c r="B913" s="1">
        <v>45438</v>
      </c>
      <c r="C913" t="s">
        <v>427</v>
      </c>
      <c r="D913" t="s">
        <v>30</v>
      </c>
      <c r="E913" t="s">
        <v>59</v>
      </c>
      <c r="F913" t="s">
        <v>60</v>
      </c>
      <c r="G913" t="s">
        <v>42</v>
      </c>
      <c r="H913" t="s">
        <v>371</v>
      </c>
      <c r="I913">
        <v>1</v>
      </c>
      <c r="J913">
        <v>114</v>
      </c>
      <c r="K913">
        <v>0</v>
      </c>
      <c r="L913">
        <v>114</v>
      </c>
      <c r="M913">
        <v>9.5299999999999994</v>
      </c>
      <c r="N913">
        <v>36.07</v>
      </c>
      <c r="O913" t="s">
        <v>56</v>
      </c>
      <c r="P913">
        <v>2024</v>
      </c>
      <c r="Q913" t="s">
        <v>3640</v>
      </c>
      <c r="R913">
        <v>114</v>
      </c>
      <c r="S913">
        <v>0.31640350877193002</v>
      </c>
      <c r="T913" t="s">
        <v>3632</v>
      </c>
      <c r="U913" t="s">
        <v>3633</v>
      </c>
    </row>
    <row r="914" spans="1:21" x14ac:dyDescent="0.25">
      <c r="A914" t="s">
        <v>1802</v>
      </c>
      <c r="B914" s="1">
        <v>45438</v>
      </c>
      <c r="C914" t="s">
        <v>1803</v>
      </c>
      <c r="D914" t="s">
        <v>17</v>
      </c>
      <c r="E914" t="s">
        <v>37</v>
      </c>
      <c r="F914" t="s">
        <v>26</v>
      </c>
      <c r="G914" t="s">
        <v>20</v>
      </c>
      <c r="H914" t="s">
        <v>175</v>
      </c>
      <c r="I914">
        <v>1</v>
      </c>
      <c r="J914">
        <v>38.44</v>
      </c>
      <c r="K914">
        <v>0</v>
      </c>
      <c r="L914">
        <v>38.44</v>
      </c>
      <c r="M914">
        <v>8.19</v>
      </c>
      <c r="N914">
        <v>9.11</v>
      </c>
      <c r="O914" t="s">
        <v>39</v>
      </c>
      <c r="P914">
        <v>2024</v>
      </c>
      <c r="Q914" t="s">
        <v>3640</v>
      </c>
      <c r="R914">
        <v>38.44</v>
      </c>
      <c r="S914">
        <v>0.236992715920916</v>
      </c>
      <c r="T914" t="s">
        <v>3634</v>
      </c>
      <c r="U914" t="s">
        <v>3633</v>
      </c>
    </row>
    <row r="915" spans="1:21" x14ac:dyDescent="0.25">
      <c r="A915" t="s">
        <v>1804</v>
      </c>
      <c r="B915" s="1">
        <v>45438</v>
      </c>
      <c r="C915" t="s">
        <v>1805</v>
      </c>
      <c r="D915" t="s">
        <v>17</v>
      </c>
      <c r="E915" t="s">
        <v>109</v>
      </c>
      <c r="F915" t="s">
        <v>54</v>
      </c>
      <c r="G915" t="s">
        <v>20</v>
      </c>
      <c r="H915" t="s">
        <v>21</v>
      </c>
      <c r="I915">
        <v>8</v>
      </c>
      <c r="J915">
        <v>171.31</v>
      </c>
      <c r="K915">
        <v>10</v>
      </c>
      <c r="L915">
        <v>1233.43</v>
      </c>
      <c r="M915">
        <v>22.94</v>
      </c>
      <c r="N915">
        <v>456.73</v>
      </c>
      <c r="O915" t="s">
        <v>22</v>
      </c>
      <c r="P915">
        <v>2024</v>
      </c>
      <c r="Q915" t="s">
        <v>3640</v>
      </c>
      <c r="R915">
        <v>1110.087</v>
      </c>
      <c r="S915">
        <v>0.41143622076467901</v>
      </c>
      <c r="T915" t="s">
        <v>3635</v>
      </c>
      <c r="U915" t="s">
        <v>3633</v>
      </c>
    </row>
    <row r="916" spans="1:21" x14ac:dyDescent="0.25">
      <c r="A916" t="s">
        <v>1806</v>
      </c>
      <c r="B916" s="1">
        <v>45439</v>
      </c>
      <c r="C916" t="s">
        <v>1807</v>
      </c>
      <c r="D916" t="s">
        <v>30</v>
      </c>
      <c r="E916" t="s">
        <v>248</v>
      </c>
      <c r="F916" t="s">
        <v>26</v>
      </c>
      <c r="G916" t="s">
        <v>20</v>
      </c>
      <c r="H916" t="s">
        <v>27</v>
      </c>
      <c r="I916">
        <v>6</v>
      </c>
      <c r="J916">
        <v>175.05</v>
      </c>
      <c r="K916">
        <v>10</v>
      </c>
      <c r="L916">
        <v>945.27</v>
      </c>
      <c r="M916">
        <v>21.41</v>
      </c>
      <c r="N916">
        <v>346.19</v>
      </c>
      <c r="O916" t="s">
        <v>22</v>
      </c>
      <c r="P916">
        <v>2024</v>
      </c>
      <c r="Q916" t="s">
        <v>3640</v>
      </c>
      <c r="R916">
        <v>850.74300000000005</v>
      </c>
      <c r="S916">
        <v>0.40692665117432603</v>
      </c>
      <c r="T916" t="s">
        <v>3635</v>
      </c>
      <c r="U916" t="s">
        <v>3633</v>
      </c>
    </row>
    <row r="917" spans="1:21" x14ac:dyDescent="0.25">
      <c r="A917" t="s">
        <v>1808</v>
      </c>
      <c r="B917" s="1">
        <v>45439</v>
      </c>
      <c r="C917" t="s">
        <v>1809</v>
      </c>
      <c r="D917" t="s">
        <v>49</v>
      </c>
      <c r="E917" t="s">
        <v>67</v>
      </c>
      <c r="F917" t="s">
        <v>68</v>
      </c>
      <c r="G917" t="s">
        <v>32</v>
      </c>
      <c r="H917" t="s">
        <v>33</v>
      </c>
      <c r="I917">
        <v>5</v>
      </c>
      <c r="J917">
        <v>11.19</v>
      </c>
      <c r="K917">
        <v>15</v>
      </c>
      <c r="L917">
        <v>47.56</v>
      </c>
      <c r="M917">
        <v>22.11</v>
      </c>
      <c r="N917">
        <v>0.27</v>
      </c>
      <c r="O917" t="s">
        <v>39</v>
      </c>
      <c r="P917">
        <v>2024</v>
      </c>
      <c r="Q917" t="s">
        <v>3640</v>
      </c>
      <c r="R917">
        <v>40.426000000000002</v>
      </c>
      <c r="S917">
        <v>6.6788700341364497E-3</v>
      </c>
      <c r="T917" t="s">
        <v>3634</v>
      </c>
      <c r="U917" t="s">
        <v>3633</v>
      </c>
    </row>
    <row r="918" spans="1:21" x14ac:dyDescent="0.25">
      <c r="A918" t="s">
        <v>1810</v>
      </c>
      <c r="B918" s="1">
        <v>45439</v>
      </c>
      <c r="C918" t="s">
        <v>1811</v>
      </c>
      <c r="D918" t="s">
        <v>30</v>
      </c>
      <c r="E918" t="s">
        <v>138</v>
      </c>
      <c r="F918" t="s">
        <v>54</v>
      </c>
      <c r="G918" t="s">
        <v>20</v>
      </c>
      <c r="H918" t="s">
        <v>264</v>
      </c>
      <c r="I918">
        <v>2</v>
      </c>
      <c r="J918">
        <v>31.92</v>
      </c>
      <c r="K918">
        <v>0</v>
      </c>
      <c r="L918">
        <v>63.84</v>
      </c>
      <c r="M918">
        <v>13.33</v>
      </c>
      <c r="N918">
        <v>15.4</v>
      </c>
      <c r="O918" t="s">
        <v>56</v>
      </c>
      <c r="P918">
        <v>2024</v>
      </c>
      <c r="Q918" t="s">
        <v>3640</v>
      </c>
      <c r="R918">
        <v>63.84</v>
      </c>
      <c r="S918">
        <v>0.24122807017543901</v>
      </c>
      <c r="T918" t="s">
        <v>3634</v>
      </c>
      <c r="U918" t="s">
        <v>3633</v>
      </c>
    </row>
    <row r="919" spans="1:21" x14ac:dyDescent="0.25">
      <c r="A919" t="s">
        <v>1812</v>
      </c>
      <c r="B919" s="1">
        <v>45439</v>
      </c>
      <c r="C919" t="s">
        <v>1813</v>
      </c>
      <c r="D919" t="s">
        <v>17</v>
      </c>
      <c r="E919" t="s">
        <v>248</v>
      </c>
      <c r="F919" t="s">
        <v>26</v>
      </c>
      <c r="G919" t="s">
        <v>42</v>
      </c>
      <c r="H919" t="s">
        <v>234</v>
      </c>
      <c r="I919">
        <v>3</v>
      </c>
      <c r="J919">
        <v>35.49</v>
      </c>
      <c r="K919">
        <v>0</v>
      </c>
      <c r="L919">
        <v>106.47</v>
      </c>
      <c r="M919">
        <v>13.63</v>
      </c>
      <c r="N919">
        <v>28.96</v>
      </c>
      <c r="O919" t="s">
        <v>56</v>
      </c>
      <c r="P919">
        <v>2024</v>
      </c>
      <c r="Q919" t="s">
        <v>3640</v>
      </c>
      <c r="R919">
        <v>106.47</v>
      </c>
      <c r="S919">
        <v>0.27200150277073398</v>
      </c>
      <c r="T919" t="s">
        <v>3632</v>
      </c>
      <c r="U919" t="s">
        <v>3633</v>
      </c>
    </row>
    <row r="920" spans="1:21" x14ac:dyDescent="0.25">
      <c r="A920" t="s">
        <v>1814</v>
      </c>
      <c r="B920" s="1">
        <v>45439</v>
      </c>
      <c r="C920" t="s">
        <v>1815</v>
      </c>
      <c r="D920" t="s">
        <v>17</v>
      </c>
      <c r="E920" t="s">
        <v>59</v>
      </c>
      <c r="F920" t="s">
        <v>60</v>
      </c>
      <c r="G920" t="s">
        <v>20</v>
      </c>
      <c r="H920" t="s">
        <v>199</v>
      </c>
      <c r="I920">
        <v>2</v>
      </c>
      <c r="J920">
        <v>71.92</v>
      </c>
      <c r="K920">
        <v>5</v>
      </c>
      <c r="L920">
        <v>136.65</v>
      </c>
      <c r="M920">
        <v>13.71</v>
      </c>
      <c r="N920">
        <v>43.83</v>
      </c>
      <c r="O920" t="s">
        <v>39</v>
      </c>
      <c r="P920">
        <v>2024</v>
      </c>
      <c r="Q920" t="s">
        <v>3640</v>
      </c>
      <c r="R920">
        <v>129.8175</v>
      </c>
      <c r="S920">
        <v>0.337627823675544</v>
      </c>
      <c r="T920" t="s">
        <v>3632</v>
      </c>
      <c r="U920" t="s">
        <v>3633</v>
      </c>
    </row>
    <row r="921" spans="1:21" x14ac:dyDescent="0.25">
      <c r="A921" t="s">
        <v>1816</v>
      </c>
      <c r="B921" s="1">
        <v>45439</v>
      </c>
      <c r="C921" t="s">
        <v>302</v>
      </c>
      <c r="D921" t="s">
        <v>49</v>
      </c>
      <c r="E921" t="s">
        <v>85</v>
      </c>
      <c r="F921" t="s">
        <v>60</v>
      </c>
      <c r="G921" t="s">
        <v>32</v>
      </c>
      <c r="H921" t="s">
        <v>82</v>
      </c>
      <c r="I921">
        <v>9</v>
      </c>
      <c r="J921">
        <v>20.69</v>
      </c>
      <c r="K921">
        <v>0</v>
      </c>
      <c r="L921">
        <v>186.21</v>
      </c>
      <c r="M921">
        <v>22.07</v>
      </c>
      <c r="N921">
        <v>80.349999999999994</v>
      </c>
      <c r="O921" t="s">
        <v>34</v>
      </c>
      <c r="P921">
        <v>2024</v>
      </c>
      <c r="Q921" t="s">
        <v>3640</v>
      </c>
      <c r="R921">
        <v>186.21</v>
      </c>
      <c r="S921">
        <v>0.43150206755813297</v>
      </c>
      <c r="T921" t="s">
        <v>3632</v>
      </c>
      <c r="U921" t="s">
        <v>3633</v>
      </c>
    </row>
    <row r="922" spans="1:21" x14ac:dyDescent="0.25">
      <c r="A922" t="s">
        <v>1817</v>
      </c>
      <c r="B922" s="1">
        <v>45439</v>
      </c>
      <c r="C922" t="s">
        <v>1818</v>
      </c>
      <c r="D922" t="s">
        <v>30</v>
      </c>
      <c r="E922" t="s">
        <v>25</v>
      </c>
      <c r="F922" t="s">
        <v>26</v>
      </c>
      <c r="G922" t="s">
        <v>20</v>
      </c>
      <c r="H922" t="s">
        <v>122</v>
      </c>
      <c r="I922">
        <v>15</v>
      </c>
      <c r="J922">
        <v>142.85</v>
      </c>
      <c r="K922">
        <v>10</v>
      </c>
      <c r="L922">
        <v>1928.48</v>
      </c>
      <c r="M922">
        <v>22.72</v>
      </c>
      <c r="N922">
        <v>727.25</v>
      </c>
      <c r="O922" t="s">
        <v>22</v>
      </c>
      <c r="P922">
        <v>2024</v>
      </c>
      <c r="Q922" t="s">
        <v>3640</v>
      </c>
      <c r="R922">
        <v>1735.6320000000001</v>
      </c>
      <c r="S922">
        <v>0.41901163380255702</v>
      </c>
      <c r="T922" t="s">
        <v>3635</v>
      </c>
      <c r="U922" t="s">
        <v>3633</v>
      </c>
    </row>
    <row r="923" spans="1:21" x14ac:dyDescent="0.25">
      <c r="A923" t="s">
        <v>1819</v>
      </c>
      <c r="B923" s="1">
        <v>45440</v>
      </c>
      <c r="C923" t="s">
        <v>1820</v>
      </c>
      <c r="D923" t="s">
        <v>17</v>
      </c>
      <c r="E923" t="s">
        <v>135</v>
      </c>
      <c r="F923" t="s">
        <v>26</v>
      </c>
      <c r="G923" t="s">
        <v>69</v>
      </c>
      <c r="H923" t="s">
        <v>70</v>
      </c>
      <c r="I923">
        <v>3</v>
      </c>
      <c r="J923">
        <v>50.33</v>
      </c>
      <c r="K923">
        <v>10</v>
      </c>
      <c r="L923">
        <v>135.88999999999999</v>
      </c>
      <c r="M923">
        <v>11.44</v>
      </c>
      <c r="N923">
        <v>48.95</v>
      </c>
      <c r="O923" t="s">
        <v>39</v>
      </c>
      <c r="P923">
        <v>2024</v>
      </c>
      <c r="Q923" t="s">
        <v>3640</v>
      </c>
      <c r="R923">
        <v>122.301</v>
      </c>
      <c r="S923">
        <v>0.400242025821539</v>
      </c>
      <c r="T923" t="s">
        <v>3632</v>
      </c>
      <c r="U923" t="s">
        <v>3633</v>
      </c>
    </row>
    <row r="924" spans="1:21" x14ac:dyDescent="0.25">
      <c r="A924" t="s">
        <v>1821</v>
      </c>
      <c r="B924" s="1">
        <v>45440</v>
      </c>
      <c r="C924" t="s">
        <v>1822</v>
      </c>
      <c r="D924" t="s">
        <v>30</v>
      </c>
      <c r="E924" t="s">
        <v>31</v>
      </c>
      <c r="F924" t="s">
        <v>19</v>
      </c>
      <c r="G924" t="s">
        <v>32</v>
      </c>
      <c r="H924" t="s">
        <v>50</v>
      </c>
      <c r="I924">
        <v>1</v>
      </c>
      <c r="J924">
        <v>23.24</v>
      </c>
      <c r="K924">
        <v>10</v>
      </c>
      <c r="L924">
        <v>20.92</v>
      </c>
      <c r="M924">
        <v>7.37</v>
      </c>
      <c r="N924">
        <v>3.09</v>
      </c>
      <c r="O924" t="s">
        <v>39</v>
      </c>
      <c r="P924">
        <v>2024</v>
      </c>
      <c r="Q924" t="s">
        <v>3640</v>
      </c>
      <c r="R924">
        <v>18.827999999999999</v>
      </c>
      <c r="S924">
        <v>0.16411727214786501</v>
      </c>
      <c r="T924" t="s">
        <v>3634</v>
      </c>
      <c r="U924" t="s">
        <v>3633</v>
      </c>
    </row>
    <row r="925" spans="1:21" x14ac:dyDescent="0.25">
      <c r="A925" t="s">
        <v>1823</v>
      </c>
      <c r="B925" s="1">
        <v>45440</v>
      </c>
      <c r="C925" t="s">
        <v>764</v>
      </c>
      <c r="D925" t="s">
        <v>30</v>
      </c>
      <c r="E925" t="s">
        <v>121</v>
      </c>
      <c r="F925" t="s">
        <v>68</v>
      </c>
      <c r="G925" t="s">
        <v>69</v>
      </c>
      <c r="H925" t="s">
        <v>305</v>
      </c>
      <c r="I925">
        <v>6</v>
      </c>
      <c r="J925">
        <v>79.95</v>
      </c>
      <c r="K925">
        <v>0</v>
      </c>
      <c r="L925">
        <v>479.7</v>
      </c>
      <c r="M925">
        <v>23.09</v>
      </c>
      <c r="N925">
        <v>216.76</v>
      </c>
      <c r="O925" t="s">
        <v>34</v>
      </c>
      <c r="P925">
        <v>2024</v>
      </c>
      <c r="Q925" t="s">
        <v>3640</v>
      </c>
      <c r="R925">
        <v>479.7</v>
      </c>
      <c r="S925">
        <v>0.45186574942672503</v>
      </c>
      <c r="T925" t="s">
        <v>3632</v>
      </c>
      <c r="U925" t="s">
        <v>3633</v>
      </c>
    </row>
    <row r="926" spans="1:21" x14ac:dyDescent="0.25">
      <c r="A926" t="s">
        <v>1824</v>
      </c>
      <c r="B926" s="1">
        <v>45441</v>
      </c>
      <c r="C926" t="s">
        <v>1825</v>
      </c>
      <c r="D926" t="s">
        <v>30</v>
      </c>
      <c r="E926" t="s">
        <v>63</v>
      </c>
      <c r="F926" t="s">
        <v>54</v>
      </c>
      <c r="G926" t="s">
        <v>32</v>
      </c>
      <c r="H926" t="s">
        <v>115</v>
      </c>
      <c r="I926">
        <v>1</v>
      </c>
      <c r="J926">
        <v>14.73</v>
      </c>
      <c r="K926">
        <v>0</v>
      </c>
      <c r="L926">
        <v>14.73</v>
      </c>
      <c r="M926">
        <v>12.36</v>
      </c>
      <c r="N926">
        <v>-4.26</v>
      </c>
      <c r="O926" t="s">
        <v>34</v>
      </c>
      <c r="P926">
        <v>2024</v>
      </c>
      <c r="Q926" t="s">
        <v>3640</v>
      </c>
      <c r="R926">
        <v>14.73</v>
      </c>
      <c r="S926">
        <v>-0.28920570264765799</v>
      </c>
      <c r="T926" t="s">
        <v>3634</v>
      </c>
      <c r="U926" t="s">
        <v>3636</v>
      </c>
    </row>
    <row r="927" spans="1:21" x14ac:dyDescent="0.25">
      <c r="A927" t="s">
        <v>1826</v>
      </c>
      <c r="B927" s="1">
        <v>45441</v>
      </c>
      <c r="C927" t="s">
        <v>1827</v>
      </c>
      <c r="D927" t="s">
        <v>17</v>
      </c>
      <c r="E927" t="s">
        <v>67</v>
      </c>
      <c r="F927" t="s">
        <v>68</v>
      </c>
      <c r="G927" t="s">
        <v>32</v>
      </c>
      <c r="H927" t="s">
        <v>101</v>
      </c>
      <c r="I927">
        <v>4</v>
      </c>
      <c r="J927">
        <v>15.35</v>
      </c>
      <c r="K927">
        <v>10</v>
      </c>
      <c r="L927">
        <v>55.26</v>
      </c>
      <c r="M927">
        <v>13.12</v>
      </c>
      <c r="N927">
        <v>14.51</v>
      </c>
      <c r="O927" t="s">
        <v>22</v>
      </c>
      <c r="P927">
        <v>2024</v>
      </c>
      <c r="Q927" t="s">
        <v>3640</v>
      </c>
      <c r="R927">
        <v>49.734000000000002</v>
      </c>
      <c r="S927">
        <v>0.29175212128523798</v>
      </c>
      <c r="T927" t="s">
        <v>3634</v>
      </c>
      <c r="U927" t="s">
        <v>3633</v>
      </c>
    </row>
    <row r="928" spans="1:21" x14ac:dyDescent="0.25">
      <c r="A928" t="s">
        <v>1828</v>
      </c>
      <c r="B928" s="1">
        <v>45442</v>
      </c>
      <c r="C928" t="s">
        <v>1829</v>
      </c>
      <c r="D928" t="s">
        <v>30</v>
      </c>
      <c r="E928" t="s">
        <v>129</v>
      </c>
      <c r="F928" t="s">
        <v>19</v>
      </c>
      <c r="G928" t="s">
        <v>20</v>
      </c>
      <c r="H928" t="s">
        <v>21</v>
      </c>
      <c r="I928">
        <v>1</v>
      </c>
      <c r="J928">
        <v>171.98</v>
      </c>
      <c r="K928">
        <v>10</v>
      </c>
      <c r="L928">
        <v>154.78</v>
      </c>
      <c r="M928">
        <v>7.29</v>
      </c>
      <c r="N928">
        <v>52.9</v>
      </c>
      <c r="O928" t="s">
        <v>34</v>
      </c>
      <c r="P928">
        <v>2024</v>
      </c>
      <c r="Q928" t="s">
        <v>3640</v>
      </c>
      <c r="R928">
        <v>139.30199999999999</v>
      </c>
      <c r="S928">
        <v>0.37975047020143299</v>
      </c>
      <c r="T928" t="s">
        <v>3632</v>
      </c>
      <c r="U928" t="s">
        <v>3633</v>
      </c>
    </row>
    <row r="929" spans="1:21" x14ac:dyDescent="0.25">
      <c r="A929" t="s">
        <v>1830</v>
      </c>
      <c r="B929" s="1">
        <v>45443</v>
      </c>
      <c r="C929" t="s">
        <v>538</v>
      </c>
      <c r="D929" t="s">
        <v>30</v>
      </c>
      <c r="E929" t="s">
        <v>138</v>
      </c>
      <c r="F929" t="s">
        <v>54</v>
      </c>
      <c r="G929" t="s">
        <v>42</v>
      </c>
      <c r="H929" t="s">
        <v>234</v>
      </c>
      <c r="I929">
        <v>1</v>
      </c>
      <c r="J929">
        <v>67.180000000000007</v>
      </c>
      <c r="K929">
        <v>0</v>
      </c>
      <c r="L929">
        <v>67.180000000000007</v>
      </c>
      <c r="M929">
        <v>12.09</v>
      </c>
      <c r="N929">
        <v>14.78</v>
      </c>
      <c r="O929" t="s">
        <v>39</v>
      </c>
      <c r="P929">
        <v>2024</v>
      </c>
      <c r="Q929" t="s">
        <v>3640</v>
      </c>
      <c r="R929">
        <v>67.180000000000007</v>
      </c>
      <c r="S929">
        <v>0.22000595415302199</v>
      </c>
      <c r="T929" t="s">
        <v>3634</v>
      </c>
      <c r="U929" t="s">
        <v>3633</v>
      </c>
    </row>
    <row r="930" spans="1:21" x14ac:dyDescent="0.25">
      <c r="A930" t="s">
        <v>1831</v>
      </c>
      <c r="B930" s="1">
        <v>45443</v>
      </c>
      <c r="C930" t="s">
        <v>1832</v>
      </c>
      <c r="D930" t="s">
        <v>30</v>
      </c>
      <c r="E930" t="s">
        <v>18</v>
      </c>
      <c r="F930" t="s">
        <v>19</v>
      </c>
      <c r="G930" t="s">
        <v>20</v>
      </c>
      <c r="H930" t="s">
        <v>264</v>
      </c>
      <c r="I930">
        <v>5</v>
      </c>
      <c r="J930">
        <v>27.93</v>
      </c>
      <c r="K930">
        <v>15</v>
      </c>
      <c r="L930">
        <v>118.7</v>
      </c>
      <c r="M930">
        <v>14.98</v>
      </c>
      <c r="N930">
        <v>26.91</v>
      </c>
      <c r="O930" t="s">
        <v>39</v>
      </c>
      <c r="P930">
        <v>2024</v>
      </c>
      <c r="Q930" t="s">
        <v>3640</v>
      </c>
      <c r="R930">
        <v>100.895</v>
      </c>
      <c r="S930">
        <v>0.266712919371624</v>
      </c>
      <c r="T930" t="s">
        <v>3632</v>
      </c>
      <c r="U930" t="s">
        <v>3633</v>
      </c>
    </row>
    <row r="931" spans="1:21" x14ac:dyDescent="0.25">
      <c r="A931" t="s">
        <v>1833</v>
      </c>
      <c r="B931" s="1">
        <v>45444</v>
      </c>
      <c r="C931" t="s">
        <v>980</v>
      </c>
      <c r="D931" t="s">
        <v>30</v>
      </c>
      <c r="E931" t="s">
        <v>92</v>
      </c>
      <c r="F931" t="s">
        <v>60</v>
      </c>
      <c r="G931" t="s">
        <v>32</v>
      </c>
      <c r="H931" t="s">
        <v>101</v>
      </c>
      <c r="I931">
        <v>2</v>
      </c>
      <c r="J931">
        <v>8.6199999999999992</v>
      </c>
      <c r="K931">
        <v>15</v>
      </c>
      <c r="L931">
        <v>14.65</v>
      </c>
      <c r="M931">
        <v>10.07</v>
      </c>
      <c r="N931">
        <v>-3.18</v>
      </c>
      <c r="O931" t="s">
        <v>34</v>
      </c>
      <c r="P931">
        <v>2024</v>
      </c>
      <c r="Q931" t="s">
        <v>3641</v>
      </c>
      <c r="R931">
        <v>12.452500000000001</v>
      </c>
      <c r="S931">
        <v>-0.25537040754868501</v>
      </c>
      <c r="T931" t="s">
        <v>3634</v>
      </c>
      <c r="U931" t="s">
        <v>3636</v>
      </c>
    </row>
    <row r="932" spans="1:21" x14ac:dyDescent="0.25">
      <c r="A932" t="s">
        <v>1834</v>
      </c>
      <c r="B932" s="1">
        <v>45445</v>
      </c>
      <c r="C932" t="s">
        <v>1835</v>
      </c>
      <c r="D932" t="s">
        <v>49</v>
      </c>
      <c r="E932" t="s">
        <v>135</v>
      </c>
      <c r="F932" t="s">
        <v>26</v>
      </c>
      <c r="G932" t="s">
        <v>42</v>
      </c>
      <c r="H932" t="s">
        <v>118</v>
      </c>
      <c r="I932">
        <v>7</v>
      </c>
      <c r="J932">
        <v>77.63</v>
      </c>
      <c r="K932">
        <v>15</v>
      </c>
      <c r="L932">
        <v>461.9</v>
      </c>
      <c r="M932">
        <v>11.64</v>
      </c>
      <c r="N932">
        <v>124.21</v>
      </c>
      <c r="O932" t="s">
        <v>34</v>
      </c>
      <c r="P932">
        <v>2024</v>
      </c>
      <c r="Q932" t="s">
        <v>3641</v>
      </c>
      <c r="R932">
        <v>392.61500000000001</v>
      </c>
      <c r="S932">
        <v>0.31636590553086402</v>
      </c>
      <c r="T932" t="s">
        <v>3632</v>
      </c>
      <c r="U932" t="s">
        <v>3633</v>
      </c>
    </row>
    <row r="933" spans="1:21" x14ac:dyDescent="0.25">
      <c r="A933" t="s">
        <v>1836</v>
      </c>
      <c r="B933" s="1">
        <v>45446</v>
      </c>
      <c r="C933" t="s">
        <v>1837</v>
      </c>
      <c r="D933" t="s">
        <v>30</v>
      </c>
      <c r="E933" t="s">
        <v>166</v>
      </c>
      <c r="F933" t="s">
        <v>60</v>
      </c>
      <c r="G933" t="s">
        <v>32</v>
      </c>
      <c r="H933" t="s">
        <v>101</v>
      </c>
      <c r="I933">
        <v>2</v>
      </c>
      <c r="J933">
        <v>18.62</v>
      </c>
      <c r="K933">
        <v>10</v>
      </c>
      <c r="L933">
        <v>33.520000000000003</v>
      </c>
      <c r="M933">
        <v>12.51</v>
      </c>
      <c r="N933">
        <v>4.25</v>
      </c>
      <c r="O933" t="s">
        <v>56</v>
      </c>
      <c r="P933">
        <v>2024</v>
      </c>
      <c r="Q933" t="s">
        <v>3641</v>
      </c>
      <c r="R933">
        <v>30.167999999999999</v>
      </c>
      <c r="S933">
        <v>0.14087775125961299</v>
      </c>
      <c r="T933" t="s">
        <v>3634</v>
      </c>
      <c r="U933" t="s">
        <v>3633</v>
      </c>
    </row>
    <row r="934" spans="1:21" x14ac:dyDescent="0.25">
      <c r="A934" t="s">
        <v>1838</v>
      </c>
      <c r="B934" s="1">
        <v>45446</v>
      </c>
      <c r="C934" t="s">
        <v>1839</v>
      </c>
      <c r="D934" t="s">
        <v>49</v>
      </c>
      <c r="E934" t="s">
        <v>85</v>
      </c>
      <c r="F934" t="s">
        <v>60</v>
      </c>
      <c r="G934" t="s">
        <v>42</v>
      </c>
      <c r="H934" t="s">
        <v>43</v>
      </c>
      <c r="I934">
        <v>2</v>
      </c>
      <c r="J934">
        <v>205.48</v>
      </c>
      <c r="K934">
        <v>5</v>
      </c>
      <c r="L934">
        <v>390.41</v>
      </c>
      <c r="M934">
        <v>12.79</v>
      </c>
      <c r="N934">
        <v>131.04</v>
      </c>
      <c r="O934" t="s">
        <v>34</v>
      </c>
      <c r="P934">
        <v>2024</v>
      </c>
      <c r="Q934" t="s">
        <v>3641</v>
      </c>
      <c r="R934">
        <v>370.8895</v>
      </c>
      <c r="S934">
        <v>0.35331277914311399</v>
      </c>
      <c r="T934" t="s">
        <v>3632</v>
      </c>
      <c r="U934" t="s">
        <v>3633</v>
      </c>
    </row>
    <row r="935" spans="1:21" x14ac:dyDescent="0.25">
      <c r="A935" t="s">
        <v>1840</v>
      </c>
      <c r="B935" s="1">
        <v>45447</v>
      </c>
      <c r="C935" t="s">
        <v>425</v>
      </c>
      <c r="D935" t="s">
        <v>30</v>
      </c>
      <c r="E935" t="s">
        <v>18</v>
      </c>
      <c r="F935" t="s">
        <v>19</v>
      </c>
      <c r="G935" t="s">
        <v>42</v>
      </c>
      <c r="H935" t="s">
        <v>43</v>
      </c>
      <c r="I935">
        <v>2</v>
      </c>
      <c r="J935">
        <v>212.46</v>
      </c>
      <c r="K935">
        <v>5</v>
      </c>
      <c r="L935">
        <v>403.67</v>
      </c>
      <c r="M935">
        <v>8.24</v>
      </c>
      <c r="N935">
        <v>140.47999999999999</v>
      </c>
      <c r="O935" t="s">
        <v>22</v>
      </c>
      <c r="P935">
        <v>2024</v>
      </c>
      <c r="Q935" t="s">
        <v>3641</v>
      </c>
      <c r="R935">
        <v>383.48649999999998</v>
      </c>
      <c r="S935">
        <v>0.36632319521026202</v>
      </c>
      <c r="T935" t="s">
        <v>3632</v>
      </c>
      <c r="U935" t="s">
        <v>3633</v>
      </c>
    </row>
    <row r="936" spans="1:21" x14ac:dyDescent="0.25">
      <c r="A936" t="s">
        <v>1841</v>
      </c>
      <c r="B936" s="1">
        <v>45447</v>
      </c>
      <c r="C936" t="s">
        <v>1842</v>
      </c>
      <c r="D936" t="s">
        <v>30</v>
      </c>
      <c r="E936" t="s">
        <v>31</v>
      </c>
      <c r="F936" t="s">
        <v>19</v>
      </c>
      <c r="G936" t="s">
        <v>42</v>
      </c>
      <c r="H936" t="s">
        <v>294</v>
      </c>
      <c r="I936">
        <v>2</v>
      </c>
      <c r="J936">
        <v>232.65</v>
      </c>
      <c r="K936">
        <v>0</v>
      </c>
      <c r="L936">
        <v>465.3</v>
      </c>
      <c r="M936">
        <v>6.74</v>
      </c>
      <c r="N936">
        <v>179.38</v>
      </c>
      <c r="O936" t="s">
        <v>34</v>
      </c>
      <c r="P936">
        <v>2024</v>
      </c>
      <c r="Q936" t="s">
        <v>3641</v>
      </c>
      <c r="R936">
        <v>465.3</v>
      </c>
      <c r="S936">
        <v>0.385514721684934</v>
      </c>
      <c r="T936" t="s">
        <v>3632</v>
      </c>
      <c r="U936" t="s">
        <v>3633</v>
      </c>
    </row>
    <row r="937" spans="1:21" x14ac:dyDescent="0.25">
      <c r="A937" t="s">
        <v>1843</v>
      </c>
      <c r="B937" s="1">
        <v>45448</v>
      </c>
      <c r="C937" t="s">
        <v>1844</v>
      </c>
      <c r="D937" t="s">
        <v>49</v>
      </c>
      <c r="E937" t="s">
        <v>92</v>
      </c>
      <c r="F937" t="s">
        <v>60</v>
      </c>
      <c r="G937" t="s">
        <v>69</v>
      </c>
      <c r="H937" t="s">
        <v>160</v>
      </c>
      <c r="I937">
        <v>1</v>
      </c>
      <c r="J937">
        <v>33.979999999999997</v>
      </c>
      <c r="K937">
        <v>5</v>
      </c>
      <c r="L937">
        <v>32.28</v>
      </c>
      <c r="M937">
        <v>9.6300000000000008</v>
      </c>
      <c r="N937">
        <v>5.66</v>
      </c>
      <c r="O937" t="s">
        <v>22</v>
      </c>
      <c r="P937">
        <v>2024</v>
      </c>
      <c r="Q937" t="s">
        <v>3641</v>
      </c>
      <c r="R937">
        <v>30.666</v>
      </c>
      <c r="S937">
        <v>0.18456922976586401</v>
      </c>
      <c r="T937" t="s">
        <v>3634</v>
      </c>
      <c r="U937" t="s">
        <v>3633</v>
      </c>
    </row>
    <row r="938" spans="1:21" x14ac:dyDescent="0.25">
      <c r="A938" t="s">
        <v>1845</v>
      </c>
      <c r="B938" s="1">
        <v>45450</v>
      </c>
      <c r="C938" t="s">
        <v>1846</v>
      </c>
      <c r="D938" t="s">
        <v>49</v>
      </c>
      <c r="E938" t="s">
        <v>121</v>
      </c>
      <c r="F938" t="s">
        <v>68</v>
      </c>
      <c r="G938" t="s">
        <v>69</v>
      </c>
      <c r="H938" t="s">
        <v>305</v>
      </c>
      <c r="I938">
        <v>1</v>
      </c>
      <c r="J938">
        <v>47.83</v>
      </c>
      <c r="K938">
        <v>20</v>
      </c>
      <c r="L938">
        <v>38.26</v>
      </c>
      <c r="M938">
        <v>10.96</v>
      </c>
      <c r="N938">
        <v>3.38</v>
      </c>
      <c r="O938" t="s">
        <v>34</v>
      </c>
      <c r="P938">
        <v>2024</v>
      </c>
      <c r="Q938" t="s">
        <v>3641</v>
      </c>
      <c r="R938">
        <v>30.608000000000001</v>
      </c>
      <c r="S938">
        <v>0.110428646105593</v>
      </c>
      <c r="T938" t="s">
        <v>3634</v>
      </c>
      <c r="U938" t="s">
        <v>3633</v>
      </c>
    </row>
    <row r="939" spans="1:21" x14ac:dyDescent="0.25">
      <c r="A939" t="s">
        <v>1847</v>
      </c>
      <c r="B939" s="1">
        <v>45451</v>
      </c>
      <c r="C939" t="s">
        <v>1848</v>
      </c>
      <c r="D939" t="s">
        <v>17</v>
      </c>
      <c r="E939" t="s">
        <v>37</v>
      </c>
      <c r="F939" t="s">
        <v>26</v>
      </c>
      <c r="G939" t="s">
        <v>32</v>
      </c>
      <c r="H939" t="s">
        <v>348</v>
      </c>
      <c r="I939">
        <v>1</v>
      </c>
      <c r="J939">
        <v>10.5</v>
      </c>
      <c r="K939">
        <v>0</v>
      </c>
      <c r="L939">
        <v>10.5</v>
      </c>
      <c r="M939">
        <v>8.64</v>
      </c>
      <c r="N939">
        <v>-2.87</v>
      </c>
      <c r="O939" t="s">
        <v>34</v>
      </c>
      <c r="P939">
        <v>2024</v>
      </c>
      <c r="Q939" t="s">
        <v>3641</v>
      </c>
      <c r="R939">
        <v>10.5</v>
      </c>
      <c r="S939">
        <v>-0.27333333333333298</v>
      </c>
      <c r="T939" t="s">
        <v>3634</v>
      </c>
      <c r="U939" t="s">
        <v>3636</v>
      </c>
    </row>
    <row r="940" spans="1:21" x14ac:dyDescent="0.25">
      <c r="A940" t="s">
        <v>1849</v>
      </c>
      <c r="B940" s="1">
        <v>45452</v>
      </c>
      <c r="C940" t="s">
        <v>1850</v>
      </c>
      <c r="D940" t="s">
        <v>49</v>
      </c>
      <c r="E940" t="s">
        <v>121</v>
      </c>
      <c r="F940" t="s">
        <v>68</v>
      </c>
      <c r="G940" t="s">
        <v>42</v>
      </c>
      <c r="H940" t="s">
        <v>234</v>
      </c>
      <c r="I940">
        <v>3</v>
      </c>
      <c r="J940">
        <v>26.36</v>
      </c>
      <c r="K940">
        <v>15</v>
      </c>
      <c r="L940">
        <v>67.22</v>
      </c>
      <c r="M940">
        <v>14.59</v>
      </c>
      <c r="N940">
        <v>5.18</v>
      </c>
      <c r="O940" t="s">
        <v>39</v>
      </c>
      <c r="P940">
        <v>2024</v>
      </c>
      <c r="Q940" t="s">
        <v>3641</v>
      </c>
      <c r="R940">
        <v>57.137</v>
      </c>
      <c r="S940">
        <v>9.0659292577489198E-2</v>
      </c>
      <c r="T940" t="s">
        <v>3634</v>
      </c>
      <c r="U940" t="s">
        <v>3633</v>
      </c>
    </row>
    <row r="941" spans="1:21" x14ac:dyDescent="0.25">
      <c r="A941" t="s">
        <v>1851</v>
      </c>
      <c r="B941" s="1">
        <v>45452</v>
      </c>
      <c r="C941" t="s">
        <v>1852</v>
      </c>
      <c r="D941" t="s">
        <v>30</v>
      </c>
      <c r="E941" t="s">
        <v>129</v>
      </c>
      <c r="F941" t="s">
        <v>19</v>
      </c>
      <c r="G941" t="s">
        <v>69</v>
      </c>
      <c r="H941" t="s">
        <v>163</v>
      </c>
      <c r="I941">
        <v>3</v>
      </c>
      <c r="J941">
        <v>63.86</v>
      </c>
      <c r="K941">
        <v>5</v>
      </c>
      <c r="L941">
        <v>182</v>
      </c>
      <c r="M941">
        <v>10.77</v>
      </c>
      <c r="N941">
        <v>75.44</v>
      </c>
      <c r="O941" t="s">
        <v>39</v>
      </c>
      <c r="P941">
        <v>2024</v>
      </c>
      <c r="Q941" t="s">
        <v>3641</v>
      </c>
      <c r="R941">
        <v>172.9</v>
      </c>
      <c r="S941">
        <v>0.43632157316367798</v>
      </c>
      <c r="T941" t="s">
        <v>3632</v>
      </c>
      <c r="U941" t="s">
        <v>3633</v>
      </c>
    </row>
    <row r="942" spans="1:21" x14ac:dyDescent="0.25">
      <c r="A942" t="s">
        <v>1853</v>
      </c>
      <c r="B942" s="1">
        <v>45452</v>
      </c>
      <c r="C942" t="s">
        <v>162</v>
      </c>
      <c r="D942" t="s">
        <v>30</v>
      </c>
      <c r="E942" t="s">
        <v>18</v>
      </c>
      <c r="F942" t="s">
        <v>19</v>
      </c>
      <c r="G942" t="s">
        <v>69</v>
      </c>
      <c r="H942" t="s">
        <v>139</v>
      </c>
      <c r="I942">
        <v>3</v>
      </c>
      <c r="J942">
        <v>29.47</v>
      </c>
      <c r="K942">
        <v>10</v>
      </c>
      <c r="L942">
        <v>79.569999999999993</v>
      </c>
      <c r="M942">
        <v>12.1</v>
      </c>
      <c r="N942">
        <v>23.26</v>
      </c>
      <c r="O942" t="s">
        <v>34</v>
      </c>
      <c r="P942">
        <v>2024</v>
      </c>
      <c r="Q942" t="s">
        <v>3641</v>
      </c>
      <c r="R942">
        <v>71.613</v>
      </c>
      <c r="S942">
        <v>0.324801362881041</v>
      </c>
      <c r="T942" t="s">
        <v>3634</v>
      </c>
      <c r="U942" t="s">
        <v>3633</v>
      </c>
    </row>
    <row r="943" spans="1:21" x14ac:dyDescent="0.25">
      <c r="A943" t="s">
        <v>1854</v>
      </c>
      <c r="B943" s="1">
        <v>45453</v>
      </c>
      <c r="C943" t="s">
        <v>1855</v>
      </c>
      <c r="D943" t="s">
        <v>30</v>
      </c>
      <c r="E943" t="s">
        <v>18</v>
      </c>
      <c r="F943" t="s">
        <v>19</v>
      </c>
      <c r="G943" t="s">
        <v>69</v>
      </c>
      <c r="H943" t="s">
        <v>163</v>
      </c>
      <c r="I943">
        <v>1</v>
      </c>
      <c r="J943">
        <v>26.54</v>
      </c>
      <c r="K943">
        <v>5</v>
      </c>
      <c r="L943">
        <v>25.21</v>
      </c>
      <c r="M943">
        <v>6.91</v>
      </c>
      <c r="N943">
        <v>5.03</v>
      </c>
      <c r="O943" t="s">
        <v>22</v>
      </c>
      <c r="P943">
        <v>2024</v>
      </c>
      <c r="Q943" t="s">
        <v>3641</v>
      </c>
      <c r="R943">
        <v>23.9495</v>
      </c>
      <c r="S943">
        <v>0.210025261487714</v>
      </c>
      <c r="T943" t="s">
        <v>3634</v>
      </c>
      <c r="U943" t="s">
        <v>3633</v>
      </c>
    </row>
    <row r="944" spans="1:21" x14ac:dyDescent="0.25">
      <c r="A944" t="s">
        <v>1856</v>
      </c>
      <c r="B944" s="1">
        <v>45455</v>
      </c>
      <c r="C944" t="s">
        <v>1857</v>
      </c>
      <c r="D944" t="s">
        <v>30</v>
      </c>
      <c r="E944" t="s">
        <v>92</v>
      </c>
      <c r="F944" t="s">
        <v>60</v>
      </c>
      <c r="G944" t="s">
        <v>69</v>
      </c>
      <c r="H944" t="s">
        <v>98</v>
      </c>
      <c r="I944">
        <v>5</v>
      </c>
      <c r="J944">
        <v>49.62</v>
      </c>
      <c r="K944">
        <v>10</v>
      </c>
      <c r="L944">
        <v>223.29</v>
      </c>
      <c r="M944">
        <v>20.46</v>
      </c>
      <c r="N944">
        <v>78.78</v>
      </c>
      <c r="O944" t="s">
        <v>22</v>
      </c>
      <c r="P944">
        <v>2024</v>
      </c>
      <c r="Q944" t="s">
        <v>3641</v>
      </c>
      <c r="R944">
        <v>200.96100000000001</v>
      </c>
      <c r="S944">
        <v>0.392016361383552</v>
      </c>
      <c r="T944" t="s">
        <v>3632</v>
      </c>
      <c r="U944" t="s">
        <v>3633</v>
      </c>
    </row>
    <row r="945" spans="1:21" x14ac:dyDescent="0.25">
      <c r="A945" t="s">
        <v>1858</v>
      </c>
      <c r="B945" s="1">
        <v>45455</v>
      </c>
      <c r="C945" t="s">
        <v>1311</v>
      </c>
      <c r="D945" t="s">
        <v>30</v>
      </c>
      <c r="E945" t="s">
        <v>67</v>
      </c>
      <c r="F945" t="s">
        <v>68</v>
      </c>
      <c r="G945" t="s">
        <v>20</v>
      </c>
      <c r="H945" t="s">
        <v>175</v>
      </c>
      <c r="I945">
        <v>3</v>
      </c>
      <c r="J945">
        <v>44.11</v>
      </c>
      <c r="K945">
        <v>0</v>
      </c>
      <c r="L945">
        <v>132.33000000000001</v>
      </c>
      <c r="M945">
        <v>13.19</v>
      </c>
      <c r="N945">
        <v>46.36</v>
      </c>
      <c r="O945" t="s">
        <v>34</v>
      </c>
      <c r="P945">
        <v>2024</v>
      </c>
      <c r="Q945" t="s">
        <v>3641</v>
      </c>
      <c r="R945">
        <v>132.33000000000001</v>
      </c>
      <c r="S945">
        <v>0.35033628051084398</v>
      </c>
      <c r="T945" t="s">
        <v>3632</v>
      </c>
      <c r="U945" t="s">
        <v>3633</v>
      </c>
    </row>
    <row r="946" spans="1:21" x14ac:dyDescent="0.25">
      <c r="A946" t="s">
        <v>1859</v>
      </c>
      <c r="B946" s="1">
        <v>45455</v>
      </c>
      <c r="C946" t="s">
        <v>1860</v>
      </c>
      <c r="D946" t="s">
        <v>17</v>
      </c>
      <c r="E946" t="s">
        <v>59</v>
      </c>
      <c r="F946" t="s">
        <v>60</v>
      </c>
      <c r="G946" t="s">
        <v>20</v>
      </c>
      <c r="H946" t="s">
        <v>264</v>
      </c>
      <c r="I946">
        <v>4</v>
      </c>
      <c r="J946">
        <v>65.92</v>
      </c>
      <c r="K946">
        <v>15</v>
      </c>
      <c r="L946">
        <v>224.13</v>
      </c>
      <c r="M946">
        <v>12.79</v>
      </c>
      <c r="N946">
        <v>66.319999999999993</v>
      </c>
      <c r="O946" t="s">
        <v>39</v>
      </c>
      <c r="P946">
        <v>2024</v>
      </c>
      <c r="Q946" t="s">
        <v>3641</v>
      </c>
      <c r="R946">
        <v>190.51050000000001</v>
      </c>
      <c r="S946">
        <v>0.34811729537217101</v>
      </c>
      <c r="T946" t="s">
        <v>3632</v>
      </c>
      <c r="U946" t="s">
        <v>3633</v>
      </c>
    </row>
    <row r="947" spans="1:21" x14ac:dyDescent="0.25">
      <c r="A947" t="s">
        <v>1861</v>
      </c>
      <c r="B947" s="1">
        <v>45457</v>
      </c>
      <c r="C947" t="s">
        <v>942</v>
      </c>
      <c r="D947" t="s">
        <v>17</v>
      </c>
      <c r="E947" t="s">
        <v>138</v>
      </c>
      <c r="F947" t="s">
        <v>54</v>
      </c>
      <c r="G947" t="s">
        <v>20</v>
      </c>
      <c r="H947" t="s">
        <v>199</v>
      </c>
      <c r="I947">
        <v>2</v>
      </c>
      <c r="J947">
        <v>187.45</v>
      </c>
      <c r="K947">
        <v>15</v>
      </c>
      <c r="L947">
        <v>318.66000000000003</v>
      </c>
      <c r="M947">
        <v>15.26</v>
      </c>
      <c r="N947">
        <v>97.21</v>
      </c>
      <c r="O947" t="s">
        <v>22</v>
      </c>
      <c r="P947">
        <v>2024</v>
      </c>
      <c r="Q947" t="s">
        <v>3641</v>
      </c>
      <c r="R947">
        <v>270.86099999999999</v>
      </c>
      <c r="S947">
        <v>0.358892568513001</v>
      </c>
      <c r="T947" t="s">
        <v>3632</v>
      </c>
      <c r="U947" t="s">
        <v>3633</v>
      </c>
    </row>
    <row r="948" spans="1:21" x14ac:dyDescent="0.25">
      <c r="A948" t="s">
        <v>1862</v>
      </c>
      <c r="B948" s="1">
        <v>45458</v>
      </c>
      <c r="C948" t="s">
        <v>1863</v>
      </c>
      <c r="D948" t="s">
        <v>49</v>
      </c>
      <c r="E948" t="s">
        <v>18</v>
      </c>
      <c r="F948" t="s">
        <v>19</v>
      </c>
      <c r="G948" t="s">
        <v>69</v>
      </c>
      <c r="H948" t="s">
        <v>163</v>
      </c>
      <c r="I948">
        <v>1</v>
      </c>
      <c r="J948">
        <v>41.69</v>
      </c>
      <c r="K948">
        <v>5</v>
      </c>
      <c r="L948">
        <v>39.61</v>
      </c>
      <c r="M948">
        <v>5.53</v>
      </c>
      <c r="N948">
        <v>13.23</v>
      </c>
      <c r="O948" t="s">
        <v>39</v>
      </c>
      <c r="P948">
        <v>2024</v>
      </c>
      <c r="Q948" t="s">
        <v>3641</v>
      </c>
      <c r="R948">
        <v>37.6295</v>
      </c>
      <c r="S948">
        <v>0.35158585684104199</v>
      </c>
      <c r="T948" t="s">
        <v>3634</v>
      </c>
      <c r="U948" t="s">
        <v>3633</v>
      </c>
    </row>
    <row r="949" spans="1:21" x14ac:dyDescent="0.25">
      <c r="A949" t="s">
        <v>1864</v>
      </c>
      <c r="B949" s="1">
        <v>45458</v>
      </c>
      <c r="C949" t="s">
        <v>1865</v>
      </c>
      <c r="D949" t="s">
        <v>49</v>
      </c>
      <c r="E949" t="s">
        <v>129</v>
      </c>
      <c r="F949" t="s">
        <v>19</v>
      </c>
      <c r="G949" t="s">
        <v>32</v>
      </c>
      <c r="H949" t="s">
        <v>73</v>
      </c>
      <c r="I949">
        <v>2</v>
      </c>
      <c r="J949">
        <v>3.65</v>
      </c>
      <c r="K949">
        <v>5</v>
      </c>
      <c r="L949">
        <v>6.93</v>
      </c>
      <c r="M949">
        <v>9.09</v>
      </c>
      <c r="N949">
        <v>-5.45</v>
      </c>
      <c r="O949" t="s">
        <v>39</v>
      </c>
      <c r="P949">
        <v>2024</v>
      </c>
      <c r="Q949" t="s">
        <v>3641</v>
      </c>
      <c r="R949">
        <v>6.5834999999999999</v>
      </c>
      <c r="S949">
        <v>-0.82782714361661702</v>
      </c>
      <c r="T949" t="s">
        <v>3634</v>
      </c>
      <c r="U949" t="s">
        <v>3636</v>
      </c>
    </row>
    <row r="950" spans="1:21" x14ac:dyDescent="0.25">
      <c r="A950" t="s">
        <v>1866</v>
      </c>
      <c r="B950" s="1">
        <v>45458</v>
      </c>
      <c r="C950" t="s">
        <v>825</v>
      </c>
      <c r="D950" t="s">
        <v>17</v>
      </c>
      <c r="E950" t="s">
        <v>31</v>
      </c>
      <c r="F950" t="s">
        <v>19</v>
      </c>
      <c r="G950" t="s">
        <v>20</v>
      </c>
      <c r="H950" t="s">
        <v>199</v>
      </c>
      <c r="I950">
        <v>5</v>
      </c>
      <c r="J950">
        <v>190.99</v>
      </c>
      <c r="K950">
        <v>5</v>
      </c>
      <c r="L950">
        <v>907.2</v>
      </c>
      <c r="M950">
        <v>14.34</v>
      </c>
      <c r="N950">
        <v>367.64</v>
      </c>
      <c r="O950" t="s">
        <v>56</v>
      </c>
      <c r="P950">
        <v>2024</v>
      </c>
      <c r="Q950" t="s">
        <v>3641</v>
      </c>
      <c r="R950">
        <v>861.84</v>
      </c>
      <c r="S950">
        <v>0.42657569850552302</v>
      </c>
      <c r="T950" t="s">
        <v>3635</v>
      </c>
      <c r="U950" t="s">
        <v>3633</v>
      </c>
    </row>
    <row r="951" spans="1:21" x14ac:dyDescent="0.25">
      <c r="A951" t="s">
        <v>1867</v>
      </c>
      <c r="B951" s="1">
        <v>45459</v>
      </c>
      <c r="C951" t="s">
        <v>1868</v>
      </c>
      <c r="D951" t="s">
        <v>30</v>
      </c>
      <c r="E951" t="s">
        <v>37</v>
      </c>
      <c r="F951" t="s">
        <v>26</v>
      </c>
      <c r="G951" t="s">
        <v>42</v>
      </c>
      <c r="H951" t="s">
        <v>118</v>
      </c>
      <c r="I951">
        <v>2</v>
      </c>
      <c r="J951">
        <v>50.55</v>
      </c>
      <c r="K951">
        <v>0</v>
      </c>
      <c r="L951">
        <v>101.1</v>
      </c>
      <c r="M951">
        <v>11.26</v>
      </c>
      <c r="N951">
        <v>29.18</v>
      </c>
      <c r="O951" t="s">
        <v>39</v>
      </c>
      <c r="P951">
        <v>2024</v>
      </c>
      <c r="Q951" t="s">
        <v>3641</v>
      </c>
      <c r="R951">
        <v>101.1</v>
      </c>
      <c r="S951">
        <v>0.28862512363996001</v>
      </c>
      <c r="T951" t="s">
        <v>3632</v>
      </c>
      <c r="U951" t="s">
        <v>3633</v>
      </c>
    </row>
    <row r="952" spans="1:21" x14ac:dyDescent="0.25">
      <c r="A952" t="s">
        <v>1869</v>
      </c>
      <c r="B952" s="1">
        <v>45461</v>
      </c>
      <c r="C952" t="s">
        <v>1870</v>
      </c>
      <c r="D952" t="s">
        <v>17</v>
      </c>
      <c r="E952" t="s">
        <v>129</v>
      </c>
      <c r="F952" t="s">
        <v>19</v>
      </c>
      <c r="G952" t="s">
        <v>69</v>
      </c>
      <c r="H952" t="s">
        <v>305</v>
      </c>
      <c r="I952">
        <v>5</v>
      </c>
      <c r="J952">
        <v>61.44</v>
      </c>
      <c r="K952">
        <v>5</v>
      </c>
      <c r="L952">
        <v>291.83999999999997</v>
      </c>
      <c r="M952">
        <v>10.220000000000001</v>
      </c>
      <c r="N952">
        <v>128.02000000000001</v>
      </c>
      <c r="O952" t="s">
        <v>34</v>
      </c>
      <c r="P952">
        <v>2024</v>
      </c>
      <c r="Q952" t="s">
        <v>3641</v>
      </c>
      <c r="R952">
        <v>277.24799999999999</v>
      </c>
      <c r="S952">
        <v>0.46175265466297299</v>
      </c>
      <c r="T952" t="s">
        <v>3632</v>
      </c>
      <c r="U952" t="s">
        <v>3633</v>
      </c>
    </row>
    <row r="953" spans="1:21" x14ac:dyDescent="0.25">
      <c r="A953" t="s">
        <v>1871</v>
      </c>
      <c r="B953" s="1">
        <v>45461</v>
      </c>
      <c r="C953" t="s">
        <v>1872</v>
      </c>
      <c r="D953" t="s">
        <v>17</v>
      </c>
      <c r="E953" t="s">
        <v>121</v>
      </c>
      <c r="F953" t="s">
        <v>68</v>
      </c>
      <c r="G953" t="s">
        <v>42</v>
      </c>
      <c r="H953" t="s">
        <v>46</v>
      </c>
      <c r="I953">
        <v>6</v>
      </c>
      <c r="J953">
        <v>84.46</v>
      </c>
      <c r="K953">
        <v>10</v>
      </c>
      <c r="L953">
        <v>456.08</v>
      </c>
      <c r="M953">
        <v>22.68</v>
      </c>
      <c r="N953">
        <v>129.34</v>
      </c>
      <c r="O953" t="s">
        <v>34</v>
      </c>
      <c r="P953">
        <v>2024</v>
      </c>
      <c r="Q953" t="s">
        <v>3641</v>
      </c>
      <c r="R953">
        <v>410.47199999999998</v>
      </c>
      <c r="S953">
        <v>0.31510066460075198</v>
      </c>
      <c r="T953" t="s">
        <v>3632</v>
      </c>
      <c r="U953" t="s">
        <v>3633</v>
      </c>
    </row>
    <row r="954" spans="1:21" x14ac:dyDescent="0.25">
      <c r="A954" t="s">
        <v>1873</v>
      </c>
      <c r="B954" s="1">
        <v>45461</v>
      </c>
      <c r="C954" t="s">
        <v>1874</v>
      </c>
      <c r="D954" t="s">
        <v>17</v>
      </c>
      <c r="E954" t="s">
        <v>129</v>
      </c>
      <c r="F954" t="s">
        <v>19</v>
      </c>
      <c r="G954" t="s">
        <v>20</v>
      </c>
      <c r="H954" t="s">
        <v>55</v>
      </c>
      <c r="I954">
        <v>4</v>
      </c>
      <c r="J954">
        <v>53.44</v>
      </c>
      <c r="K954">
        <v>10</v>
      </c>
      <c r="L954">
        <v>192.38</v>
      </c>
      <c r="M954">
        <v>10.74</v>
      </c>
      <c r="N954">
        <v>64.069999999999993</v>
      </c>
      <c r="O954" t="s">
        <v>34</v>
      </c>
      <c r="P954">
        <v>2024</v>
      </c>
      <c r="Q954" t="s">
        <v>3641</v>
      </c>
      <c r="R954">
        <v>173.142</v>
      </c>
      <c r="S954">
        <v>0.37004308602187802</v>
      </c>
      <c r="T954" t="s">
        <v>3632</v>
      </c>
      <c r="U954" t="s">
        <v>3633</v>
      </c>
    </row>
    <row r="955" spans="1:21" x14ac:dyDescent="0.25">
      <c r="A955" t="s">
        <v>1875</v>
      </c>
      <c r="B955" s="1">
        <v>45462</v>
      </c>
      <c r="C955" t="s">
        <v>1876</v>
      </c>
      <c r="D955" t="s">
        <v>30</v>
      </c>
      <c r="E955" t="s">
        <v>31</v>
      </c>
      <c r="F955" t="s">
        <v>19</v>
      </c>
      <c r="G955" t="s">
        <v>69</v>
      </c>
      <c r="H955" t="s">
        <v>305</v>
      </c>
      <c r="I955">
        <v>2</v>
      </c>
      <c r="J955">
        <v>39.409999999999997</v>
      </c>
      <c r="K955">
        <v>5</v>
      </c>
      <c r="L955">
        <v>74.88</v>
      </c>
      <c r="M955">
        <v>8.06</v>
      </c>
      <c r="N955">
        <v>27.41</v>
      </c>
      <c r="O955" t="s">
        <v>39</v>
      </c>
      <c r="P955">
        <v>2024</v>
      </c>
      <c r="Q955" t="s">
        <v>3641</v>
      </c>
      <c r="R955">
        <v>71.135999999999996</v>
      </c>
      <c r="S955">
        <v>0.38531826360773702</v>
      </c>
      <c r="T955" t="s">
        <v>3634</v>
      </c>
      <c r="U955" t="s">
        <v>3633</v>
      </c>
    </row>
    <row r="956" spans="1:21" x14ac:dyDescent="0.25">
      <c r="A956" t="s">
        <v>1877</v>
      </c>
      <c r="B956" s="1">
        <v>45462</v>
      </c>
      <c r="C956" t="s">
        <v>1878</v>
      </c>
      <c r="D956" t="s">
        <v>30</v>
      </c>
      <c r="E956" t="s">
        <v>121</v>
      </c>
      <c r="F956" t="s">
        <v>68</v>
      </c>
      <c r="G956" t="s">
        <v>20</v>
      </c>
      <c r="H956" t="s">
        <v>21</v>
      </c>
      <c r="I956">
        <v>1</v>
      </c>
      <c r="J956">
        <v>214.3</v>
      </c>
      <c r="K956">
        <v>5</v>
      </c>
      <c r="L956">
        <v>203.59</v>
      </c>
      <c r="M956">
        <v>11.22</v>
      </c>
      <c r="N956">
        <v>74.5</v>
      </c>
      <c r="O956" t="s">
        <v>34</v>
      </c>
      <c r="P956">
        <v>2024</v>
      </c>
      <c r="Q956" t="s">
        <v>3641</v>
      </c>
      <c r="R956">
        <v>193.41050000000001</v>
      </c>
      <c r="S956">
        <v>0.38519108321419998</v>
      </c>
      <c r="T956" t="s">
        <v>3632</v>
      </c>
      <c r="U956" t="s">
        <v>3633</v>
      </c>
    </row>
    <row r="957" spans="1:21" x14ac:dyDescent="0.25">
      <c r="A957" t="s">
        <v>1879</v>
      </c>
      <c r="B957" s="1">
        <v>45463</v>
      </c>
      <c r="C957" t="s">
        <v>1880</v>
      </c>
      <c r="D957" t="s">
        <v>30</v>
      </c>
      <c r="E957" t="s">
        <v>129</v>
      </c>
      <c r="F957" t="s">
        <v>19</v>
      </c>
      <c r="G957" t="s">
        <v>20</v>
      </c>
      <c r="H957" t="s">
        <v>122</v>
      </c>
      <c r="I957">
        <v>6</v>
      </c>
      <c r="J957">
        <v>88.33</v>
      </c>
      <c r="K957">
        <v>5</v>
      </c>
      <c r="L957">
        <v>503.48</v>
      </c>
      <c r="M957">
        <v>13.32</v>
      </c>
      <c r="N957">
        <v>198.67</v>
      </c>
      <c r="O957" t="s">
        <v>39</v>
      </c>
      <c r="P957">
        <v>2024</v>
      </c>
      <c r="Q957" t="s">
        <v>3641</v>
      </c>
      <c r="R957">
        <v>478.30599999999998</v>
      </c>
      <c r="S957">
        <v>0.415361714049165</v>
      </c>
      <c r="T957" t="s">
        <v>3635</v>
      </c>
      <c r="U957" t="s">
        <v>3633</v>
      </c>
    </row>
    <row r="958" spans="1:21" x14ac:dyDescent="0.25">
      <c r="A958" t="s">
        <v>1881</v>
      </c>
      <c r="B958" s="1">
        <v>45463</v>
      </c>
      <c r="C958" t="s">
        <v>1882</v>
      </c>
      <c r="D958" t="s">
        <v>17</v>
      </c>
      <c r="E958" t="s">
        <v>129</v>
      </c>
      <c r="F958" t="s">
        <v>19</v>
      </c>
      <c r="G958" t="s">
        <v>69</v>
      </c>
      <c r="H958" t="s">
        <v>139</v>
      </c>
      <c r="I958">
        <v>2</v>
      </c>
      <c r="J958">
        <v>73.45</v>
      </c>
      <c r="K958">
        <v>5</v>
      </c>
      <c r="L958">
        <v>139.56</v>
      </c>
      <c r="M958">
        <v>6.29</v>
      </c>
      <c r="N958">
        <v>59.82</v>
      </c>
      <c r="O958" t="s">
        <v>22</v>
      </c>
      <c r="P958">
        <v>2024</v>
      </c>
      <c r="Q958" t="s">
        <v>3641</v>
      </c>
      <c r="R958">
        <v>132.58199999999999</v>
      </c>
      <c r="S958">
        <v>0.45119246956600401</v>
      </c>
      <c r="T958" t="s">
        <v>3632</v>
      </c>
      <c r="U958" t="s">
        <v>3633</v>
      </c>
    </row>
    <row r="959" spans="1:21" x14ac:dyDescent="0.25">
      <c r="A959" t="s">
        <v>1883</v>
      </c>
      <c r="B959" s="1">
        <v>45464</v>
      </c>
      <c r="C959" t="s">
        <v>1884</v>
      </c>
      <c r="D959" t="s">
        <v>49</v>
      </c>
      <c r="E959" t="s">
        <v>166</v>
      </c>
      <c r="F959" t="s">
        <v>60</v>
      </c>
      <c r="G959" t="s">
        <v>69</v>
      </c>
      <c r="H959" t="s">
        <v>79</v>
      </c>
      <c r="I959">
        <v>1</v>
      </c>
      <c r="J959">
        <v>47.32</v>
      </c>
      <c r="K959">
        <v>10</v>
      </c>
      <c r="L959">
        <v>42.59</v>
      </c>
      <c r="M959">
        <v>10.74</v>
      </c>
      <c r="N959">
        <v>8.19</v>
      </c>
      <c r="O959" t="s">
        <v>22</v>
      </c>
      <c r="P959">
        <v>2024</v>
      </c>
      <c r="Q959" t="s">
        <v>3641</v>
      </c>
      <c r="R959">
        <v>38.331000000000003</v>
      </c>
      <c r="S959">
        <v>0.213665179619629</v>
      </c>
      <c r="T959" t="s">
        <v>3634</v>
      </c>
      <c r="U959" t="s">
        <v>3633</v>
      </c>
    </row>
    <row r="960" spans="1:21" x14ac:dyDescent="0.25">
      <c r="A960" t="s">
        <v>1885</v>
      </c>
      <c r="B960" s="1">
        <v>45464</v>
      </c>
      <c r="C960" t="s">
        <v>1886</v>
      </c>
      <c r="D960" t="s">
        <v>49</v>
      </c>
      <c r="E960" t="s">
        <v>53</v>
      </c>
      <c r="F960" t="s">
        <v>54</v>
      </c>
      <c r="G960" t="s">
        <v>69</v>
      </c>
      <c r="H960" t="s">
        <v>163</v>
      </c>
      <c r="I960">
        <v>2</v>
      </c>
      <c r="J960">
        <v>34.14</v>
      </c>
      <c r="K960">
        <v>5</v>
      </c>
      <c r="L960">
        <v>64.87</v>
      </c>
      <c r="M960">
        <v>13.94</v>
      </c>
      <c r="N960">
        <v>16.79</v>
      </c>
      <c r="O960" t="s">
        <v>39</v>
      </c>
      <c r="P960">
        <v>2024</v>
      </c>
      <c r="Q960" t="s">
        <v>3641</v>
      </c>
      <c r="R960">
        <v>61.6265</v>
      </c>
      <c r="S960">
        <v>0.272447729467031</v>
      </c>
      <c r="T960" t="s">
        <v>3634</v>
      </c>
      <c r="U960" t="s">
        <v>3633</v>
      </c>
    </row>
    <row r="961" spans="1:21" x14ac:dyDescent="0.25">
      <c r="A961" t="s">
        <v>1887</v>
      </c>
      <c r="B961" s="1">
        <v>45465</v>
      </c>
      <c r="C961" t="s">
        <v>1888</v>
      </c>
      <c r="D961" t="s">
        <v>17</v>
      </c>
      <c r="E961" t="s">
        <v>25</v>
      </c>
      <c r="F961" t="s">
        <v>26</v>
      </c>
      <c r="G961" t="s">
        <v>42</v>
      </c>
      <c r="H961" t="s">
        <v>46</v>
      </c>
      <c r="I961">
        <v>1</v>
      </c>
      <c r="J961">
        <v>141.5</v>
      </c>
      <c r="K961">
        <v>0</v>
      </c>
      <c r="L961">
        <v>141.5</v>
      </c>
      <c r="M961">
        <v>7.9</v>
      </c>
      <c r="N961">
        <v>48.7</v>
      </c>
      <c r="O961" t="s">
        <v>34</v>
      </c>
      <c r="P961">
        <v>2024</v>
      </c>
      <c r="Q961" t="s">
        <v>3641</v>
      </c>
      <c r="R961">
        <v>141.5</v>
      </c>
      <c r="S961">
        <v>0.34416961130742002</v>
      </c>
      <c r="T961" t="s">
        <v>3632</v>
      </c>
      <c r="U961" t="s">
        <v>3633</v>
      </c>
    </row>
    <row r="962" spans="1:21" x14ac:dyDescent="0.25">
      <c r="A962" t="s">
        <v>1889</v>
      </c>
      <c r="B962" s="1">
        <v>45466</v>
      </c>
      <c r="C962" t="s">
        <v>1445</v>
      </c>
      <c r="D962" t="s">
        <v>30</v>
      </c>
      <c r="E962" t="s">
        <v>166</v>
      </c>
      <c r="F962" t="s">
        <v>60</v>
      </c>
      <c r="G962" t="s">
        <v>42</v>
      </c>
      <c r="H962" t="s">
        <v>255</v>
      </c>
      <c r="I962">
        <v>9</v>
      </c>
      <c r="J962">
        <v>55.5</v>
      </c>
      <c r="K962">
        <v>5</v>
      </c>
      <c r="L962">
        <v>474.52</v>
      </c>
      <c r="M962">
        <v>19.93</v>
      </c>
      <c r="N962">
        <v>154.88999999999999</v>
      </c>
      <c r="O962" t="s">
        <v>22</v>
      </c>
      <c r="P962">
        <v>2024</v>
      </c>
      <c r="Q962" t="s">
        <v>3641</v>
      </c>
      <c r="R962">
        <v>450.79399999999998</v>
      </c>
      <c r="S962">
        <v>0.34359374792033598</v>
      </c>
      <c r="T962" t="s">
        <v>3632</v>
      </c>
      <c r="U962" t="s">
        <v>3633</v>
      </c>
    </row>
    <row r="963" spans="1:21" x14ac:dyDescent="0.25">
      <c r="A963" t="s">
        <v>1890</v>
      </c>
      <c r="B963" s="1">
        <v>45466</v>
      </c>
      <c r="C963" t="s">
        <v>1891</v>
      </c>
      <c r="D963" t="s">
        <v>30</v>
      </c>
      <c r="E963" t="s">
        <v>25</v>
      </c>
      <c r="F963" t="s">
        <v>26</v>
      </c>
      <c r="G963" t="s">
        <v>32</v>
      </c>
      <c r="H963" t="s">
        <v>348</v>
      </c>
      <c r="I963">
        <v>3</v>
      </c>
      <c r="J963">
        <v>8.11</v>
      </c>
      <c r="K963">
        <v>15</v>
      </c>
      <c r="L963">
        <v>20.68</v>
      </c>
      <c r="M963">
        <v>14.26</v>
      </c>
      <c r="N963">
        <v>-4.53</v>
      </c>
      <c r="O963" t="s">
        <v>39</v>
      </c>
      <c r="P963">
        <v>2024</v>
      </c>
      <c r="Q963" t="s">
        <v>3641</v>
      </c>
      <c r="R963">
        <v>17.577999999999999</v>
      </c>
      <c r="S963">
        <v>-0.25770849926043898</v>
      </c>
      <c r="T963" t="s">
        <v>3634</v>
      </c>
      <c r="U963" t="s">
        <v>3636</v>
      </c>
    </row>
    <row r="964" spans="1:21" x14ac:dyDescent="0.25">
      <c r="A964" t="s">
        <v>1892</v>
      </c>
      <c r="B964" s="1">
        <v>45467</v>
      </c>
      <c r="C964" t="s">
        <v>1470</v>
      </c>
      <c r="D964" t="s">
        <v>30</v>
      </c>
      <c r="E964" t="s">
        <v>121</v>
      </c>
      <c r="F964" t="s">
        <v>68</v>
      </c>
      <c r="G964" t="s">
        <v>42</v>
      </c>
      <c r="H964" t="s">
        <v>43</v>
      </c>
      <c r="I964">
        <v>7</v>
      </c>
      <c r="J964">
        <v>303.29000000000002</v>
      </c>
      <c r="K964">
        <v>15</v>
      </c>
      <c r="L964">
        <v>1804.58</v>
      </c>
      <c r="M964">
        <v>18.54</v>
      </c>
      <c r="N964">
        <v>512.22</v>
      </c>
      <c r="O964" t="s">
        <v>39</v>
      </c>
      <c r="P964">
        <v>2024</v>
      </c>
      <c r="Q964" t="s">
        <v>3641</v>
      </c>
      <c r="R964">
        <v>1533.893</v>
      </c>
      <c r="S964">
        <v>0.33393463559713799</v>
      </c>
      <c r="T964" t="s">
        <v>3635</v>
      </c>
      <c r="U964" t="s">
        <v>3633</v>
      </c>
    </row>
    <row r="965" spans="1:21" x14ac:dyDescent="0.25">
      <c r="A965" t="s">
        <v>1893</v>
      </c>
      <c r="B965" s="1">
        <v>45467</v>
      </c>
      <c r="C965" t="s">
        <v>1894</v>
      </c>
      <c r="D965" t="s">
        <v>17</v>
      </c>
      <c r="E965" t="s">
        <v>63</v>
      </c>
      <c r="F965" t="s">
        <v>54</v>
      </c>
      <c r="G965" t="s">
        <v>20</v>
      </c>
      <c r="H965" t="s">
        <v>38</v>
      </c>
      <c r="I965">
        <v>1</v>
      </c>
      <c r="J965">
        <v>68.39</v>
      </c>
      <c r="K965">
        <v>20</v>
      </c>
      <c r="L965">
        <v>54.71</v>
      </c>
      <c r="M965">
        <v>12.38</v>
      </c>
      <c r="N965">
        <v>4.72</v>
      </c>
      <c r="O965" t="s">
        <v>56</v>
      </c>
      <c r="P965">
        <v>2024</v>
      </c>
      <c r="Q965" t="s">
        <v>3641</v>
      </c>
      <c r="R965">
        <v>43.768000000000001</v>
      </c>
      <c r="S965">
        <v>0.107841345275087</v>
      </c>
      <c r="T965" t="s">
        <v>3634</v>
      </c>
      <c r="U965" t="s">
        <v>3633</v>
      </c>
    </row>
    <row r="966" spans="1:21" x14ac:dyDescent="0.25">
      <c r="A966" t="s">
        <v>1895</v>
      </c>
      <c r="B966" s="1">
        <v>45467</v>
      </c>
      <c r="C966" t="s">
        <v>952</v>
      </c>
      <c r="D966" t="s">
        <v>30</v>
      </c>
      <c r="E966" t="s">
        <v>59</v>
      </c>
      <c r="F966" t="s">
        <v>60</v>
      </c>
      <c r="G966" t="s">
        <v>32</v>
      </c>
      <c r="H966" t="s">
        <v>33</v>
      </c>
      <c r="I966">
        <v>2</v>
      </c>
      <c r="J966">
        <v>9.7200000000000006</v>
      </c>
      <c r="K966">
        <v>10</v>
      </c>
      <c r="L966">
        <v>17.5</v>
      </c>
      <c r="M966">
        <v>12.92</v>
      </c>
      <c r="N966">
        <v>-4.17</v>
      </c>
      <c r="O966" t="s">
        <v>39</v>
      </c>
      <c r="P966">
        <v>2024</v>
      </c>
      <c r="Q966" t="s">
        <v>3641</v>
      </c>
      <c r="R966">
        <v>15.75</v>
      </c>
      <c r="S966">
        <v>-0.26476190476190498</v>
      </c>
      <c r="T966" t="s">
        <v>3634</v>
      </c>
      <c r="U966" t="s">
        <v>3636</v>
      </c>
    </row>
    <row r="967" spans="1:21" x14ac:dyDescent="0.25">
      <c r="A967" t="s">
        <v>1896</v>
      </c>
      <c r="B967" s="1">
        <v>45468</v>
      </c>
      <c r="C967" t="s">
        <v>708</v>
      </c>
      <c r="D967" t="s">
        <v>49</v>
      </c>
      <c r="E967" t="s">
        <v>248</v>
      </c>
      <c r="F967" t="s">
        <v>26</v>
      </c>
      <c r="G967" t="s">
        <v>32</v>
      </c>
      <c r="H967" t="s">
        <v>110</v>
      </c>
      <c r="I967">
        <v>2</v>
      </c>
      <c r="J967">
        <v>14.53</v>
      </c>
      <c r="K967">
        <v>5</v>
      </c>
      <c r="L967">
        <v>27.61</v>
      </c>
      <c r="M967">
        <v>11.77</v>
      </c>
      <c r="N967">
        <v>2.76</v>
      </c>
      <c r="O967" t="s">
        <v>22</v>
      </c>
      <c r="P967">
        <v>2024</v>
      </c>
      <c r="Q967" t="s">
        <v>3641</v>
      </c>
      <c r="R967">
        <v>26.229500000000002</v>
      </c>
      <c r="S967">
        <v>0.10522503288282301</v>
      </c>
      <c r="T967" t="s">
        <v>3634</v>
      </c>
      <c r="U967" t="s">
        <v>3633</v>
      </c>
    </row>
    <row r="968" spans="1:21" x14ac:dyDescent="0.25">
      <c r="A968" t="s">
        <v>1897</v>
      </c>
      <c r="B968" s="1">
        <v>45469</v>
      </c>
      <c r="C968" t="s">
        <v>1126</v>
      </c>
      <c r="D968" t="s">
        <v>17</v>
      </c>
      <c r="E968" t="s">
        <v>169</v>
      </c>
      <c r="F968" t="s">
        <v>68</v>
      </c>
      <c r="G968" t="s">
        <v>42</v>
      </c>
      <c r="H968" t="s">
        <v>64</v>
      </c>
      <c r="I968">
        <v>1</v>
      </c>
      <c r="J968">
        <v>78.08</v>
      </c>
      <c r="K968">
        <v>10</v>
      </c>
      <c r="L968">
        <v>70.27</v>
      </c>
      <c r="M968">
        <v>11.96</v>
      </c>
      <c r="N968">
        <v>11.46</v>
      </c>
      <c r="O968" t="s">
        <v>34</v>
      </c>
      <c r="P968">
        <v>2024</v>
      </c>
      <c r="Q968" t="s">
        <v>3641</v>
      </c>
      <c r="R968">
        <v>63.243000000000002</v>
      </c>
      <c r="S968">
        <v>0.18120582515061001</v>
      </c>
      <c r="T968" t="s">
        <v>3634</v>
      </c>
      <c r="U968" t="s">
        <v>3633</v>
      </c>
    </row>
    <row r="969" spans="1:21" x14ac:dyDescent="0.25">
      <c r="A969" t="s">
        <v>1898</v>
      </c>
      <c r="B969" s="1">
        <v>45469</v>
      </c>
      <c r="C969" t="s">
        <v>1899</v>
      </c>
      <c r="D969" t="s">
        <v>49</v>
      </c>
      <c r="E969" t="s">
        <v>31</v>
      </c>
      <c r="F969" t="s">
        <v>19</v>
      </c>
      <c r="G969" t="s">
        <v>32</v>
      </c>
      <c r="H969" t="s">
        <v>132</v>
      </c>
      <c r="I969">
        <v>5</v>
      </c>
      <c r="J969">
        <v>9.5399999999999991</v>
      </c>
      <c r="K969">
        <v>0</v>
      </c>
      <c r="L969">
        <v>47.7</v>
      </c>
      <c r="M969">
        <v>11.65</v>
      </c>
      <c r="N969">
        <v>14.59</v>
      </c>
      <c r="O969" t="s">
        <v>34</v>
      </c>
      <c r="P969">
        <v>2024</v>
      </c>
      <c r="Q969" t="s">
        <v>3641</v>
      </c>
      <c r="R969">
        <v>47.7</v>
      </c>
      <c r="S969">
        <v>0.305870020964361</v>
      </c>
      <c r="T969" t="s">
        <v>3634</v>
      </c>
      <c r="U969" t="s">
        <v>3633</v>
      </c>
    </row>
    <row r="970" spans="1:21" x14ac:dyDescent="0.25">
      <c r="A970" t="s">
        <v>1900</v>
      </c>
      <c r="B970" s="1">
        <v>45471</v>
      </c>
      <c r="C970" t="s">
        <v>1901</v>
      </c>
      <c r="D970" t="s">
        <v>30</v>
      </c>
      <c r="E970" t="s">
        <v>248</v>
      </c>
      <c r="F970" t="s">
        <v>26</v>
      </c>
      <c r="G970" t="s">
        <v>42</v>
      </c>
      <c r="H970" t="s">
        <v>294</v>
      </c>
      <c r="I970">
        <v>3</v>
      </c>
      <c r="J970">
        <v>122.5</v>
      </c>
      <c r="K970">
        <v>0</v>
      </c>
      <c r="L970">
        <v>367.5</v>
      </c>
      <c r="M970">
        <v>9.35</v>
      </c>
      <c r="N970">
        <v>137.65</v>
      </c>
      <c r="O970" t="s">
        <v>34</v>
      </c>
      <c r="P970">
        <v>2024</v>
      </c>
      <c r="Q970" t="s">
        <v>3641</v>
      </c>
      <c r="R970">
        <v>367.5</v>
      </c>
      <c r="S970">
        <v>0.37455782312925201</v>
      </c>
      <c r="T970" t="s">
        <v>3632</v>
      </c>
      <c r="U970" t="s">
        <v>3633</v>
      </c>
    </row>
    <row r="971" spans="1:21" x14ac:dyDescent="0.25">
      <c r="A971" t="s">
        <v>1902</v>
      </c>
      <c r="B971" s="1">
        <v>45471</v>
      </c>
      <c r="C971" t="s">
        <v>1903</v>
      </c>
      <c r="D971" t="s">
        <v>30</v>
      </c>
      <c r="E971" t="s">
        <v>85</v>
      </c>
      <c r="F971" t="s">
        <v>60</v>
      </c>
      <c r="G971" t="s">
        <v>42</v>
      </c>
      <c r="H971" t="s">
        <v>234</v>
      </c>
      <c r="I971">
        <v>2</v>
      </c>
      <c r="J971">
        <v>33.340000000000003</v>
      </c>
      <c r="K971">
        <v>0</v>
      </c>
      <c r="L971">
        <v>66.680000000000007</v>
      </c>
      <c r="M971">
        <v>11.35</v>
      </c>
      <c r="N971">
        <v>15.32</v>
      </c>
      <c r="O971" t="s">
        <v>34</v>
      </c>
      <c r="P971">
        <v>2024</v>
      </c>
      <c r="Q971" t="s">
        <v>3641</v>
      </c>
      <c r="R971">
        <v>66.680000000000007</v>
      </c>
      <c r="S971">
        <v>0.22975404919016201</v>
      </c>
      <c r="T971" t="s">
        <v>3634</v>
      </c>
      <c r="U971" t="s">
        <v>3633</v>
      </c>
    </row>
    <row r="972" spans="1:21" x14ac:dyDescent="0.25">
      <c r="A972" t="s">
        <v>1904</v>
      </c>
      <c r="B972" s="1">
        <v>45472</v>
      </c>
      <c r="C972" t="s">
        <v>1905</v>
      </c>
      <c r="D972" t="s">
        <v>30</v>
      </c>
      <c r="E972" t="s">
        <v>31</v>
      </c>
      <c r="F972" t="s">
        <v>19</v>
      </c>
      <c r="G972" t="s">
        <v>32</v>
      </c>
      <c r="H972" t="s">
        <v>33</v>
      </c>
      <c r="I972">
        <v>8</v>
      </c>
      <c r="J972">
        <v>14.05</v>
      </c>
      <c r="K972">
        <v>0</v>
      </c>
      <c r="L972">
        <v>112.4</v>
      </c>
      <c r="M972">
        <v>18.760000000000002</v>
      </c>
      <c r="N972">
        <v>43.06</v>
      </c>
      <c r="O972" t="s">
        <v>39</v>
      </c>
      <c r="P972">
        <v>2024</v>
      </c>
      <c r="Q972" t="s">
        <v>3641</v>
      </c>
      <c r="R972">
        <v>112.4</v>
      </c>
      <c r="S972">
        <v>0.383096085409253</v>
      </c>
      <c r="T972" t="s">
        <v>3632</v>
      </c>
      <c r="U972" t="s">
        <v>3633</v>
      </c>
    </row>
    <row r="973" spans="1:21" x14ac:dyDescent="0.25">
      <c r="A973" t="s">
        <v>1906</v>
      </c>
      <c r="B973" s="1">
        <v>45473</v>
      </c>
      <c r="C973" t="s">
        <v>1907</v>
      </c>
      <c r="D973" t="s">
        <v>17</v>
      </c>
      <c r="E973" t="s">
        <v>25</v>
      </c>
      <c r="F973" t="s">
        <v>26</v>
      </c>
      <c r="G973" t="s">
        <v>69</v>
      </c>
      <c r="H973" t="s">
        <v>305</v>
      </c>
      <c r="I973">
        <v>3</v>
      </c>
      <c r="J973">
        <v>22.89</v>
      </c>
      <c r="K973">
        <v>20</v>
      </c>
      <c r="L973">
        <v>54.94</v>
      </c>
      <c r="M973">
        <v>11.77</v>
      </c>
      <c r="N973">
        <v>8.83</v>
      </c>
      <c r="O973" t="s">
        <v>34</v>
      </c>
      <c r="P973">
        <v>2024</v>
      </c>
      <c r="Q973" t="s">
        <v>3641</v>
      </c>
      <c r="R973">
        <v>43.951999999999998</v>
      </c>
      <c r="S973">
        <v>0.20090098289042599</v>
      </c>
      <c r="T973" t="s">
        <v>3634</v>
      </c>
      <c r="U973" t="s">
        <v>3633</v>
      </c>
    </row>
    <row r="974" spans="1:21" x14ac:dyDescent="0.25">
      <c r="A974" t="s">
        <v>1908</v>
      </c>
      <c r="B974" s="1">
        <v>45473</v>
      </c>
      <c r="C974" t="s">
        <v>1909</v>
      </c>
      <c r="D974" t="s">
        <v>30</v>
      </c>
      <c r="E974" t="s">
        <v>31</v>
      </c>
      <c r="F974" t="s">
        <v>19</v>
      </c>
      <c r="G974" t="s">
        <v>69</v>
      </c>
      <c r="H974" t="s">
        <v>98</v>
      </c>
      <c r="I974">
        <v>1</v>
      </c>
      <c r="J974">
        <v>52.83</v>
      </c>
      <c r="K974">
        <v>10</v>
      </c>
      <c r="L974">
        <v>47.55</v>
      </c>
      <c r="M974">
        <v>6.13</v>
      </c>
      <c r="N974">
        <v>15</v>
      </c>
      <c r="O974" t="s">
        <v>34</v>
      </c>
      <c r="P974">
        <v>2024</v>
      </c>
      <c r="Q974" t="s">
        <v>3641</v>
      </c>
      <c r="R974">
        <v>42.795000000000002</v>
      </c>
      <c r="S974">
        <v>0.35050823694356797</v>
      </c>
      <c r="T974" t="s">
        <v>3634</v>
      </c>
      <c r="U974" t="s">
        <v>3633</v>
      </c>
    </row>
    <row r="975" spans="1:21" x14ac:dyDescent="0.25">
      <c r="A975" t="s">
        <v>1910</v>
      </c>
      <c r="B975" s="1">
        <v>45474</v>
      </c>
      <c r="C975" t="s">
        <v>1911</v>
      </c>
      <c r="D975" t="s">
        <v>17</v>
      </c>
      <c r="E975" t="s">
        <v>248</v>
      </c>
      <c r="F975" t="s">
        <v>26</v>
      </c>
      <c r="G975" t="s">
        <v>20</v>
      </c>
      <c r="H975" t="s">
        <v>264</v>
      </c>
      <c r="I975">
        <v>2</v>
      </c>
      <c r="J975">
        <v>28.41</v>
      </c>
      <c r="K975">
        <v>10</v>
      </c>
      <c r="L975">
        <v>51.14</v>
      </c>
      <c r="M975">
        <v>9.34</v>
      </c>
      <c r="N975">
        <v>10.55</v>
      </c>
      <c r="O975" t="s">
        <v>34</v>
      </c>
      <c r="P975">
        <v>2024</v>
      </c>
      <c r="Q975" t="s">
        <v>3642</v>
      </c>
      <c r="R975">
        <v>46.026000000000003</v>
      </c>
      <c r="S975">
        <v>0.229218267935515</v>
      </c>
      <c r="T975" t="s">
        <v>3634</v>
      </c>
      <c r="U975" t="s">
        <v>3633</v>
      </c>
    </row>
    <row r="976" spans="1:21" x14ac:dyDescent="0.25">
      <c r="A976" t="s">
        <v>1912</v>
      </c>
      <c r="B976" s="1">
        <v>45474</v>
      </c>
      <c r="C976" t="s">
        <v>1913</v>
      </c>
      <c r="D976" t="s">
        <v>30</v>
      </c>
      <c r="E976" t="s">
        <v>37</v>
      </c>
      <c r="F976" t="s">
        <v>26</v>
      </c>
      <c r="G976" t="s">
        <v>69</v>
      </c>
      <c r="H976" t="s">
        <v>196</v>
      </c>
      <c r="I976">
        <v>1</v>
      </c>
      <c r="J976">
        <v>23.88</v>
      </c>
      <c r="K976">
        <v>5</v>
      </c>
      <c r="L976">
        <v>22.69</v>
      </c>
      <c r="M976">
        <v>9.01</v>
      </c>
      <c r="N976">
        <v>1.74</v>
      </c>
      <c r="O976" t="s">
        <v>34</v>
      </c>
      <c r="P976">
        <v>2024</v>
      </c>
      <c r="Q976" t="s">
        <v>3642</v>
      </c>
      <c r="R976">
        <v>21.555499999999999</v>
      </c>
      <c r="S976">
        <v>8.0721857530560603E-2</v>
      </c>
      <c r="T976" t="s">
        <v>3634</v>
      </c>
      <c r="U976" t="s">
        <v>3633</v>
      </c>
    </row>
    <row r="977" spans="1:21" x14ac:dyDescent="0.25">
      <c r="A977" t="s">
        <v>1914</v>
      </c>
      <c r="B977" s="1">
        <v>45475</v>
      </c>
      <c r="C977" t="s">
        <v>1915</v>
      </c>
      <c r="D977" t="s">
        <v>30</v>
      </c>
      <c r="E977" t="s">
        <v>92</v>
      </c>
      <c r="F977" t="s">
        <v>60</v>
      </c>
      <c r="G977" t="s">
        <v>69</v>
      </c>
      <c r="H977" t="s">
        <v>196</v>
      </c>
      <c r="I977">
        <v>6</v>
      </c>
      <c r="J977">
        <v>25.8</v>
      </c>
      <c r="K977">
        <v>20</v>
      </c>
      <c r="L977">
        <v>123.84</v>
      </c>
      <c r="M977">
        <v>23.22</v>
      </c>
      <c r="N977">
        <v>23.22</v>
      </c>
      <c r="O977" t="s">
        <v>56</v>
      </c>
      <c r="P977">
        <v>2024</v>
      </c>
      <c r="Q977" t="s">
        <v>3642</v>
      </c>
      <c r="R977">
        <v>99.072000000000003</v>
      </c>
      <c r="S977">
        <v>0.234375</v>
      </c>
      <c r="T977" t="s">
        <v>3632</v>
      </c>
      <c r="U977" t="s">
        <v>3633</v>
      </c>
    </row>
    <row r="978" spans="1:21" x14ac:dyDescent="0.25">
      <c r="A978" t="s">
        <v>1916</v>
      </c>
      <c r="B978" s="1">
        <v>45475</v>
      </c>
      <c r="C978" t="s">
        <v>473</v>
      </c>
      <c r="D978" t="s">
        <v>30</v>
      </c>
      <c r="E978" t="s">
        <v>31</v>
      </c>
      <c r="F978" t="s">
        <v>19</v>
      </c>
      <c r="G978" t="s">
        <v>42</v>
      </c>
      <c r="H978" t="s">
        <v>43</v>
      </c>
      <c r="I978">
        <v>7</v>
      </c>
      <c r="J978">
        <v>157.04</v>
      </c>
      <c r="K978">
        <v>0</v>
      </c>
      <c r="L978">
        <v>1099.28</v>
      </c>
      <c r="M978">
        <v>10.119999999999999</v>
      </c>
      <c r="N978">
        <v>429.59</v>
      </c>
      <c r="O978" t="s">
        <v>34</v>
      </c>
      <c r="P978">
        <v>2024</v>
      </c>
      <c r="Q978" t="s">
        <v>3642</v>
      </c>
      <c r="R978">
        <v>1099.28</v>
      </c>
      <c r="S978">
        <v>0.39079215486500202</v>
      </c>
      <c r="T978" t="s">
        <v>3635</v>
      </c>
      <c r="U978" t="s">
        <v>3633</v>
      </c>
    </row>
    <row r="979" spans="1:21" x14ac:dyDescent="0.25">
      <c r="A979" t="s">
        <v>1917</v>
      </c>
      <c r="B979" s="1">
        <v>45476</v>
      </c>
      <c r="C979" t="s">
        <v>1918</v>
      </c>
      <c r="D979" t="s">
        <v>30</v>
      </c>
      <c r="E979" t="s">
        <v>25</v>
      </c>
      <c r="F979" t="s">
        <v>26</v>
      </c>
      <c r="G979" t="s">
        <v>32</v>
      </c>
      <c r="H979" t="s">
        <v>101</v>
      </c>
      <c r="I979">
        <v>2</v>
      </c>
      <c r="J979">
        <v>21.15</v>
      </c>
      <c r="K979">
        <v>0</v>
      </c>
      <c r="L979">
        <v>42.3</v>
      </c>
      <c r="M979">
        <v>9.48</v>
      </c>
      <c r="N979">
        <v>13.78</v>
      </c>
      <c r="O979" t="s">
        <v>39</v>
      </c>
      <c r="P979">
        <v>2024</v>
      </c>
      <c r="Q979" t="s">
        <v>3642</v>
      </c>
      <c r="R979">
        <v>42.3</v>
      </c>
      <c r="S979">
        <v>0.325768321513002</v>
      </c>
      <c r="T979" t="s">
        <v>3634</v>
      </c>
      <c r="U979" t="s">
        <v>3633</v>
      </c>
    </row>
    <row r="980" spans="1:21" x14ac:dyDescent="0.25">
      <c r="A980" t="s">
        <v>1919</v>
      </c>
      <c r="B980" s="1">
        <v>45476</v>
      </c>
      <c r="C980" t="s">
        <v>1920</v>
      </c>
      <c r="D980" t="s">
        <v>17</v>
      </c>
      <c r="E980" t="s">
        <v>92</v>
      </c>
      <c r="F980" t="s">
        <v>60</v>
      </c>
      <c r="G980" t="s">
        <v>32</v>
      </c>
      <c r="H980" t="s">
        <v>115</v>
      </c>
      <c r="I980">
        <v>2</v>
      </c>
      <c r="J980">
        <v>16.71</v>
      </c>
      <c r="K980">
        <v>10</v>
      </c>
      <c r="L980">
        <v>30.08</v>
      </c>
      <c r="M980">
        <v>13.99</v>
      </c>
      <c r="N980">
        <v>1.05</v>
      </c>
      <c r="O980" t="s">
        <v>34</v>
      </c>
      <c r="P980">
        <v>2024</v>
      </c>
      <c r="Q980" t="s">
        <v>3642</v>
      </c>
      <c r="R980">
        <v>27.071999999999999</v>
      </c>
      <c r="S980">
        <v>3.8785460992907798E-2</v>
      </c>
      <c r="T980" t="s">
        <v>3634</v>
      </c>
      <c r="U980" t="s">
        <v>3633</v>
      </c>
    </row>
    <row r="981" spans="1:21" x14ac:dyDescent="0.25">
      <c r="A981" t="s">
        <v>1921</v>
      </c>
      <c r="B981" s="1">
        <v>45477</v>
      </c>
      <c r="C981" t="s">
        <v>1922</v>
      </c>
      <c r="D981" t="s">
        <v>30</v>
      </c>
      <c r="E981" t="s">
        <v>25</v>
      </c>
      <c r="F981" t="s">
        <v>26</v>
      </c>
      <c r="G981" t="s">
        <v>32</v>
      </c>
      <c r="H981" t="s">
        <v>348</v>
      </c>
      <c r="I981">
        <v>4</v>
      </c>
      <c r="J981">
        <v>4.42</v>
      </c>
      <c r="K981">
        <v>5</v>
      </c>
      <c r="L981">
        <v>16.8</v>
      </c>
      <c r="M981">
        <v>13.49</v>
      </c>
      <c r="N981">
        <v>-4.6500000000000004</v>
      </c>
      <c r="O981" t="s">
        <v>34</v>
      </c>
      <c r="P981">
        <v>2024</v>
      </c>
      <c r="Q981" t="s">
        <v>3642</v>
      </c>
      <c r="R981">
        <v>15.96</v>
      </c>
      <c r="S981">
        <v>-0.29135338345864698</v>
      </c>
      <c r="T981" t="s">
        <v>3634</v>
      </c>
      <c r="U981" t="s">
        <v>3636</v>
      </c>
    </row>
    <row r="982" spans="1:21" x14ac:dyDescent="0.25">
      <c r="A982" t="s">
        <v>1923</v>
      </c>
      <c r="B982" s="1">
        <v>45478</v>
      </c>
      <c r="C982" t="s">
        <v>1924</v>
      </c>
      <c r="D982" t="s">
        <v>49</v>
      </c>
      <c r="E982" t="s">
        <v>248</v>
      </c>
      <c r="F982" t="s">
        <v>26</v>
      </c>
      <c r="G982" t="s">
        <v>32</v>
      </c>
      <c r="H982" t="s">
        <v>132</v>
      </c>
      <c r="I982">
        <v>1</v>
      </c>
      <c r="J982">
        <v>15.39</v>
      </c>
      <c r="K982">
        <v>0</v>
      </c>
      <c r="L982">
        <v>15.39</v>
      </c>
      <c r="M982">
        <v>9.15</v>
      </c>
      <c r="N982">
        <v>-0.69</v>
      </c>
      <c r="O982" t="s">
        <v>56</v>
      </c>
      <c r="P982">
        <v>2024</v>
      </c>
      <c r="Q982" t="s">
        <v>3642</v>
      </c>
      <c r="R982">
        <v>15.39</v>
      </c>
      <c r="S982">
        <v>-4.4834307992202699E-2</v>
      </c>
      <c r="T982" t="s">
        <v>3634</v>
      </c>
      <c r="U982" t="s">
        <v>3636</v>
      </c>
    </row>
    <row r="983" spans="1:21" x14ac:dyDescent="0.25">
      <c r="A983" t="s">
        <v>1925</v>
      </c>
      <c r="B983" s="1">
        <v>45478</v>
      </c>
      <c r="C983" t="s">
        <v>1926</v>
      </c>
      <c r="D983" t="s">
        <v>30</v>
      </c>
      <c r="E983" t="s">
        <v>18</v>
      </c>
      <c r="F983" t="s">
        <v>19</v>
      </c>
      <c r="G983" t="s">
        <v>32</v>
      </c>
      <c r="H983" t="s">
        <v>82</v>
      </c>
      <c r="I983">
        <v>5</v>
      </c>
      <c r="J983">
        <v>8.34</v>
      </c>
      <c r="K983">
        <v>15</v>
      </c>
      <c r="L983">
        <v>35.450000000000003</v>
      </c>
      <c r="M983">
        <v>7.59</v>
      </c>
      <c r="N983">
        <v>9.1</v>
      </c>
      <c r="O983" t="s">
        <v>22</v>
      </c>
      <c r="P983">
        <v>2024</v>
      </c>
      <c r="Q983" t="s">
        <v>3642</v>
      </c>
      <c r="R983">
        <v>30.1325</v>
      </c>
      <c r="S983">
        <v>0.30199950219862298</v>
      </c>
      <c r="T983" t="s">
        <v>3634</v>
      </c>
      <c r="U983" t="s">
        <v>3633</v>
      </c>
    </row>
    <row r="984" spans="1:21" x14ac:dyDescent="0.25">
      <c r="A984" t="s">
        <v>1927</v>
      </c>
      <c r="B984" s="1">
        <v>45478</v>
      </c>
      <c r="C984" t="s">
        <v>1928</v>
      </c>
      <c r="D984" t="s">
        <v>17</v>
      </c>
      <c r="E984" t="s">
        <v>76</v>
      </c>
      <c r="F984" t="s">
        <v>26</v>
      </c>
      <c r="G984" t="s">
        <v>20</v>
      </c>
      <c r="H984" t="s">
        <v>264</v>
      </c>
      <c r="I984">
        <v>1</v>
      </c>
      <c r="J984">
        <v>47.66</v>
      </c>
      <c r="K984">
        <v>0</v>
      </c>
      <c r="L984">
        <v>47.66</v>
      </c>
      <c r="M984">
        <v>8.77</v>
      </c>
      <c r="N984">
        <v>12.68</v>
      </c>
      <c r="O984" t="s">
        <v>22</v>
      </c>
      <c r="P984">
        <v>2024</v>
      </c>
      <c r="Q984" t="s">
        <v>3642</v>
      </c>
      <c r="R984">
        <v>47.66</v>
      </c>
      <c r="S984">
        <v>0.26605119597146498</v>
      </c>
      <c r="T984" t="s">
        <v>3634</v>
      </c>
      <c r="U984" t="s">
        <v>3633</v>
      </c>
    </row>
    <row r="985" spans="1:21" x14ac:dyDescent="0.25">
      <c r="A985" t="s">
        <v>1929</v>
      </c>
      <c r="B985" s="1">
        <v>45478</v>
      </c>
      <c r="C985" t="s">
        <v>1930</v>
      </c>
      <c r="D985" t="s">
        <v>30</v>
      </c>
      <c r="E985" t="s">
        <v>135</v>
      </c>
      <c r="F985" t="s">
        <v>26</v>
      </c>
      <c r="G985" t="s">
        <v>20</v>
      </c>
      <c r="H985" t="s">
        <v>264</v>
      </c>
      <c r="I985">
        <v>2</v>
      </c>
      <c r="J985">
        <v>52.81</v>
      </c>
      <c r="K985">
        <v>0</v>
      </c>
      <c r="L985">
        <v>105.62</v>
      </c>
      <c r="M985">
        <v>10.99</v>
      </c>
      <c r="N985">
        <v>36.54</v>
      </c>
      <c r="O985" t="s">
        <v>34</v>
      </c>
      <c r="P985">
        <v>2024</v>
      </c>
      <c r="Q985" t="s">
        <v>3642</v>
      </c>
      <c r="R985">
        <v>105.62</v>
      </c>
      <c r="S985">
        <v>0.34595720507479599</v>
      </c>
      <c r="T985" t="s">
        <v>3632</v>
      </c>
      <c r="U985" t="s">
        <v>3633</v>
      </c>
    </row>
    <row r="986" spans="1:21" x14ac:dyDescent="0.25">
      <c r="A986" t="s">
        <v>1931</v>
      </c>
      <c r="B986" s="1">
        <v>45478</v>
      </c>
      <c r="C986" t="s">
        <v>919</v>
      </c>
      <c r="D986" t="s">
        <v>17</v>
      </c>
      <c r="E986" t="s">
        <v>18</v>
      </c>
      <c r="F986" t="s">
        <v>19</v>
      </c>
      <c r="G986" t="s">
        <v>42</v>
      </c>
      <c r="H986" t="s">
        <v>255</v>
      </c>
      <c r="I986">
        <v>1</v>
      </c>
      <c r="J986">
        <v>31.63</v>
      </c>
      <c r="K986">
        <v>5</v>
      </c>
      <c r="L986">
        <v>30.05</v>
      </c>
      <c r="M986">
        <v>5.84</v>
      </c>
      <c r="N986">
        <v>5.23</v>
      </c>
      <c r="O986" t="s">
        <v>39</v>
      </c>
      <c r="P986">
        <v>2024</v>
      </c>
      <c r="Q986" t="s">
        <v>3642</v>
      </c>
      <c r="R986">
        <v>28.547499999999999</v>
      </c>
      <c r="S986">
        <v>0.18320343287503299</v>
      </c>
      <c r="T986" t="s">
        <v>3634</v>
      </c>
      <c r="U986" t="s">
        <v>3633</v>
      </c>
    </row>
    <row r="987" spans="1:21" x14ac:dyDescent="0.25">
      <c r="A987" t="s">
        <v>1932</v>
      </c>
      <c r="B987" s="1">
        <v>45479</v>
      </c>
      <c r="C987" t="s">
        <v>1933</v>
      </c>
      <c r="D987" t="s">
        <v>30</v>
      </c>
      <c r="E987" t="s">
        <v>31</v>
      </c>
      <c r="F987" t="s">
        <v>19</v>
      </c>
      <c r="G987" t="s">
        <v>32</v>
      </c>
      <c r="H987" t="s">
        <v>115</v>
      </c>
      <c r="I987">
        <v>7</v>
      </c>
      <c r="J987">
        <v>11.86</v>
      </c>
      <c r="K987">
        <v>5</v>
      </c>
      <c r="L987">
        <v>78.87</v>
      </c>
      <c r="M987">
        <v>17.149999999999999</v>
      </c>
      <c r="N987">
        <v>24.36</v>
      </c>
      <c r="O987" t="s">
        <v>34</v>
      </c>
      <c r="P987">
        <v>2024</v>
      </c>
      <c r="Q987" t="s">
        <v>3642</v>
      </c>
      <c r="R987">
        <v>74.926500000000004</v>
      </c>
      <c r="S987">
        <v>0.32511861624391902</v>
      </c>
      <c r="T987" t="s">
        <v>3634</v>
      </c>
      <c r="U987" t="s">
        <v>3633</v>
      </c>
    </row>
    <row r="988" spans="1:21" x14ac:dyDescent="0.25">
      <c r="A988" t="s">
        <v>1934</v>
      </c>
      <c r="B988" s="1">
        <v>45479</v>
      </c>
      <c r="C988" t="s">
        <v>1935</v>
      </c>
      <c r="D988" t="s">
        <v>17</v>
      </c>
      <c r="E988" t="s">
        <v>25</v>
      </c>
      <c r="F988" t="s">
        <v>26</v>
      </c>
      <c r="G988" t="s">
        <v>20</v>
      </c>
      <c r="H988" t="s">
        <v>170</v>
      </c>
      <c r="I988">
        <v>1</v>
      </c>
      <c r="J988">
        <v>24.66</v>
      </c>
      <c r="K988">
        <v>20</v>
      </c>
      <c r="L988">
        <v>19.73</v>
      </c>
      <c r="M988">
        <v>8.64</v>
      </c>
      <c r="N988">
        <v>-2.4700000000000002</v>
      </c>
      <c r="O988" t="s">
        <v>34</v>
      </c>
      <c r="P988">
        <v>2024</v>
      </c>
      <c r="Q988" t="s">
        <v>3642</v>
      </c>
      <c r="R988">
        <v>15.784000000000001</v>
      </c>
      <c r="S988">
        <v>-0.15648758236188501</v>
      </c>
      <c r="T988" t="s">
        <v>3634</v>
      </c>
      <c r="U988" t="s">
        <v>3636</v>
      </c>
    </row>
    <row r="989" spans="1:21" x14ac:dyDescent="0.25">
      <c r="A989" t="s">
        <v>1936</v>
      </c>
      <c r="B989" s="1">
        <v>45479</v>
      </c>
      <c r="C989" t="s">
        <v>179</v>
      </c>
      <c r="D989" t="s">
        <v>30</v>
      </c>
      <c r="E989" t="s">
        <v>31</v>
      </c>
      <c r="F989" t="s">
        <v>19</v>
      </c>
      <c r="G989" t="s">
        <v>32</v>
      </c>
      <c r="H989" t="s">
        <v>115</v>
      </c>
      <c r="I989">
        <v>8</v>
      </c>
      <c r="J989">
        <v>19.36</v>
      </c>
      <c r="K989">
        <v>10</v>
      </c>
      <c r="L989">
        <v>139.38999999999999</v>
      </c>
      <c r="M989">
        <v>9.27</v>
      </c>
      <c r="N989">
        <v>60.42</v>
      </c>
      <c r="O989" t="s">
        <v>34</v>
      </c>
      <c r="P989">
        <v>2024</v>
      </c>
      <c r="Q989" t="s">
        <v>3642</v>
      </c>
      <c r="R989">
        <v>125.45099999999999</v>
      </c>
      <c r="S989">
        <v>0.481622306717364</v>
      </c>
      <c r="T989" t="s">
        <v>3632</v>
      </c>
      <c r="U989" t="s">
        <v>3633</v>
      </c>
    </row>
    <row r="990" spans="1:21" x14ac:dyDescent="0.25">
      <c r="A990" t="s">
        <v>1937</v>
      </c>
      <c r="B990" s="1">
        <v>45480</v>
      </c>
      <c r="C990" t="s">
        <v>1938</v>
      </c>
      <c r="D990" t="s">
        <v>17</v>
      </c>
      <c r="E990" t="s">
        <v>129</v>
      </c>
      <c r="F990" t="s">
        <v>19</v>
      </c>
      <c r="G990" t="s">
        <v>20</v>
      </c>
      <c r="H990" t="s">
        <v>264</v>
      </c>
      <c r="I990">
        <v>3</v>
      </c>
      <c r="J990">
        <v>42.03</v>
      </c>
      <c r="K990">
        <v>10</v>
      </c>
      <c r="L990">
        <v>113.48</v>
      </c>
      <c r="M990">
        <v>6.85</v>
      </c>
      <c r="N990">
        <v>37.28</v>
      </c>
      <c r="O990" t="s">
        <v>22</v>
      </c>
      <c r="P990">
        <v>2024</v>
      </c>
      <c r="Q990" t="s">
        <v>3642</v>
      </c>
      <c r="R990">
        <v>102.13200000000001</v>
      </c>
      <c r="S990">
        <v>0.36501782007597999</v>
      </c>
      <c r="T990" t="s">
        <v>3632</v>
      </c>
      <c r="U990" t="s">
        <v>3633</v>
      </c>
    </row>
    <row r="991" spans="1:21" x14ac:dyDescent="0.25">
      <c r="A991" t="s">
        <v>1939</v>
      </c>
      <c r="B991" s="1">
        <v>45480</v>
      </c>
      <c r="C991" t="s">
        <v>1940</v>
      </c>
      <c r="D991" t="s">
        <v>30</v>
      </c>
      <c r="E991" t="s">
        <v>121</v>
      </c>
      <c r="F991" t="s">
        <v>68</v>
      </c>
      <c r="G991" t="s">
        <v>20</v>
      </c>
      <c r="H991" t="s">
        <v>175</v>
      </c>
      <c r="I991">
        <v>5</v>
      </c>
      <c r="J991">
        <v>17.3</v>
      </c>
      <c r="K991">
        <v>15</v>
      </c>
      <c r="L991">
        <v>73.52</v>
      </c>
      <c r="M991">
        <v>16.43</v>
      </c>
      <c r="N991">
        <v>9.51</v>
      </c>
      <c r="O991" t="s">
        <v>22</v>
      </c>
      <c r="P991">
        <v>2024</v>
      </c>
      <c r="Q991" t="s">
        <v>3642</v>
      </c>
      <c r="R991">
        <v>62.491999999999997</v>
      </c>
      <c r="S991">
        <v>0.152179478973309</v>
      </c>
      <c r="T991" t="s">
        <v>3634</v>
      </c>
      <c r="U991" t="s">
        <v>3633</v>
      </c>
    </row>
    <row r="992" spans="1:21" x14ac:dyDescent="0.25">
      <c r="A992" t="s">
        <v>1941</v>
      </c>
      <c r="B992" s="1">
        <v>45481</v>
      </c>
      <c r="C992" t="s">
        <v>1942</v>
      </c>
      <c r="D992" t="s">
        <v>30</v>
      </c>
      <c r="E992" t="s">
        <v>76</v>
      </c>
      <c r="F992" t="s">
        <v>26</v>
      </c>
      <c r="G992" t="s">
        <v>42</v>
      </c>
      <c r="H992" t="s">
        <v>93</v>
      </c>
      <c r="I992">
        <v>10</v>
      </c>
      <c r="J992">
        <v>305.38</v>
      </c>
      <c r="K992">
        <v>5</v>
      </c>
      <c r="L992">
        <v>2901.11</v>
      </c>
      <c r="M992">
        <v>14.57</v>
      </c>
      <c r="N992">
        <v>1054.26</v>
      </c>
      <c r="O992" t="s">
        <v>34</v>
      </c>
      <c r="P992">
        <v>2024</v>
      </c>
      <c r="Q992" t="s">
        <v>3642</v>
      </c>
      <c r="R992">
        <v>2756.0545000000002</v>
      </c>
      <c r="S992">
        <v>0.38252509157565601</v>
      </c>
      <c r="T992" t="s">
        <v>3635</v>
      </c>
      <c r="U992" t="s">
        <v>3633</v>
      </c>
    </row>
    <row r="993" spans="1:21" x14ac:dyDescent="0.25">
      <c r="A993" t="s">
        <v>1943</v>
      </c>
      <c r="B993" s="1">
        <v>45482</v>
      </c>
      <c r="C993" t="s">
        <v>1944</v>
      </c>
      <c r="D993" t="s">
        <v>30</v>
      </c>
      <c r="E993" t="s">
        <v>248</v>
      </c>
      <c r="F993" t="s">
        <v>26</v>
      </c>
      <c r="G993" t="s">
        <v>69</v>
      </c>
      <c r="H993" t="s">
        <v>79</v>
      </c>
      <c r="I993">
        <v>3</v>
      </c>
      <c r="J993">
        <v>59.82</v>
      </c>
      <c r="K993">
        <v>20</v>
      </c>
      <c r="L993">
        <v>143.57</v>
      </c>
      <c r="M993">
        <v>9.58</v>
      </c>
      <c r="N993">
        <v>44.26</v>
      </c>
      <c r="O993" t="s">
        <v>56</v>
      </c>
      <c r="P993">
        <v>2024</v>
      </c>
      <c r="Q993" t="s">
        <v>3642</v>
      </c>
      <c r="R993">
        <v>114.85599999999999</v>
      </c>
      <c r="S993">
        <v>0.38535209305565199</v>
      </c>
      <c r="T993" t="s">
        <v>3632</v>
      </c>
      <c r="U993" t="s">
        <v>3633</v>
      </c>
    </row>
    <row r="994" spans="1:21" x14ac:dyDescent="0.25">
      <c r="A994" t="s">
        <v>1945</v>
      </c>
      <c r="B994" s="1">
        <v>45482</v>
      </c>
      <c r="C994" t="s">
        <v>1946</v>
      </c>
      <c r="D994" t="s">
        <v>17</v>
      </c>
      <c r="E994" t="s">
        <v>129</v>
      </c>
      <c r="F994" t="s">
        <v>19</v>
      </c>
      <c r="G994" t="s">
        <v>32</v>
      </c>
      <c r="H994" t="s">
        <v>101</v>
      </c>
      <c r="I994">
        <v>1</v>
      </c>
      <c r="J994">
        <v>19.829999999999998</v>
      </c>
      <c r="K994">
        <v>20</v>
      </c>
      <c r="L994">
        <v>15.86</v>
      </c>
      <c r="M994">
        <v>6.8</v>
      </c>
      <c r="N994">
        <v>0.14000000000000001</v>
      </c>
      <c r="O994" t="s">
        <v>34</v>
      </c>
      <c r="P994">
        <v>2024</v>
      </c>
      <c r="Q994" t="s">
        <v>3642</v>
      </c>
      <c r="R994">
        <v>12.688000000000001</v>
      </c>
      <c r="S994">
        <v>1.1034047919293801E-2</v>
      </c>
      <c r="T994" t="s">
        <v>3634</v>
      </c>
      <c r="U994" t="s">
        <v>3633</v>
      </c>
    </row>
    <row r="995" spans="1:21" x14ac:dyDescent="0.25">
      <c r="A995" t="s">
        <v>1947</v>
      </c>
      <c r="B995" s="1">
        <v>45482</v>
      </c>
      <c r="C995" t="s">
        <v>1948</v>
      </c>
      <c r="D995" t="s">
        <v>49</v>
      </c>
      <c r="E995" t="s">
        <v>18</v>
      </c>
      <c r="F995" t="s">
        <v>19</v>
      </c>
      <c r="G995" t="s">
        <v>69</v>
      </c>
      <c r="H995" t="s">
        <v>139</v>
      </c>
      <c r="I995">
        <v>2</v>
      </c>
      <c r="J995">
        <v>86.73</v>
      </c>
      <c r="K995">
        <v>10</v>
      </c>
      <c r="L995">
        <v>156.11000000000001</v>
      </c>
      <c r="M995">
        <v>9.75</v>
      </c>
      <c r="N995">
        <v>59.63</v>
      </c>
      <c r="O995" t="s">
        <v>34</v>
      </c>
      <c r="P995">
        <v>2024</v>
      </c>
      <c r="Q995" t="s">
        <v>3642</v>
      </c>
      <c r="R995">
        <v>140.499</v>
      </c>
      <c r="S995">
        <v>0.42441583214115403</v>
      </c>
      <c r="T995" t="s">
        <v>3632</v>
      </c>
      <c r="U995" t="s">
        <v>3633</v>
      </c>
    </row>
    <row r="996" spans="1:21" x14ac:dyDescent="0.25">
      <c r="A996" t="s">
        <v>1949</v>
      </c>
      <c r="B996" s="1">
        <v>45483</v>
      </c>
      <c r="C996" t="s">
        <v>1022</v>
      </c>
      <c r="D996" t="s">
        <v>30</v>
      </c>
      <c r="E996" t="s">
        <v>135</v>
      </c>
      <c r="F996" t="s">
        <v>26</v>
      </c>
      <c r="G996" t="s">
        <v>69</v>
      </c>
      <c r="H996" t="s">
        <v>70</v>
      </c>
      <c r="I996">
        <v>11</v>
      </c>
      <c r="J996">
        <v>19</v>
      </c>
      <c r="K996">
        <v>5</v>
      </c>
      <c r="L996">
        <v>198.55</v>
      </c>
      <c r="M996">
        <v>16.190000000000001</v>
      </c>
      <c r="N996">
        <v>77.86</v>
      </c>
      <c r="O996" t="s">
        <v>39</v>
      </c>
      <c r="P996">
        <v>2024</v>
      </c>
      <c r="Q996" t="s">
        <v>3642</v>
      </c>
      <c r="R996">
        <v>188.6225</v>
      </c>
      <c r="S996">
        <v>0.41278214422987702</v>
      </c>
      <c r="T996" t="s">
        <v>3632</v>
      </c>
      <c r="U996" t="s">
        <v>3633</v>
      </c>
    </row>
    <row r="997" spans="1:21" x14ac:dyDescent="0.25">
      <c r="A997" t="s">
        <v>1950</v>
      </c>
      <c r="B997" s="1">
        <v>45483</v>
      </c>
      <c r="C997" t="s">
        <v>1667</v>
      </c>
      <c r="D997" t="s">
        <v>49</v>
      </c>
      <c r="E997" t="s">
        <v>129</v>
      </c>
      <c r="F997" t="s">
        <v>19</v>
      </c>
      <c r="G997" t="s">
        <v>69</v>
      </c>
      <c r="H997" t="s">
        <v>139</v>
      </c>
      <c r="I997">
        <v>5</v>
      </c>
      <c r="J997">
        <v>28.49</v>
      </c>
      <c r="K997">
        <v>15</v>
      </c>
      <c r="L997">
        <v>121.08</v>
      </c>
      <c r="M997">
        <v>15.04</v>
      </c>
      <c r="N997">
        <v>34.82</v>
      </c>
      <c r="O997" t="s">
        <v>39</v>
      </c>
      <c r="P997">
        <v>2024</v>
      </c>
      <c r="Q997" t="s">
        <v>3642</v>
      </c>
      <c r="R997">
        <v>102.91800000000001</v>
      </c>
      <c r="S997">
        <v>0.33832760061408101</v>
      </c>
      <c r="T997" t="s">
        <v>3632</v>
      </c>
      <c r="U997" t="s">
        <v>3633</v>
      </c>
    </row>
    <row r="998" spans="1:21" x14ac:dyDescent="0.25">
      <c r="A998" t="s">
        <v>1951</v>
      </c>
      <c r="B998" s="1">
        <v>45484</v>
      </c>
      <c r="C998" t="s">
        <v>579</v>
      </c>
      <c r="D998" t="s">
        <v>17</v>
      </c>
      <c r="E998" t="s">
        <v>18</v>
      </c>
      <c r="F998" t="s">
        <v>19</v>
      </c>
      <c r="G998" t="s">
        <v>42</v>
      </c>
      <c r="H998" t="s">
        <v>294</v>
      </c>
      <c r="I998">
        <v>2</v>
      </c>
      <c r="J998">
        <v>191.99</v>
      </c>
      <c r="K998">
        <v>5</v>
      </c>
      <c r="L998">
        <v>364.78</v>
      </c>
      <c r="M998">
        <v>9.02</v>
      </c>
      <c r="N998">
        <v>125.37</v>
      </c>
      <c r="O998" t="s">
        <v>34</v>
      </c>
      <c r="P998">
        <v>2024</v>
      </c>
      <c r="Q998" t="s">
        <v>3642</v>
      </c>
      <c r="R998">
        <v>346.541</v>
      </c>
      <c r="S998">
        <v>0.36177537434243001</v>
      </c>
      <c r="T998" t="s">
        <v>3632</v>
      </c>
      <c r="U998" t="s">
        <v>3633</v>
      </c>
    </row>
    <row r="999" spans="1:21" x14ac:dyDescent="0.25">
      <c r="A999" t="s">
        <v>1952</v>
      </c>
      <c r="B999" s="1">
        <v>45484</v>
      </c>
      <c r="C999" t="s">
        <v>437</v>
      </c>
      <c r="D999" t="s">
        <v>30</v>
      </c>
      <c r="E999" t="s">
        <v>92</v>
      </c>
      <c r="F999" t="s">
        <v>60</v>
      </c>
      <c r="G999" t="s">
        <v>32</v>
      </c>
      <c r="H999" t="s">
        <v>132</v>
      </c>
      <c r="I999">
        <v>3</v>
      </c>
      <c r="J999">
        <v>9.42</v>
      </c>
      <c r="K999">
        <v>0</v>
      </c>
      <c r="L999">
        <v>28.26</v>
      </c>
      <c r="M999">
        <v>15.8</v>
      </c>
      <c r="N999">
        <v>-0.26</v>
      </c>
      <c r="O999" t="s">
        <v>39</v>
      </c>
      <c r="P999">
        <v>2024</v>
      </c>
      <c r="Q999" t="s">
        <v>3642</v>
      </c>
      <c r="R999">
        <v>28.26</v>
      </c>
      <c r="S999">
        <v>-9.2002830856333997E-3</v>
      </c>
      <c r="T999" t="s">
        <v>3634</v>
      </c>
      <c r="U999" t="s">
        <v>3636</v>
      </c>
    </row>
    <row r="1000" spans="1:21" x14ac:dyDescent="0.25">
      <c r="A1000" t="s">
        <v>1953</v>
      </c>
      <c r="B1000" s="1">
        <v>45484</v>
      </c>
      <c r="C1000" t="s">
        <v>441</v>
      </c>
      <c r="D1000" t="s">
        <v>30</v>
      </c>
      <c r="E1000" t="s">
        <v>92</v>
      </c>
      <c r="F1000" t="s">
        <v>60</v>
      </c>
      <c r="G1000" t="s">
        <v>20</v>
      </c>
      <c r="H1000" t="s">
        <v>27</v>
      </c>
      <c r="I1000">
        <v>2</v>
      </c>
      <c r="J1000">
        <v>70.739999999999995</v>
      </c>
      <c r="K1000">
        <v>15</v>
      </c>
      <c r="L1000">
        <v>120.26</v>
      </c>
      <c r="M1000">
        <v>13.36</v>
      </c>
      <c r="N1000">
        <v>29.09</v>
      </c>
      <c r="O1000" t="s">
        <v>39</v>
      </c>
      <c r="P1000">
        <v>2024</v>
      </c>
      <c r="Q1000" t="s">
        <v>3642</v>
      </c>
      <c r="R1000">
        <v>102.221</v>
      </c>
      <c r="S1000">
        <v>0.284579489537375</v>
      </c>
      <c r="T1000" t="s">
        <v>3632</v>
      </c>
      <c r="U1000" t="s">
        <v>3633</v>
      </c>
    </row>
    <row r="1001" spans="1:21" x14ac:dyDescent="0.25">
      <c r="A1001" t="s">
        <v>1954</v>
      </c>
      <c r="B1001" s="1">
        <v>45485</v>
      </c>
      <c r="C1001" t="s">
        <v>1880</v>
      </c>
      <c r="D1001" t="s">
        <v>17</v>
      </c>
      <c r="E1001" t="s">
        <v>18</v>
      </c>
      <c r="F1001" t="s">
        <v>19</v>
      </c>
      <c r="G1001" t="s">
        <v>20</v>
      </c>
      <c r="H1001" t="s">
        <v>122</v>
      </c>
      <c r="I1001">
        <v>2</v>
      </c>
      <c r="J1001">
        <v>131.07</v>
      </c>
      <c r="K1001">
        <v>10</v>
      </c>
      <c r="L1001">
        <v>235.93</v>
      </c>
      <c r="M1001">
        <v>8.58</v>
      </c>
      <c r="N1001">
        <v>83.17</v>
      </c>
      <c r="O1001" t="s">
        <v>34</v>
      </c>
      <c r="P1001">
        <v>2024</v>
      </c>
      <c r="Q1001" t="s">
        <v>3642</v>
      </c>
      <c r="R1001">
        <v>212.33699999999999</v>
      </c>
      <c r="S1001">
        <v>0.39168868355491498</v>
      </c>
      <c r="T1001" t="s">
        <v>3632</v>
      </c>
      <c r="U1001" t="s">
        <v>3633</v>
      </c>
    </row>
    <row r="1002" spans="1:21" x14ac:dyDescent="0.25">
      <c r="A1002" t="s">
        <v>1955</v>
      </c>
      <c r="B1002" s="1">
        <v>45486</v>
      </c>
      <c r="C1002" t="s">
        <v>1351</v>
      </c>
      <c r="D1002" t="s">
        <v>30</v>
      </c>
      <c r="E1002" t="s">
        <v>92</v>
      </c>
      <c r="F1002" t="s">
        <v>60</v>
      </c>
      <c r="G1002" t="s">
        <v>20</v>
      </c>
      <c r="H1002" t="s">
        <v>38</v>
      </c>
      <c r="I1002">
        <v>3</v>
      </c>
      <c r="J1002">
        <v>50.5</v>
      </c>
      <c r="K1002">
        <v>10</v>
      </c>
      <c r="L1002">
        <v>136.35</v>
      </c>
      <c r="M1002">
        <v>10.6</v>
      </c>
      <c r="N1002">
        <v>42.42</v>
      </c>
      <c r="O1002" t="s">
        <v>39</v>
      </c>
      <c r="P1002">
        <v>2024</v>
      </c>
      <c r="Q1002" t="s">
        <v>3642</v>
      </c>
      <c r="R1002">
        <v>122.715</v>
      </c>
      <c r="S1002">
        <v>0.34567901234567899</v>
      </c>
      <c r="T1002" t="s">
        <v>3632</v>
      </c>
      <c r="U1002" t="s">
        <v>3633</v>
      </c>
    </row>
    <row r="1003" spans="1:21" x14ac:dyDescent="0.25">
      <c r="A1003" t="s">
        <v>1956</v>
      </c>
      <c r="B1003" s="1">
        <v>45487</v>
      </c>
      <c r="C1003" t="s">
        <v>1256</v>
      </c>
      <c r="D1003" t="s">
        <v>30</v>
      </c>
      <c r="E1003" t="s">
        <v>76</v>
      </c>
      <c r="F1003" t="s">
        <v>26</v>
      </c>
      <c r="G1003" t="s">
        <v>69</v>
      </c>
      <c r="H1003" t="s">
        <v>79</v>
      </c>
      <c r="I1003">
        <v>6</v>
      </c>
      <c r="J1003">
        <v>68.260000000000005</v>
      </c>
      <c r="K1003">
        <v>5</v>
      </c>
      <c r="L1003">
        <v>389.08</v>
      </c>
      <c r="M1003">
        <v>18.45</v>
      </c>
      <c r="N1003">
        <v>165.85</v>
      </c>
      <c r="O1003" t="s">
        <v>34</v>
      </c>
      <c r="P1003">
        <v>2024</v>
      </c>
      <c r="Q1003" t="s">
        <v>3642</v>
      </c>
      <c r="R1003">
        <v>369.62599999999998</v>
      </c>
      <c r="S1003">
        <v>0.44869679081017</v>
      </c>
      <c r="T1003" t="s">
        <v>3632</v>
      </c>
      <c r="U1003" t="s">
        <v>3633</v>
      </c>
    </row>
    <row r="1004" spans="1:21" x14ac:dyDescent="0.25">
      <c r="A1004" t="s">
        <v>1957</v>
      </c>
      <c r="B1004" s="1">
        <v>45487</v>
      </c>
      <c r="C1004" t="s">
        <v>1958</v>
      </c>
      <c r="D1004" t="s">
        <v>30</v>
      </c>
      <c r="E1004" t="s">
        <v>76</v>
      </c>
      <c r="F1004" t="s">
        <v>26</v>
      </c>
      <c r="G1004" t="s">
        <v>42</v>
      </c>
      <c r="H1004" t="s">
        <v>118</v>
      </c>
      <c r="I1004">
        <v>1</v>
      </c>
      <c r="J1004">
        <v>95.79</v>
      </c>
      <c r="K1004">
        <v>15</v>
      </c>
      <c r="L1004">
        <v>81.42</v>
      </c>
      <c r="M1004">
        <v>8.9700000000000006</v>
      </c>
      <c r="N1004">
        <v>14.98</v>
      </c>
      <c r="O1004" t="s">
        <v>56</v>
      </c>
      <c r="P1004">
        <v>2024</v>
      </c>
      <c r="Q1004" t="s">
        <v>3642</v>
      </c>
      <c r="R1004">
        <v>69.206999999999994</v>
      </c>
      <c r="S1004">
        <v>0.216452092996373</v>
      </c>
      <c r="T1004" t="s">
        <v>3634</v>
      </c>
      <c r="U1004" t="s">
        <v>3633</v>
      </c>
    </row>
    <row r="1005" spans="1:21" x14ac:dyDescent="0.25">
      <c r="A1005" t="s">
        <v>1959</v>
      </c>
      <c r="B1005" s="1">
        <v>45488</v>
      </c>
      <c r="C1005" t="s">
        <v>1960</v>
      </c>
      <c r="D1005" t="s">
        <v>49</v>
      </c>
      <c r="E1005" t="s">
        <v>31</v>
      </c>
      <c r="F1005" t="s">
        <v>19</v>
      </c>
      <c r="G1005" t="s">
        <v>20</v>
      </c>
      <c r="H1005" t="s">
        <v>27</v>
      </c>
      <c r="I1005">
        <v>2</v>
      </c>
      <c r="J1005">
        <v>150.27000000000001</v>
      </c>
      <c r="K1005">
        <v>10</v>
      </c>
      <c r="L1005">
        <v>270.49</v>
      </c>
      <c r="M1005">
        <v>6.15</v>
      </c>
      <c r="N1005">
        <v>99.04</v>
      </c>
      <c r="O1005" t="s">
        <v>34</v>
      </c>
      <c r="P1005">
        <v>2024</v>
      </c>
      <c r="Q1005" t="s">
        <v>3642</v>
      </c>
      <c r="R1005">
        <v>243.441</v>
      </c>
      <c r="S1005">
        <v>0.40683368865556802</v>
      </c>
      <c r="T1005" t="s">
        <v>3632</v>
      </c>
      <c r="U1005" t="s">
        <v>3633</v>
      </c>
    </row>
    <row r="1006" spans="1:21" x14ac:dyDescent="0.25">
      <c r="A1006" t="s">
        <v>1961</v>
      </c>
      <c r="B1006" s="1">
        <v>45488</v>
      </c>
      <c r="C1006" t="s">
        <v>1962</v>
      </c>
      <c r="D1006" t="s">
        <v>17</v>
      </c>
      <c r="E1006" t="s">
        <v>109</v>
      </c>
      <c r="F1006" t="s">
        <v>54</v>
      </c>
      <c r="G1006" t="s">
        <v>69</v>
      </c>
      <c r="H1006" t="s">
        <v>243</v>
      </c>
      <c r="I1006">
        <v>1</v>
      </c>
      <c r="J1006">
        <v>25.15</v>
      </c>
      <c r="K1006">
        <v>20</v>
      </c>
      <c r="L1006">
        <v>20.12</v>
      </c>
      <c r="M1006">
        <v>13.22</v>
      </c>
      <c r="N1006">
        <v>-5.67</v>
      </c>
      <c r="O1006" t="s">
        <v>22</v>
      </c>
      <c r="P1006">
        <v>2024</v>
      </c>
      <c r="Q1006" t="s">
        <v>3642</v>
      </c>
      <c r="R1006">
        <v>16.096</v>
      </c>
      <c r="S1006">
        <v>-0.35226143141153099</v>
      </c>
      <c r="T1006" t="s">
        <v>3634</v>
      </c>
      <c r="U1006" t="s">
        <v>3636</v>
      </c>
    </row>
    <row r="1007" spans="1:21" x14ac:dyDescent="0.25">
      <c r="A1007" t="s">
        <v>1963</v>
      </c>
      <c r="B1007" s="1">
        <v>45488</v>
      </c>
      <c r="C1007" t="s">
        <v>1964</v>
      </c>
      <c r="D1007" t="s">
        <v>17</v>
      </c>
      <c r="E1007" t="s">
        <v>129</v>
      </c>
      <c r="F1007" t="s">
        <v>19</v>
      </c>
      <c r="G1007" t="s">
        <v>42</v>
      </c>
      <c r="H1007" t="s">
        <v>46</v>
      </c>
      <c r="I1007">
        <v>3</v>
      </c>
      <c r="J1007">
        <v>153.49</v>
      </c>
      <c r="K1007">
        <v>25</v>
      </c>
      <c r="L1007">
        <v>345.35</v>
      </c>
      <c r="M1007">
        <v>8.01</v>
      </c>
      <c r="N1007">
        <v>61.06</v>
      </c>
      <c r="O1007" t="s">
        <v>34</v>
      </c>
      <c r="P1007">
        <v>2024</v>
      </c>
      <c r="Q1007" t="s">
        <v>3642</v>
      </c>
      <c r="R1007">
        <v>259.01249999999999</v>
      </c>
      <c r="S1007">
        <v>0.23574151826649301</v>
      </c>
      <c r="T1007" t="s">
        <v>3632</v>
      </c>
      <c r="U1007" t="s">
        <v>3633</v>
      </c>
    </row>
    <row r="1008" spans="1:21" x14ac:dyDescent="0.25">
      <c r="A1008" t="s">
        <v>1965</v>
      </c>
      <c r="B1008" s="1">
        <v>45489</v>
      </c>
      <c r="C1008" t="s">
        <v>1966</v>
      </c>
      <c r="D1008" t="s">
        <v>30</v>
      </c>
      <c r="E1008" t="s">
        <v>31</v>
      </c>
      <c r="F1008" t="s">
        <v>19</v>
      </c>
      <c r="G1008" t="s">
        <v>20</v>
      </c>
      <c r="H1008" t="s">
        <v>122</v>
      </c>
      <c r="I1008">
        <v>1</v>
      </c>
      <c r="J1008">
        <v>115.3</v>
      </c>
      <c r="K1008">
        <v>10</v>
      </c>
      <c r="L1008">
        <v>103.77</v>
      </c>
      <c r="M1008">
        <v>6.68</v>
      </c>
      <c r="N1008">
        <v>33.67</v>
      </c>
      <c r="O1008" t="s">
        <v>39</v>
      </c>
      <c r="P1008">
        <v>2024</v>
      </c>
      <c r="Q1008" t="s">
        <v>3642</v>
      </c>
      <c r="R1008">
        <v>93.393000000000001</v>
      </c>
      <c r="S1008">
        <v>0.36051952501793499</v>
      </c>
      <c r="T1008" t="s">
        <v>3632</v>
      </c>
      <c r="U1008" t="s">
        <v>3633</v>
      </c>
    </row>
    <row r="1009" spans="1:21" x14ac:dyDescent="0.25">
      <c r="A1009" t="s">
        <v>1967</v>
      </c>
      <c r="B1009" s="1">
        <v>45492</v>
      </c>
      <c r="C1009" t="s">
        <v>1968</v>
      </c>
      <c r="D1009" t="s">
        <v>30</v>
      </c>
      <c r="E1009" t="s">
        <v>248</v>
      </c>
      <c r="F1009" t="s">
        <v>26</v>
      </c>
      <c r="G1009" t="s">
        <v>42</v>
      </c>
      <c r="H1009" t="s">
        <v>93</v>
      </c>
      <c r="I1009">
        <v>4</v>
      </c>
      <c r="J1009">
        <v>425.29</v>
      </c>
      <c r="K1009">
        <v>5</v>
      </c>
      <c r="L1009">
        <v>1616.1</v>
      </c>
      <c r="M1009">
        <v>12.36</v>
      </c>
      <c r="N1009">
        <v>583.04</v>
      </c>
      <c r="O1009" t="s">
        <v>39</v>
      </c>
      <c r="P1009">
        <v>2024</v>
      </c>
      <c r="Q1009" t="s">
        <v>3642</v>
      </c>
      <c r="R1009">
        <v>1535.2950000000001</v>
      </c>
      <c r="S1009">
        <v>0.379757636154615</v>
      </c>
      <c r="T1009" t="s">
        <v>3635</v>
      </c>
      <c r="U1009" t="s">
        <v>3633</v>
      </c>
    </row>
    <row r="1010" spans="1:21" x14ac:dyDescent="0.25">
      <c r="A1010" t="s">
        <v>1969</v>
      </c>
      <c r="B1010" s="1">
        <v>45492</v>
      </c>
      <c r="C1010" t="s">
        <v>1970</v>
      </c>
      <c r="D1010" t="s">
        <v>49</v>
      </c>
      <c r="E1010" t="s">
        <v>18</v>
      </c>
      <c r="F1010" t="s">
        <v>19</v>
      </c>
      <c r="G1010" t="s">
        <v>20</v>
      </c>
      <c r="H1010" t="s">
        <v>106</v>
      </c>
      <c r="I1010">
        <v>1</v>
      </c>
      <c r="J1010">
        <v>44.59</v>
      </c>
      <c r="K1010">
        <v>0</v>
      </c>
      <c r="L1010">
        <v>44.59</v>
      </c>
      <c r="M1010">
        <v>7.24</v>
      </c>
      <c r="N1010">
        <v>12.83</v>
      </c>
      <c r="O1010" t="s">
        <v>22</v>
      </c>
      <c r="P1010">
        <v>2024</v>
      </c>
      <c r="Q1010" t="s">
        <v>3642</v>
      </c>
      <c r="R1010">
        <v>44.59</v>
      </c>
      <c r="S1010">
        <v>0.28773267548777798</v>
      </c>
      <c r="T1010" t="s">
        <v>3634</v>
      </c>
      <c r="U1010" t="s">
        <v>3633</v>
      </c>
    </row>
    <row r="1011" spans="1:21" x14ac:dyDescent="0.25">
      <c r="A1011" t="s">
        <v>1971</v>
      </c>
      <c r="B1011" s="1">
        <v>45494</v>
      </c>
      <c r="C1011" t="s">
        <v>1972</v>
      </c>
      <c r="D1011" t="s">
        <v>30</v>
      </c>
      <c r="E1011" t="s">
        <v>18</v>
      </c>
      <c r="F1011" t="s">
        <v>19</v>
      </c>
      <c r="G1011" t="s">
        <v>69</v>
      </c>
      <c r="H1011" t="s">
        <v>243</v>
      </c>
      <c r="I1011">
        <v>1</v>
      </c>
      <c r="J1011">
        <v>23.76</v>
      </c>
      <c r="K1011">
        <v>10</v>
      </c>
      <c r="L1011">
        <v>21.38</v>
      </c>
      <c r="M1011">
        <v>6.5</v>
      </c>
      <c r="N1011">
        <v>3</v>
      </c>
      <c r="O1011" t="s">
        <v>22</v>
      </c>
      <c r="P1011">
        <v>2024</v>
      </c>
      <c r="Q1011" t="s">
        <v>3642</v>
      </c>
      <c r="R1011">
        <v>19.242000000000001</v>
      </c>
      <c r="S1011">
        <v>0.155908949173683</v>
      </c>
      <c r="T1011" t="s">
        <v>3634</v>
      </c>
      <c r="U1011" t="s">
        <v>3633</v>
      </c>
    </row>
    <row r="1012" spans="1:21" x14ac:dyDescent="0.25">
      <c r="A1012" t="s">
        <v>1973</v>
      </c>
      <c r="B1012" s="1">
        <v>45496</v>
      </c>
      <c r="C1012" t="s">
        <v>1974</v>
      </c>
      <c r="D1012" t="s">
        <v>17</v>
      </c>
      <c r="E1012" t="s">
        <v>85</v>
      </c>
      <c r="F1012" t="s">
        <v>60</v>
      </c>
      <c r="G1012" t="s">
        <v>20</v>
      </c>
      <c r="H1012" t="s">
        <v>21</v>
      </c>
      <c r="I1012">
        <v>3</v>
      </c>
      <c r="J1012">
        <v>215.99</v>
      </c>
      <c r="K1012">
        <v>10</v>
      </c>
      <c r="L1012">
        <v>583.16999999999996</v>
      </c>
      <c r="M1012">
        <v>14.33</v>
      </c>
      <c r="N1012">
        <v>212.46</v>
      </c>
      <c r="O1012" t="s">
        <v>39</v>
      </c>
      <c r="P1012">
        <v>2024</v>
      </c>
      <c r="Q1012" t="s">
        <v>3642</v>
      </c>
      <c r="R1012">
        <v>524.85299999999995</v>
      </c>
      <c r="S1012">
        <v>0.40479905802195998</v>
      </c>
      <c r="T1012" t="s">
        <v>3635</v>
      </c>
      <c r="U1012" t="s">
        <v>3633</v>
      </c>
    </row>
    <row r="1013" spans="1:21" x14ac:dyDescent="0.25">
      <c r="A1013" t="s">
        <v>1975</v>
      </c>
      <c r="B1013" s="1">
        <v>45497</v>
      </c>
      <c r="C1013" t="s">
        <v>1313</v>
      </c>
      <c r="D1013" t="s">
        <v>17</v>
      </c>
      <c r="E1013" t="s">
        <v>248</v>
      </c>
      <c r="F1013" t="s">
        <v>26</v>
      </c>
      <c r="G1013" t="s">
        <v>32</v>
      </c>
      <c r="H1013" t="s">
        <v>110</v>
      </c>
      <c r="I1013">
        <v>6</v>
      </c>
      <c r="J1013">
        <v>13.61</v>
      </c>
      <c r="K1013">
        <v>5</v>
      </c>
      <c r="L1013">
        <v>77.58</v>
      </c>
      <c r="M1013">
        <v>20.53</v>
      </c>
      <c r="N1013">
        <v>20.3</v>
      </c>
      <c r="O1013" t="s">
        <v>39</v>
      </c>
      <c r="P1013">
        <v>2024</v>
      </c>
      <c r="Q1013" t="s">
        <v>3642</v>
      </c>
      <c r="R1013">
        <v>73.700999999999993</v>
      </c>
      <c r="S1013">
        <v>0.27543723965753503</v>
      </c>
      <c r="T1013" t="s">
        <v>3634</v>
      </c>
      <c r="U1013" t="s">
        <v>3633</v>
      </c>
    </row>
    <row r="1014" spans="1:21" x14ac:dyDescent="0.25">
      <c r="A1014" t="s">
        <v>1976</v>
      </c>
      <c r="B1014" s="1">
        <v>45498</v>
      </c>
      <c r="C1014" t="s">
        <v>1977</v>
      </c>
      <c r="D1014" t="s">
        <v>30</v>
      </c>
      <c r="E1014" t="s">
        <v>92</v>
      </c>
      <c r="F1014" t="s">
        <v>60</v>
      </c>
      <c r="G1014" t="s">
        <v>42</v>
      </c>
      <c r="H1014" t="s">
        <v>255</v>
      </c>
      <c r="I1014">
        <v>4</v>
      </c>
      <c r="J1014">
        <v>43.36</v>
      </c>
      <c r="K1014">
        <v>10</v>
      </c>
      <c r="L1014">
        <v>156.1</v>
      </c>
      <c r="M1014">
        <v>16.059999999999999</v>
      </c>
      <c r="N1014">
        <v>35.979999999999997</v>
      </c>
      <c r="O1014" t="s">
        <v>39</v>
      </c>
      <c r="P1014">
        <v>2024</v>
      </c>
      <c r="Q1014" t="s">
        <v>3642</v>
      </c>
      <c r="R1014">
        <v>140.49</v>
      </c>
      <c r="S1014">
        <v>0.25610363726955698</v>
      </c>
      <c r="T1014" t="s">
        <v>3632</v>
      </c>
      <c r="U1014" t="s">
        <v>3633</v>
      </c>
    </row>
    <row r="1015" spans="1:21" x14ac:dyDescent="0.25">
      <c r="A1015" t="s">
        <v>1978</v>
      </c>
      <c r="B1015" s="1">
        <v>45499</v>
      </c>
      <c r="C1015" t="s">
        <v>718</v>
      </c>
      <c r="D1015" t="s">
        <v>30</v>
      </c>
      <c r="E1015" t="s">
        <v>25</v>
      </c>
      <c r="F1015" t="s">
        <v>26</v>
      </c>
      <c r="G1015" t="s">
        <v>69</v>
      </c>
      <c r="H1015" t="s">
        <v>79</v>
      </c>
      <c r="I1015">
        <v>1</v>
      </c>
      <c r="J1015">
        <v>84.43</v>
      </c>
      <c r="K1015">
        <v>25</v>
      </c>
      <c r="L1015">
        <v>63.32</v>
      </c>
      <c r="M1015">
        <v>8.2899999999999991</v>
      </c>
      <c r="N1015">
        <v>12.81</v>
      </c>
      <c r="O1015" t="s">
        <v>56</v>
      </c>
      <c r="P1015">
        <v>2024</v>
      </c>
      <c r="Q1015" t="s">
        <v>3642</v>
      </c>
      <c r="R1015">
        <v>47.49</v>
      </c>
      <c r="S1015">
        <v>0.26974099810486402</v>
      </c>
      <c r="T1015" t="s">
        <v>3634</v>
      </c>
      <c r="U1015" t="s">
        <v>3633</v>
      </c>
    </row>
    <row r="1016" spans="1:21" x14ac:dyDescent="0.25">
      <c r="A1016" t="s">
        <v>1979</v>
      </c>
      <c r="B1016" s="1">
        <v>45499</v>
      </c>
      <c r="C1016" t="s">
        <v>504</v>
      </c>
      <c r="D1016" t="s">
        <v>30</v>
      </c>
      <c r="E1016" t="s">
        <v>129</v>
      </c>
      <c r="F1016" t="s">
        <v>19</v>
      </c>
      <c r="G1016" t="s">
        <v>20</v>
      </c>
      <c r="H1016" t="s">
        <v>21</v>
      </c>
      <c r="I1016">
        <v>5</v>
      </c>
      <c r="J1016">
        <v>142.01</v>
      </c>
      <c r="K1016">
        <v>0</v>
      </c>
      <c r="L1016">
        <v>710.05</v>
      </c>
      <c r="M1016">
        <v>12.04</v>
      </c>
      <c r="N1016">
        <v>307.48</v>
      </c>
      <c r="O1016" t="s">
        <v>34</v>
      </c>
      <c r="P1016">
        <v>2024</v>
      </c>
      <c r="Q1016" t="s">
        <v>3642</v>
      </c>
      <c r="R1016">
        <v>710.05</v>
      </c>
      <c r="S1016">
        <v>0.43303992676572101</v>
      </c>
      <c r="T1016" t="s">
        <v>3635</v>
      </c>
      <c r="U1016" t="s">
        <v>3633</v>
      </c>
    </row>
    <row r="1017" spans="1:21" x14ac:dyDescent="0.25">
      <c r="A1017" t="s">
        <v>1980</v>
      </c>
      <c r="B1017" s="1">
        <v>45500</v>
      </c>
      <c r="C1017" t="s">
        <v>877</v>
      </c>
      <c r="D1017" t="s">
        <v>30</v>
      </c>
      <c r="E1017" t="s">
        <v>148</v>
      </c>
      <c r="F1017" t="s">
        <v>60</v>
      </c>
      <c r="G1017" t="s">
        <v>42</v>
      </c>
      <c r="H1017" t="s">
        <v>64</v>
      </c>
      <c r="I1017">
        <v>3</v>
      </c>
      <c r="J1017">
        <v>51.54</v>
      </c>
      <c r="K1017">
        <v>5</v>
      </c>
      <c r="L1017">
        <v>146.88999999999999</v>
      </c>
      <c r="M1017">
        <v>16.14</v>
      </c>
      <c r="N1017">
        <v>37.979999999999997</v>
      </c>
      <c r="O1017" t="s">
        <v>34</v>
      </c>
      <c r="P1017">
        <v>2024</v>
      </c>
      <c r="Q1017" t="s">
        <v>3642</v>
      </c>
      <c r="R1017">
        <v>139.5455</v>
      </c>
      <c r="S1017">
        <v>0.27216929245299898</v>
      </c>
      <c r="T1017" t="s">
        <v>3632</v>
      </c>
      <c r="U1017" t="s">
        <v>3633</v>
      </c>
    </row>
    <row r="1018" spans="1:21" x14ac:dyDescent="0.25">
      <c r="A1018" t="s">
        <v>1981</v>
      </c>
      <c r="B1018" s="1">
        <v>45500</v>
      </c>
      <c r="C1018" t="s">
        <v>1982</v>
      </c>
      <c r="D1018" t="s">
        <v>30</v>
      </c>
      <c r="E1018" t="s">
        <v>76</v>
      </c>
      <c r="F1018" t="s">
        <v>26</v>
      </c>
      <c r="G1018" t="s">
        <v>20</v>
      </c>
      <c r="H1018" t="s">
        <v>38</v>
      </c>
      <c r="I1018">
        <v>4</v>
      </c>
      <c r="J1018">
        <v>83.83</v>
      </c>
      <c r="K1018">
        <v>0</v>
      </c>
      <c r="L1018">
        <v>335.32</v>
      </c>
      <c r="M1018">
        <v>12.06</v>
      </c>
      <c r="N1018">
        <v>138.83000000000001</v>
      </c>
      <c r="O1018" t="s">
        <v>22</v>
      </c>
      <c r="P1018">
        <v>2024</v>
      </c>
      <c r="Q1018" t="s">
        <v>3642</v>
      </c>
      <c r="R1018">
        <v>335.32</v>
      </c>
      <c r="S1018">
        <v>0.41402242633901998</v>
      </c>
      <c r="T1018" t="s">
        <v>3632</v>
      </c>
      <c r="U1018" t="s">
        <v>3633</v>
      </c>
    </row>
    <row r="1019" spans="1:21" x14ac:dyDescent="0.25">
      <c r="A1019" t="s">
        <v>1983</v>
      </c>
      <c r="B1019" s="1">
        <v>45500</v>
      </c>
      <c r="C1019" t="s">
        <v>774</v>
      </c>
      <c r="D1019" t="s">
        <v>17</v>
      </c>
      <c r="E1019" t="s">
        <v>18</v>
      </c>
      <c r="F1019" t="s">
        <v>19</v>
      </c>
      <c r="G1019" t="s">
        <v>20</v>
      </c>
      <c r="H1019" t="s">
        <v>175</v>
      </c>
      <c r="I1019">
        <v>5</v>
      </c>
      <c r="J1019">
        <v>19.09</v>
      </c>
      <c r="K1019">
        <v>10</v>
      </c>
      <c r="L1019">
        <v>85.91</v>
      </c>
      <c r="M1019">
        <v>15.16</v>
      </c>
      <c r="N1019">
        <v>18.25</v>
      </c>
      <c r="O1019" t="s">
        <v>34</v>
      </c>
      <c r="P1019">
        <v>2024</v>
      </c>
      <c r="Q1019" t="s">
        <v>3642</v>
      </c>
      <c r="R1019">
        <v>77.319000000000003</v>
      </c>
      <c r="S1019">
        <v>0.23603512720030001</v>
      </c>
      <c r="T1019" t="s">
        <v>3634</v>
      </c>
      <c r="U1019" t="s">
        <v>3633</v>
      </c>
    </row>
    <row r="1020" spans="1:21" x14ac:dyDescent="0.25">
      <c r="A1020" t="s">
        <v>1984</v>
      </c>
      <c r="B1020" s="1">
        <v>45500</v>
      </c>
      <c r="C1020" t="s">
        <v>103</v>
      </c>
      <c r="D1020" t="s">
        <v>30</v>
      </c>
      <c r="E1020" t="s">
        <v>129</v>
      </c>
      <c r="F1020" t="s">
        <v>19</v>
      </c>
      <c r="G1020" t="s">
        <v>20</v>
      </c>
      <c r="H1020" t="s">
        <v>170</v>
      </c>
      <c r="I1020">
        <v>1</v>
      </c>
      <c r="J1020">
        <v>42.3</v>
      </c>
      <c r="K1020">
        <v>20</v>
      </c>
      <c r="L1020">
        <v>33.840000000000003</v>
      </c>
      <c r="M1020">
        <v>5.91</v>
      </c>
      <c r="N1020">
        <v>4.67</v>
      </c>
      <c r="O1020" t="s">
        <v>34</v>
      </c>
      <c r="P1020">
        <v>2024</v>
      </c>
      <c r="Q1020" t="s">
        <v>3642</v>
      </c>
      <c r="R1020">
        <v>27.071999999999999</v>
      </c>
      <c r="S1020">
        <v>0.17250295508274199</v>
      </c>
      <c r="T1020" t="s">
        <v>3634</v>
      </c>
      <c r="U1020" t="s">
        <v>3633</v>
      </c>
    </row>
    <row r="1021" spans="1:21" x14ac:dyDescent="0.25">
      <c r="A1021" t="s">
        <v>1985</v>
      </c>
      <c r="B1021" s="1">
        <v>45501</v>
      </c>
      <c r="C1021" t="s">
        <v>1986</v>
      </c>
      <c r="D1021" t="s">
        <v>49</v>
      </c>
      <c r="E1021" t="s">
        <v>169</v>
      </c>
      <c r="F1021" t="s">
        <v>68</v>
      </c>
      <c r="G1021" t="s">
        <v>42</v>
      </c>
      <c r="H1021" t="s">
        <v>64</v>
      </c>
      <c r="I1021">
        <v>1</v>
      </c>
      <c r="J1021">
        <v>58.82</v>
      </c>
      <c r="K1021">
        <v>15</v>
      </c>
      <c r="L1021">
        <v>50</v>
      </c>
      <c r="M1021">
        <v>11.29</v>
      </c>
      <c r="N1021">
        <v>3.42</v>
      </c>
      <c r="O1021" t="s">
        <v>22</v>
      </c>
      <c r="P1021">
        <v>2024</v>
      </c>
      <c r="Q1021" t="s">
        <v>3642</v>
      </c>
      <c r="R1021">
        <v>42.5</v>
      </c>
      <c r="S1021">
        <v>8.0470588235294099E-2</v>
      </c>
      <c r="T1021" t="s">
        <v>3634</v>
      </c>
      <c r="U1021" t="s">
        <v>3633</v>
      </c>
    </row>
    <row r="1022" spans="1:21" x14ac:dyDescent="0.25">
      <c r="A1022" t="s">
        <v>1987</v>
      </c>
      <c r="B1022" s="1">
        <v>45501</v>
      </c>
      <c r="C1022" t="s">
        <v>1530</v>
      </c>
      <c r="D1022" t="s">
        <v>30</v>
      </c>
      <c r="E1022" t="s">
        <v>135</v>
      </c>
      <c r="F1022" t="s">
        <v>26</v>
      </c>
      <c r="G1022" t="s">
        <v>42</v>
      </c>
      <c r="H1022" t="s">
        <v>294</v>
      </c>
      <c r="I1022">
        <v>11</v>
      </c>
      <c r="J1022">
        <v>296.08</v>
      </c>
      <c r="K1022">
        <v>5</v>
      </c>
      <c r="L1022">
        <v>3094.04</v>
      </c>
      <c r="M1022">
        <v>23.46</v>
      </c>
      <c r="N1022">
        <v>1116.45</v>
      </c>
      <c r="O1022" t="s">
        <v>56</v>
      </c>
      <c r="P1022">
        <v>2024</v>
      </c>
      <c r="Q1022" t="s">
        <v>3642</v>
      </c>
      <c r="R1022">
        <v>2939.3380000000002</v>
      </c>
      <c r="S1022">
        <v>0.37983042440168502</v>
      </c>
      <c r="T1022" t="s">
        <v>3635</v>
      </c>
      <c r="U1022" t="s">
        <v>3633</v>
      </c>
    </row>
    <row r="1023" spans="1:21" x14ac:dyDescent="0.25">
      <c r="A1023" t="s">
        <v>1988</v>
      </c>
      <c r="B1023" s="1">
        <v>45502</v>
      </c>
      <c r="C1023" t="s">
        <v>1989</v>
      </c>
      <c r="D1023" t="s">
        <v>30</v>
      </c>
      <c r="E1023" t="s">
        <v>129</v>
      </c>
      <c r="F1023" t="s">
        <v>19</v>
      </c>
      <c r="G1023" t="s">
        <v>42</v>
      </c>
      <c r="H1023" t="s">
        <v>294</v>
      </c>
      <c r="I1023">
        <v>1</v>
      </c>
      <c r="J1023">
        <v>264.5</v>
      </c>
      <c r="K1023">
        <v>25</v>
      </c>
      <c r="L1023">
        <v>198.38</v>
      </c>
      <c r="M1023">
        <v>7.24</v>
      </c>
      <c r="N1023">
        <v>32.44</v>
      </c>
      <c r="O1023" t="s">
        <v>34</v>
      </c>
      <c r="P1023">
        <v>2024</v>
      </c>
      <c r="Q1023" t="s">
        <v>3642</v>
      </c>
      <c r="R1023">
        <v>148.785</v>
      </c>
      <c r="S1023">
        <v>0.21803273179419999</v>
      </c>
      <c r="T1023" t="s">
        <v>3632</v>
      </c>
      <c r="U1023" t="s">
        <v>3633</v>
      </c>
    </row>
    <row r="1024" spans="1:21" x14ac:dyDescent="0.25">
      <c r="A1024" t="s">
        <v>1990</v>
      </c>
      <c r="B1024" s="1">
        <v>45502</v>
      </c>
      <c r="C1024" t="s">
        <v>1991</v>
      </c>
      <c r="D1024" t="s">
        <v>30</v>
      </c>
      <c r="E1024" t="s">
        <v>18</v>
      </c>
      <c r="F1024" t="s">
        <v>19</v>
      </c>
      <c r="G1024" t="s">
        <v>42</v>
      </c>
      <c r="H1024" t="s">
        <v>118</v>
      </c>
      <c r="I1024">
        <v>1</v>
      </c>
      <c r="J1024">
        <v>43.48</v>
      </c>
      <c r="K1024">
        <v>0</v>
      </c>
      <c r="L1024">
        <v>43.48</v>
      </c>
      <c r="M1024">
        <v>6.89</v>
      </c>
      <c r="N1024">
        <v>10.5</v>
      </c>
      <c r="O1024" t="s">
        <v>56</v>
      </c>
      <c r="P1024">
        <v>2024</v>
      </c>
      <c r="Q1024" t="s">
        <v>3642</v>
      </c>
      <c r="R1024">
        <v>43.48</v>
      </c>
      <c r="S1024">
        <v>0.24149034038638501</v>
      </c>
      <c r="T1024" t="s">
        <v>3634</v>
      </c>
      <c r="U1024" t="s">
        <v>3633</v>
      </c>
    </row>
    <row r="1025" spans="1:21" x14ac:dyDescent="0.25">
      <c r="A1025" t="s">
        <v>1992</v>
      </c>
      <c r="B1025" s="1">
        <v>45505</v>
      </c>
      <c r="C1025" t="s">
        <v>1993</v>
      </c>
      <c r="D1025" t="s">
        <v>30</v>
      </c>
      <c r="E1025" t="s">
        <v>248</v>
      </c>
      <c r="F1025" t="s">
        <v>26</v>
      </c>
      <c r="G1025" t="s">
        <v>20</v>
      </c>
      <c r="H1025" t="s">
        <v>55</v>
      </c>
      <c r="I1025">
        <v>2</v>
      </c>
      <c r="J1025">
        <v>51.5</v>
      </c>
      <c r="K1025">
        <v>0</v>
      </c>
      <c r="L1025">
        <v>103</v>
      </c>
      <c r="M1025">
        <v>9.3000000000000007</v>
      </c>
      <c r="N1025">
        <v>37.049999999999997</v>
      </c>
      <c r="O1025" t="s">
        <v>34</v>
      </c>
      <c r="P1025">
        <v>2024</v>
      </c>
      <c r="Q1025" t="s">
        <v>3643</v>
      </c>
      <c r="R1025">
        <v>103</v>
      </c>
      <c r="S1025">
        <v>0.35970873786407798</v>
      </c>
      <c r="T1025" t="s">
        <v>3632</v>
      </c>
      <c r="U1025" t="s">
        <v>3633</v>
      </c>
    </row>
    <row r="1026" spans="1:21" x14ac:dyDescent="0.25">
      <c r="A1026" t="s">
        <v>1994</v>
      </c>
      <c r="B1026" s="1">
        <v>45506</v>
      </c>
      <c r="C1026" t="s">
        <v>1995</v>
      </c>
      <c r="D1026" t="s">
        <v>49</v>
      </c>
      <c r="E1026" t="s">
        <v>76</v>
      </c>
      <c r="F1026" t="s">
        <v>26</v>
      </c>
      <c r="G1026" t="s">
        <v>32</v>
      </c>
      <c r="H1026" t="s">
        <v>132</v>
      </c>
      <c r="I1026">
        <v>4</v>
      </c>
      <c r="J1026">
        <v>14.54</v>
      </c>
      <c r="K1026">
        <v>15</v>
      </c>
      <c r="L1026">
        <v>49.44</v>
      </c>
      <c r="M1026">
        <v>12.57</v>
      </c>
      <c r="N1026">
        <v>10.7</v>
      </c>
      <c r="O1026" t="s">
        <v>39</v>
      </c>
      <c r="P1026">
        <v>2024</v>
      </c>
      <c r="Q1026" t="s">
        <v>3643</v>
      </c>
      <c r="R1026">
        <v>42.024000000000001</v>
      </c>
      <c r="S1026">
        <v>0.25461640967066401</v>
      </c>
      <c r="T1026" t="s">
        <v>3634</v>
      </c>
      <c r="U1026" t="s">
        <v>3633</v>
      </c>
    </row>
    <row r="1027" spans="1:21" x14ac:dyDescent="0.25">
      <c r="A1027" t="s">
        <v>1996</v>
      </c>
      <c r="B1027" s="1">
        <v>45507</v>
      </c>
      <c r="C1027" t="s">
        <v>1997</v>
      </c>
      <c r="D1027" t="s">
        <v>30</v>
      </c>
      <c r="E1027" t="s">
        <v>76</v>
      </c>
      <c r="F1027" t="s">
        <v>26</v>
      </c>
      <c r="G1027" t="s">
        <v>42</v>
      </c>
      <c r="H1027" t="s">
        <v>64</v>
      </c>
      <c r="I1027">
        <v>3</v>
      </c>
      <c r="J1027">
        <v>75.05</v>
      </c>
      <c r="K1027">
        <v>0</v>
      </c>
      <c r="L1027">
        <v>225.15</v>
      </c>
      <c r="M1027">
        <v>12.4</v>
      </c>
      <c r="N1027">
        <v>77.66</v>
      </c>
      <c r="O1027" t="s">
        <v>39</v>
      </c>
      <c r="P1027">
        <v>2024</v>
      </c>
      <c r="Q1027" t="s">
        <v>3643</v>
      </c>
      <c r="R1027">
        <v>225.15</v>
      </c>
      <c r="S1027">
        <v>0.34492560515212101</v>
      </c>
      <c r="T1027" t="s">
        <v>3632</v>
      </c>
      <c r="U1027" t="s">
        <v>3633</v>
      </c>
    </row>
    <row r="1028" spans="1:21" x14ac:dyDescent="0.25">
      <c r="A1028" t="s">
        <v>1998</v>
      </c>
      <c r="B1028" s="1">
        <v>45507</v>
      </c>
      <c r="C1028" t="s">
        <v>1999</v>
      </c>
      <c r="D1028" t="s">
        <v>30</v>
      </c>
      <c r="E1028" t="s">
        <v>166</v>
      </c>
      <c r="F1028" t="s">
        <v>60</v>
      </c>
      <c r="G1028" t="s">
        <v>69</v>
      </c>
      <c r="H1028" t="s">
        <v>79</v>
      </c>
      <c r="I1028">
        <v>4</v>
      </c>
      <c r="J1028">
        <v>39.58</v>
      </c>
      <c r="K1028">
        <v>5</v>
      </c>
      <c r="L1028">
        <v>150.4</v>
      </c>
      <c r="M1028">
        <v>11.02</v>
      </c>
      <c r="N1028">
        <v>60.22</v>
      </c>
      <c r="O1028" t="s">
        <v>39</v>
      </c>
      <c r="P1028">
        <v>2024</v>
      </c>
      <c r="Q1028" t="s">
        <v>3643</v>
      </c>
      <c r="R1028">
        <v>142.88</v>
      </c>
      <c r="S1028">
        <v>0.42147256438969799</v>
      </c>
      <c r="T1028" t="s">
        <v>3632</v>
      </c>
      <c r="U1028" t="s">
        <v>3633</v>
      </c>
    </row>
    <row r="1029" spans="1:21" x14ac:dyDescent="0.25">
      <c r="A1029" t="s">
        <v>2000</v>
      </c>
      <c r="B1029" s="1">
        <v>45508</v>
      </c>
      <c r="C1029" t="s">
        <v>1186</v>
      </c>
      <c r="D1029" t="s">
        <v>30</v>
      </c>
      <c r="E1029" t="s">
        <v>18</v>
      </c>
      <c r="F1029" t="s">
        <v>19</v>
      </c>
      <c r="G1029" t="s">
        <v>20</v>
      </c>
      <c r="H1029" t="s">
        <v>122</v>
      </c>
      <c r="I1029">
        <v>7</v>
      </c>
      <c r="J1029">
        <v>102.39</v>
      </c>
      <c r="K1029">
        <v>5</v>
      </c>
      <c r="L1029">
        <v>680.89</v>
      </c>
      <c r="M1029">
        <v>13.51</v>
      </c>
      <c r="N1029">
        <v>273.18</v>
      </c>
      <c r="O1029" t="s">
        <v>39</v>
      </c>
      <c r="P1029">
        <v>2024</v>
      </c>
      <c r="Q1029" t="s">
        <v>3643</v>
      </c>
      <c r="R1029">
        <v>646.84550000000002</v>
      </c>
      <c r="S1029">
        <v>0.42232650609766897</v>
      </c>
      <c r="T1029" t="s">
        <v>3635</v>
      </c>
      <c r="U1029" t="s">
        <v>3633</v>
      </c>
    </row>
    <row r="1030" spans="1:21" x14ac:dyDescent="0.25">
      <c r="A1030" t="s">
        <v>2001</v>
      </c>
      <c r="B1030" s="1">
        <v>45509</v>
      </c>
      <c r="C1030" t="s">
        <v>2002</v>
      </c>
      <c r="D1030" t="s">
        <v>17</v>
      </c>
      <c r="E1030" t="s">
        <v>121</v>
      </c>
      <c r="F1030" t="s">
        <v>68</v>
      </c>
      <c r="G1030" t="s">
        <v>69</v>
      </c>
      <c r="H1030" t="s">
        <v>305</v>
      </c>
      <c r="I1030">
        <v>2</v>
      </c>
      <c r="J1030">
        <v>54.24</v>
      </c>
      <c r="K1030">
        <v>15</v>
      </c>
      <c r="L1030">
        <v>92.21</v>
      </c>
      <c r="M1030">
        <v>12.61</v>
      </c>
      <c r="N1030">
        <v>25.36</v>
      </c>
      <c r="O1030" t="s">
        <v>34</v>
      </c>
      <c r="P1030">
        <v>2024</v>
      </c>
      <c r="Q1030" t="s">
        <v>3643</v>
      </c>
      <c r="R1030">
        <v>78.378500000000003</v>
      </c>
      <c r="S1030">
        <v>0.32355811861671202</v>
      </c>
      <c r="T1030" t="s">
        <v>3634</v>
      </c>
      <c r="U1030" t="s">
        <v>3633</v>
      </c>
    </row>
    <row r="1031" spans="1:21" x14ac:dyDescent="0.25">
      <c r="A1031" t="s">
        <v>2003</v>
      </c>
      <c r="B1031" s="1">
        <v>45509</v>
      </c>
      <c r="C1031" t="s">
        <v>2004</v>
      </c>
      <c r="D1031" t="s">
        <v>17</v>
      </c>
      <c r="E1031" t="s">
        <v>18</v>
      </c>
      <c r="F1031" t="s">
        <v>19</v>
      </c>
      <c r="G1031" t="s">
        <v>32</v>
      </c>
      <c r="H1031" t="s">
        <v>132</v>
      </c>
      <c r="I1031">
        <v>2</v>
      </c>
      <c r="J1031">
        <v>7.92</v>
      </c>
      <c r="K1031">
        <v>0</v>
      </c>
      <c r="L1031">
        <v>15.84</v>
      </c>
      <c r="M1031">
        <v>8.07</v>
      </c>
      <c r="N1031">
        <v>0.64</v>
      </c>
      <c r="O1031" t="s">
        <v>39</v>
      </c>
      <c r="P1031">
        <v>2024</v>
      </c>
      <c r="Q1031" t="s">
        <v>3643</v>
      </c>
      <c r="R1031">
        <v>15.84</v>
      </c>
      <c r="S1031">
        <v>4.0404040404040401E-2</v>
      </c>
      <c r="T1031" t="s">
        <v>3634</v>
      </c>
      <c r="U1031" t="s">
        <v>3633</v>
      </c>
    </row>
    <row r="1032" spans="1:21" x14ac:dyDescent="0.25">
      <c r="A1032" t="s">
        <v>2005</v>
      </c>
      <c r="B1032" s="1">
        <v>45510</v>
      </c>
      <c r="C1032" t="s">
        <v>2006</v>
      </c>
      <c r="D1032" t="s">
        <v>30</v>
      </c>
      <c r="E1032" t="s">
        <v>31</v>
      </c>
      <c r="F1032" t="s">
        <v>19</v>
      </c>
      <c r="G1032" t="s">
        <v>32</v>
      </c>
      <c r="H1032" t="s">
        <v>50</v>
      </c>
      <c r="I1032">
        <v>4</v>
      </c>
      <c r="J1032">
        <v>22.41</v>
      </c>
      <c r="K1032">
        <v>5</v>
      </c>
      <c r="L1032">
        <v>85.16</v>
      </c>
      <c r="M1032">
        <v>11.14</v>
      </c>
      <c r="N1032">
        <v>33.68</v>
      </c>
      <c r="O1032" t="s">
        <v>39</v>
      </c>
      <c r="P1032">
        <v>2024</v>
      </c>
      <c r="Q1032" t="s">
        <v>3643</v>
      </c>
      <c r="R1032">
        <v>80.902000000000001</v>
      </c>
      <c r="S1032">
        <v>0.41630614817927902</v>
      </c>
      <c r="T1032" t="s">
        <v>3634</v>
      </c>
      <c r="U1032" t="s">
        <v>3633</v>
      </c>
    </row>
    <row r="1033" spans="1:21" x14ac:dyDescent="0.25">
      <c r="A1033" t="s">
        <v>2007</v>
      </c>
      <c r="B1033" s="1">
        <v>45510</v>
      </c>
      <c r="C1033" t="s">
        <v>2008</v>
      </c>
      <c r="D1033" t="s">
        <v>30</v>
      </c>
      <c r="E1033" t="s">
        <v>85</v>
      </c>
      <c r="F1033" t="s">
        <v>60</v>
      </c>
      <c r="G1033" t="s">
        <v>32</v>
      </c>
      <c r="H1033" t="s">
        <v>110</v>
      </c>
      <c r="I1033">
        <v>2</v>
      </c>
      <c r="J1033">
        <v>7.5</v>
      </c>
      <c r="K1033">
        <v>10</v>
      </c>
      <c r="L1033">
        <v>13.5</v>
      </c>
      <c r="M1033">
        <v>11.22</v>
      </c>
      <c r="N1033">
        <v>-4.47</v>
      </c>
      <c r="O1033" t="s">
        <v>39</v>
      </c>
      <c r="P1033">
        <v>2024</v>
      </c>
      <c r="Q1033" t="s">
        <v>3643</v>
      </c>
      <c r="R1033">
        <v>12.15</v>
      </c>
      <c r="S1033">
        <v>-0.36790123456790103</v>
      </c>
      <c r="T1033" t="s">
        <v>3634</v>
      </c>
      <c r="U1033" t="s">
        <v>3636</v>
      </c>
    </row>
    <row r="1034" spans="1:21" x14ac:dyDescent="0.25">
      <c r="A1034" t="s">
        <v>2009</v>
      </c>
      <c r="B1034" s="1">
        <v>45510</v>
      </c>
      <c r="C1034" t="s">
        <v>676</v>
      </c>
      <c r="D1034" t="s">
        <v>30</v>
      </c>
      <c r="E1034" t="s">
        <v>92</v>
      </c>
      <c r="F1034" t="s">
        <v>60</v>
      </c>
      <c r="G1034" t="s">
        <v>20</v>
      </c>
      <c r="H1034" t="s">
        <v>170</v>
      </c>
      <c r="I1034">
        <v>1</v>
      </c>
      <c r="J1034">
        <v>34.53</v>
      </c>
      <c r="K1034">
        <v>0</v>
      </c>
      <c r="L1034">
        <v>34.53</v>
      </c>
      <c r="M1034">
        <v>10.15</v>
      </c>
      <c r="N1034">
        <v>5.39</v>
      </c>
      <c r="O1034" t="s">
        <v>39</v>
      </c>
      <c r="P1034">
        <v>2024</v>
      </c>
      <c r="Q1034" t="s">
        <v>3643</v>
      </c>
      <c r="R1034">
        <v>34.53</v>
      </c>
      <c r="S1034">
        <v>0.156096148276861</v>
      </c>
      <c r="T1034" t="s">
        <v>3634</v>
      </c>
      <c r="U1034" t="s">
        <v>3633</v>
      </c>
    </row>
    <row r="1035" spans="1:21" x14ac:dyDescent="0.25">
      <c r="A1035" t="s">
        <v>2010</v>
      </c>
      <c r="B1035" s="1">
        <v>45511</v>
      </c>
      <c r="C1035" t="s">
        <v>2011</v>
      </c>
      <c r="D1035" t="s">
        <v>49</v>
      </c>
      <c r="E1035" t="s">
        <v>129</v>
      </c>
      <c r="F1035" t="s">
        <v>19</v>
      </c>
      <c r="G1035" t="s">
        <v>42</v>
      </c>
      <c r="H1035" t="s">
        <v>118</v>
      </c>
      <c r="I1035">
        <v>3</v>
      </c>
      <c r="J1035">
        <v>76.33</v>
      </c>
      <c r="K1035">
        <v>0</v>
      </c>
      <c r="L1035">
        <v>228.99</v>
      </c>
      <c r="M1035">
        <v>7.81</v>
      </c>
      <c r="N1035">
        <v>83.79</v>
      </c>
      <c r="O1035" t="s">
        <v>34</v>
      </c>
      <c r="P1035">
        <v>2024</v>
      </c>
      <c r="Q1035" t="s">
        <v>3643</v>
      </c>
      <c r="R1035">
        <v>228.99</v>
      </c>
      <c r="S1035">
        <v>0.36591117516048699</v>
      </c>
      <c r="T1035" t="s">
        <v>3632</v>
      </c>
      <c r="U1035" t="s">
        <v>3633</v>
      </c>
    </row>
    <row r="1036" spans="1:21" x14ac:dyDescent="0.25">
      <c r="A1036" t="s">
        <v>2012</v>
      </c>
      <c r="B1036" s="1">
        <v>45511</v>
      </c>
      <c r="C1036" t="s">
        <v>2013</v>
      </c>
      <c r="D1036" t="s">
        <v>17</v>
      </c>
      <c r="E1036" t="s">
        <v>31</v>
      </c>
      <c r="F1036" t="s">
        <v>19</v>
      </c>
      <c r="G1036" t="s">
        <v>20</v>
      </c>
      <c r="H1036" t="s">
        <v>170</v>
      </c>
      <c r="I1036">
        <v>4</v>
      </c>
      <c r="J1036">
        <v>57.77</v>
      </c>
      <c r="K1036">
        <v>15</v>
      </c>
      <c r="L1036">
        <v>196.42</v>
      </c>
      <c r="M1036">
        <v>8.23</v>
      </c>
      <c r="N1036">
        <v>61.1</v>
      </c>
      <c r="O1036" t="s">
        <v>34</v>
      </c>
      <c r="P1036">
        <v>2024</v>
      </c>
      <c r="Q1036" t="s">
        <v>3643</v>
      </c>
      <c r="R1036">
        <v>166.95699999999999</v>
      </c>
      <c r="S1036">
        <v>0.36596249333660802</v>
      </c>
      <c r="T1036" t="s">
        <v>3632</v>
      </c>
      <c r="U1036" t="s">
        <v>3633</v>
      </c>
    </row>
    <row r="1037" spans="1:21" x14ac:dyDescent="0.25">
      <c r="A1037" t="s">
        <v>2014</v>
      </c>
      <c r="B1037" s="1">
        <v>45512</v>
      </c>
      <c r="C1037" t="s">
        <v>2015</v>
      </c>
      <c r="D1037" t="s">
        <v>17</v>
      </c>
      <c r="E1037" t="s">
        <v>129</v>
      </c>
      <c r="F1037" t="s">
        <v>19</v>
      </c>
      <c r="G1037" t="s">
        <v>32</v>
      </c>
      <c r="H1037" t="s">
        <v>132</v>
      </c>
      <c r="I1037">
        <v>2</v>
      </c>
      <c r="J1037">
        <v>10.66</v>
      </c>
      <c r="K1037">
        <v>5</v>
      </c>
      <c r="L1037">
        <v>20.25</v>
      </c>
      <c r="M1037">
        <v>8.06</v>
      </c>
      <c r="N1037">
        <v>2.6</v>
      </c>
      <c r="O1037" t="s">
        <v>34</v>
      </c>
      <c r="P1037">
        <v>2024</v>
      </c>
      <c r="Q1037" t="s">
        <v>3643</v>
      </c>
      <c r="R1037">
        <v>19.237500000000001</v>
      </c>
      <c r="S1037">
        <v>0.13515269655620499</v>
      </c>
      <c r="T1037" t="s">
        <v>3634</v>
      </c>
      <c r="U1037" t="s">
        <v>3633</v>
      </c>
    </row>
    <row r="1038" spans="1:21" x14ac:dyDescent="0.25">
      <c r="A1038" t="s">
        <v>2016</v>
      </c>
      <c r="B1038" s="1">
        <v>45512</v>
      </c>
      <c r="C1038" t="s">
        <v>2017</v>
      </c>
      <c r="D1038" t="s">
        <v>30</v>
      </c>
      <c r="E1038" t="s">
        <v>148</v>
      </c>
      <c r="F1038" t="s">
        <v>60</v>
      </c>
      <c r="G1038" t="s">
        <v>69</v>
      </c>
      <c r="H1038" t="s">
        <v>79</v>
      </c>
      <c r="I1038">
        <v>3</v>
      </c>
      <c r="J1038">
        <v>40.65</v>
      </c>
      <c r="K1038">
        <v>5</v>
      </c>
      <c r="L1038">
        <v>115.85</v>
      </c>
      <c r="M1038">
        <v>13.02</v>
      </c>
      <c r="N1038">
        <v>41.86</v>
      </c>
      <c r="O1038" t="s">
        <v>39</v>
      </c>
      <c r="P1038">
        <v>2024</v>
      </c>
      <c r="Q1038" t="s">
        <v>3643</v>
      </c>
      <c r="R1038">
        <v>110.0575</v>
      </c>
      <c r="S1038">
        <v>0.38034663698521198</v>
      </c>
      <c r="T1038" t="s">
        <v>3632</v>
      </c>
      <c r="U1038" t="s">
        <v>3633</v>
      </c>
    </row>
    <row r="1039" spans="1:21" x14ac:dyDescent="0.25">
      <c r="A1039" t="s">
        <v>2018</v>
      </c>
      <c r="B1039" s="1">
        <v>45513</v>
      </c>
      <c r="C1039" t="s">
        <v>1938</v>
      </c>
      <c r="D1039" t="s">
        <v>17</v>
      </c>
      <c r="E1039" t="s">
        <v>18</v>
      </c>
      <c r="F1039" t="s">
        <v>19</v>
      </c>
      <c r="G1039" t="s">
        <v>32</v>
      </c>
      <c r="H1039" t="s">
        <v>115</v>
      </c>
      <c r="I1039">
        <v>4</v>
      </c>
      <c r="J1039">
        <v>17.75</v>
      </c>
      <c r="K1039">
        <v>5</v>
      </c>
      <c r="L1039">
        <v>67.45</v>
      </c>
      <c r="M1039">
        <v>13.03</v>
      </c>
      <c r="N1039">
        <v>22.47</v>
      </c>
      <c r="O1039" t="s">
        <v>34</v>
      </c>
      <c r="P1039">
        <v>2024</v>
      </c>
      <c r="Q1039" t="s">
        <v>3643</v>
      </c>
      <c r="R1039">
        <v>64.077500000000001</v>
      </c>
      <c r="S1039">
        <v>0.35066911162264403</v>
      </c>
      <c r="T1039" t="s">
        <v>3634</v>
      </c>
      <c r="U1039" t="s">
        <v>3633</v>
      </c>
    </row>
    <row r="1040" spans="1:21" x14ac:dyDescent="0.25">
      <c r="A1040" t="s">
        <v>2019</v>
      </c>
      <c r="B1040" s="1">
        <v>45513</v>
      </c>
      <c r="C1040" t="s">
        <v>1694</v>
      </c>
      <c r="D1040" t="s">
        <v>49</v>
      </c>
      <c r="E1040" t="s">
        <v>37</v>
      </c>
      <c r="F1040" t="s">
        <v>26</v>
      </c>
      <c r="G1040" t="s">
        <v>69</v>
      </c>
      <c r="H1040" t="s">
        <v>70</v>
      </c>
      <c r="I1040">
        <v>7</v>
      </c>
      <c r="J1040">
        <v>22.85</v>
      </c>
      <c r="K1040">
        <v>5</v>
      </c>
      <c r="L1040">
        <v>151.94999999999999</v>
      </c>
      <c r="M1040">
        <v>10.55</v>
      </c>
      <c r="N1040">
        <v>61.42</v>
      </c>
      <c r="O1040" t="s">
        <v>56</v>
      </c>
      <c r="P1040">
        <v>2024</v>
      </c>
      <c r="Q1040" t="s">
        <v>3643</v>
      </c>
      <c r="R1040">
        <v>144.35249999999999</v>
      </c>
      <c r="S1040">
        <v>0.42548622296115401</v>
      </c>
      <c r="T1040" t="s">
        <v>3632</v>
      </c>
      <c r="U1040" t="s">
        <v>3633</v>
      </c>
    </row>
    <row r="1041" spans="1:21" x14ac:dyDescent="0.25">
      <c r="A1041" t="s">
        <v>2020</v>
      </c>
      <c r="B1041" s="1">
        <v>45514</v>
      </c>
      <c r="C1041" t="s">
        <v>259</v>
      </c>
      <c r="D1041" t="s">
        <v>30</v>
      </c>
      <c r="E1041" t="s">
        <v>248</v>
      </c>
      <c r="F1041" t="s">
        <v>26</v>
      </c>
      <c r="G1041" t="s">
        <v>20</v>
      </c>
      <c r="H1041" t="s">
        <v>106</v>
      </c>
      <c r="I1041">
        <v>4</v>
      </c>
      <c r="J1041">
        <v>59.34</v>
      </c>
      <c r="K1041">
        <v>20</v>
      </c>
      <c r="L1041">
        <v>189.89</v>
      </c>
      <c r="M1041">
        <v>12.93</v>
      </c>
      <c r="N1041">
        <v>46.41</v>
      </c>
      <c r="O1041" t="s">
        <v>22</v>
      </c>
      <c r="P1041">
        <v>2024</v>
      </c>
      <c r="Q1041" t="s">
        <v>3643</v>
      </c>
      <c r="R1041">
        <v>151.91200000000001</v>
      </c>
      <c r="S1041">
        <v>0.30550581915845998</v>
      </c>
      <c r="T1041" t="s">
        <v>3632</v>
      </c>
      <c r="U1041" t="s">
        <v>3633</v>
      </c>
    </row>
    <row r="1042" spans="1:21" x14ac:dyDescent="0.25">
      <c r="A1042" t="s">
        <v>2021</v>
      </c>
      <c r="B1042" s="1">
        <v>45514</v>
      </c>
      <c r="C1042" t="s">
        <v>2022</v>
      </c>
      <c r="D1042" t="s">
        <v>49</v>
      </c>
      <c r="E1042" t="s">
        <v>148</v>
      </c>
      <c r="F1042" t="s">
        <v>60</v>
      </c>
      <c r="G1042" t="s">
        <v>42</v>
      </c>
      <c r="H1042" t="s">
        <v>43</v>
      </c>
      <c r="I1042">
        <v>3</v>
      </c>
      <c r="J1042">
        <v>167.77</v>
      </c>
      <c r="K1042">
        <v>5</v>
      </c>
      <c r="L1042">
        <v>478.14</v>
      </c>
      <c r="M1042">
        <v>12.09</v>
      </c>
      <c r="N1042">
        <v>164.06</v>
      </c>
      <c r="O1042" t="s">
        <v>22</v>
      </c>
      <c r="P1042">
        <v>2024</v>
      </c>
      <c r="Q1042" t="s">
        <v>3643</v>
      </c>
      <c r="R1042">
        <v>454.233</v>
      </c>
      <c r="S1042">
        <v>0.36118027532125602</v>
      </c>
      <c r="T1042" t="s">
        <v>3632</v>
      </c>
      <c r="U1042" t="s">
        <v>3633</v>
      </c>
    </row>
    <row r="1043" spans="1:21" x14ac:dyDescent="0.25">
      <c r="A1043" t="s">
        <v>2023</v>
      </c>
      <c r="B1043" s="1">
        <v>45516</v>
      </c>
      <c r="C1043" t="s">
        <v>2024</v>
      </c>
      <c r="D1043" t="s">
        <v>30</v>
      </c>
      <c r="E1043" t="s">
        <v>63</v>
      </c>
      <c r="F1043" t="s">
        <v>54</v>
      </c>
      <c r="G1043" t="s">
        <v>20</v>
      </c>
      <c r="H1043" t="s">
        <v>175</v>
      </c>
      <c r="I1043">
        <v>3</v>
      </c>
      <c r="J1043">
        <v>24.66</v>
      </c>
      <c r="K1043">
        <v>10</v>
      </c>
      <c r="L1043">
        <v>66.58</v>
      </c>
      <c r="M1043">
        <v>14.37</v>
      </c>
      <c r="N1043">
        <v>11.52</v>
      </c>
      <c r="O1043" t="s">
        <v>39</v>
      </c>
      <c r="P1043">
        <v>2024</v>
      </c>
      <c r="Q1043" t="s">
        <v>3643</v>
      </c>
      <c r="R1043">
        <v>59.921999999999997</v>
      </c>
      <c r="S1043">
        <v>0.192249924902373</v>
      </c>
      <c r="T1043" t="s">
        <v>3634</v>
      </c>
      <c r="U1043" t="s">
        <v>3633</v>
      </c>
    </row>
    <row r="1044" spans="1:21" x14ac:dyDescent="0.25">
      <c r="A1044" t="s">
        <v>2025</v>
      </c>
      <c r="B1044" s="1">
        <v>45517</v>
      </c>
      <c r="C1044" t="s">
        <v>2026</v>
      </c>
      <c r="D1044" t="s">
        <v>17</v>
      </c>
      <c r="E1044" t="s">
        <v>166</v>
      </c>
      <c r="F1044" t="s">
        <v>60</v>
      </c>
      <c r="G1044" t="s">
        <v>20</v>
      </c>
      <c r="H1044" t="s">
        <v>21</v>
      </c>
      <c r="I1044">
        <v>4</v>
      </c>
      <c r="J1044">
        <v>147.28</v>
      </c>
      <c r="K1044">
        <v>10</v>
      </c>
      <c r="L1044">
        <v>530.21</v>
      </c>
      <c r="M1044">
        <v>12.2</v>
      </c>
      <c r="N1044">
        <v>193.99</v>
      </c>
      <c r="O1044" t="s">
        <v>22</v>
      </c>
      <c r="P1044">
        <v>2024</v>
      </c>
      <c r="Q1044" t="s">
        <v>3643</v>
      </c>
      <c r="R1044">
        <v>477.18900000000002</v>
      </c>
      <c r="S1044">
        <v>0.40652655446793601</v>
      </c>
      <c r="T1044" t="s">
        <v>3635</v>
      </c>
      <c r="U1044" t="s">
        <v>3633</v>
      </c>
    </row>
    <row r="1045" spans="1:21" x14ac:dyDescent="0.25">
      <c r="A1045" t="s">
        <v>2027</v>
      </c>
      <c r="B1045" s="1">
        <v>45517</v>
      </c>
      <c r="C1045" t="s">
        <v>2028</v>
      </c>
      <c r="D1045" t="s">
        <v>30</v>
      </c>
      <c r="E1045" t="s">
        <v>31</v>
      </c>
      <c r="F1045" t="s">
        <v>19</v>
      </c>
      <c r="G1045" t="s">
        <v>20</v>
      </c>
      <c r="H1045" t="s">
        <v>38</v>
      </c>
      <c r="I1045">
        <v>4</v>
      </c>
      <c r="J1045">
        <v>63.81</v>
      </c>
      <c r="K1045">
        <v>5</v>
      </c>
      <c r="L1045">
        <v>242.48</v>
      </c>
      <c r="M1045">
        <v>12.73</v>
      </c>
      <c r="N1045">
        <v>89.37</v>
      </c>
      <c r="O1045" t="s">
        <v>39</v>
      </c>
      <c r="P1045">
        <v>2024</v>
      </c>
      <c r="Q1045" t="s">
        <v>3643</v>
      </c>
      <c r="R1045">
        <v>230.35599999999999</v>
      </c>
      <c r="S1045">
        <v>0.38796471548386002</v>
      </c>
      <c r="T1045" t="s">
        <v>3632</v>
      </c>
      <c r="U1045" t="s">
        <v>3633</v>
      </c>
    </row>
    <row r="1046" spans="1:21" x14ac:dyDescent="0.25">
      <c r="A1046" t="s">
        <v>2029</v>
      </c>
      <c r="B1046" s="1">
        <v>45517</v>
      </c>
      <c r="C1046" t="s">
        <v>1505</v>
      </c>
      <c r="D1046" t="s">
        <v>49</v>
      </c>
      <c r="E1046" t="s">
        <v>31</v>
      </c>
      <c r="F1046" t="s">
        <v>19</v>
      </c>
      <c r="G1046" t="s">
        <v>32</v>
      </c>
      <c r="H1046" t="s">
        <v>101</v>
      </c>
      <c r="I1046">
        <v>1</v>
      </c>
      <c r="J1046">
        <v>9.65</v>
      </c>
      <c r="K1046">
        <v>10</v>
      </c>
      <c r="L1046">
        <v>8.69</v>
      </c>
      <c r="M1046">
        <v>5.86</v>
      </c>
      <c r="N1046">
        <v>-1.51</v>
      </c>
      <c r="O1046" t="s">
        <v>39</v>
      </c>
      <c r="P1046">
        <v>2024</v>
      </c>
      <c r="Q1046" t="s">
        <v>3643</v>
      </c>
      <c r="R1046">
        <v>7.8209999999999997</v>
      </c>
      <c r="S1046">
        <v>-0.19306993990538299</v>
      </c>
      <c r="T1046" t="s">
        <v>3634</v>
      </c>
      <c r="U1046" t="s">
        <v>3636</v>
      </c>
    </row>
    <row r="1047" spans="1:21" x14ac:dyDescent="0.25">
      <c r="A1047" t="s">
        <v>2030</v>
      </c>
      <c r="B1047" s="1">
        <v>45518</v>
      </c>
      <c r="C1047" t="s">
        <v>2031</v>
      </c>
      <c r="D1047" t="s">
        <v>30</v>
      </c>
      <c r="E1047" t="s">
        <v>129</v>
      </c>
      <c r="F1047" t="s">
        <v>19</v>
      </c>
      <c r="G1047" t="s">
        <v>42</v>
      </c>
      <c r="H1047" t="s">
        <v>89</v>
      </c>
      <c r="I1047">
        <v>4</v>
      </c>
      <c r="J1047">
        <v>347.26</v>
      </c>
      <c r="K1047">
        <v>20</v>
      </c>
      <c r="L1047">
        <v>1111.23</v>
      </c>
      <c r="M1047">
        <v>11</v>
      </c>
      <c r="N1047">
        <v>266.81</v>
      </c>
      <c r="O1047" t="s">
        <v>39</v>
      </c>
      <c r="P1047">
        <v>2024</v>
      </c>
      <c r="Q1047" t="s">
        <v>3643</v>
      </c>
      <c r="R1047">
        <v>888.98400000000004</v>
      </c>
      <c r="S1047">
        <v>0.30012913618242798</v>
      </c>
      <c r="T1047" t="s">
        <v>3635</v>
      </c>
      <c r="U1047" t="s">
        <v>3633</v>
      </c>
    </row>
    <row r="1048" spans="1:21" x14ac:dyDescent="0.25">
      <c r="A1048" t="s">
        <v>2032</v>
      </c>
      <c r="B1048" s="1">
        <v>45518</v>
      </c>
      <c r="C1048" t="s">
        <v>2033</v>
      </c>
      <c r="D1048" t="s">
        <v>49</v>
      </c>
      <c r="E1048" t="s">
        <v>18</v>
      </c>
      <c r="F1048" t="s">
        <v>19</v>
      </c>
      <c r="G1048" t="s">
        <v>42</v>
      </c>
      <c r="H1048" t="s">
        <v>255</v>
      </c>
      <c r="I1048">
        <v>1</v>
      </c>
      <c r="J1048">
        <v>53.78</v>
      </c>
      <c r="K1048">
        <v>5</v>
      </c>
      <c r="L1048">
        <v>51.09</v>
      </c>
      <c r="M1048">
        <v>6.42</v>
      </c>
      <c r="N1048">
        <v>12.4</v>
      </c>
      <c r="O1048" t="s">
        <v>56</v>
      </c>
      <c r="P1048">
        <v>2024</v>
      </c>
      <c r="Q1048" t="s">
        <v>3643</v>
      </c>
      <c r="R1048">
        <v>48.535499999999999</v>
      </c>
      <c r="S1048">
        <v>0.25548309999897001</v>
      </c>
      <c r="T1048" t="s">
        <v>3634</v>
      </c>
      <c r="U1048" t="s">
        <v>3633</v>
      </c>
    </row>
    <row r="1049" spans="1:21" x14ac:dyDescent="0.25">
      <c r="A1049" t="s">
        <v>2034</v>
      </c>
      <c r="B1049" s="1">
        <v>45518</v>
      </c>
      <c r="C1049" t="s">
        <v>2035</v>
      </c>
      <c r="D1049" t="s">
        <v>17</v>
      </c>
      <c r="E1049" t="s">
        <v>76</v>
      </c>
      <c r="F1049" t="s">
        <v>26</v>
      </c>
      <c r="G1049" t="s">
        <v>20</v>
      </c>
      <c r="H1049" t="s">
        <v>199</v>
      </c>
      <c r="I1049">
        <v>3</v>
      </c>
      <c r="J1049">
        <v>104.66</v>
      </c>
      <c r="K1049">
        <v>0</v>
      </c>
      <c r="L1049">
        <v>313.98</v>
      </c>
      <c r="M1049">
        <v>9.5500000000000007</v>
      </c>
      <c r="N1049">
        <v>131.74</v>
      </c>
      <c r="O1049" t="s">
        <v>34</v>
      </c>
      <c r="P1049">
        <v>2024</v>
      </c>
      <c r="Q1049" t="s">
        <v>3643</v>
      </c>
      <c r="R1049">
        <v>313.98</v>
      </c>
      <c r="S1049">
        <v>0.41958086502324998</v>
      </c>
      <c r="T1049" t="s">
        <v>3632</v>
      </c>
      <c r="U1049" t="s">
        <v>3633</v>
      </c>
    </row>
    <row r="1050" spans="1:21" x14ac:dyDescent="0.25">
      <c r="A1050" t="s">
        <v>2036</v>
      </c>
      <c r="B1050" s="1">
        <v>45518</v>
      </c>
      <c r="C1050" t="s">
        <v>2037</v>
      </c>
      <c r="D1050" t="s">
        <v>17</v>
      </c>
      <c r="E1050" t="s">
        <v>31</v>
      </c>
      <c r="F1050" t="s">
        <v>19</v>
      </c>
      <c r="G1050" t="s">
        <v>32</v>
      </c>
      <c r="H1050" t="s">
        <v>149</v>
      </c>
      <c r="I1050">
        <v>5</v>
      </c>
      <c r="J1050">
        <v>8.93</v>
      </c>
      <c r="K1050">
        <v>20</v>
      </c>
      <c r="L1050">
        <v>35.72</v>
      </c>
      <c r="M1050">
        <v>9.26</v>
      </c>
      <c r="N1050">
        <v>6.37</v>
      </c>
      <c r="O1050" t="s">
        <v>39</v>
      </c>
      <c r="P1050">
        <v>2024</v>
      </c>
      <c r="Q1050" t="s">
        <v>3643</v>
      </c>
      <c r="R1050">
        <v>28.576000000000001</v>
      </c>
      <c r="S1050">
        <v>0.22291433370660699</v>
      </c>
      <c r="T1050" t="s">
        <v>3634</v>
      </c>
      <c r="U1050" t="s">
        <v>3633</v>
      </c>
    </row>
    <row r="1051" spans="1:21" x14ac:dyDescent="0.25">
      <c r="A1051" t="s">
        <v>2038</v>
      </c>
      <c r="B1051" s="1">
        <v>45519</v>
      </c>
      <c r="C1051" t="s">
        <v>2039</v>
      </c>
      <c r="D1051" t="s">
        <v>30</v>
      </c>
      <c r="E1051" t="s">
        <v>148</v>
      </c>
      <c r="F1051" t="s">
        <v>60</v>
      </c>
      <c r="G1051" t="s">
        <v>32</v>
      </c>
      <c r="H1051" t="s">
        <v>149</v>
      </c>
      <c r="I1051">
        <v>2</v>
      </c>
      <c r="J1051">
        <v>17.940000000000001</v>
      </c>
      <c r="K1051">
        <v>0</v>
      </c>
      <c r="L1051">
        <v>35.880000000000003</v>
      </c>
      <c r="M1051">
        <v>12.85</v>
      </c>
      <c r="N1051">
        <v>6.88</v>
      </c>
      <c r="O1051" t="s">
        <v>22</v>
      </c>
      <c r="P1051">
        <v>2024</v>
      </c>
      <c r="Q1051" t="s">
        <v>3643</v>
      </c>
      <c r="R1051">
        <v>35.880000000000003</v>
      </c>
      <c r="S1051">
        <v>0.1917502787068</v>
      </c>
      <c r="T1051" t="s">
        <v>3634</v>
      </c>
      <c r="U1051" t="s">
        <v>3633</v>
      </c>
    </row>
    <row r="1052" spans="1:21" x14ac:dyDescent="0.25">
      <c r="A1052" t="s">
        <v>2040</v>
      </c>
      <c r="B1052" s="1">
        <v>45519</v>
      </c>
      <c r="C1052" t="s">
        <v>2041</v>
      </c>
      <c r="D1052" t="s">
        <v>49</v>
      </c>
      <c r="E1052" t="s">
        <v>18</v>
      </c>
      <c r="F1052" t="s">
        <v>19</v>
      </c>
      <c r="G1052" t="s">
        <v>42</v>
      </c>
      <c r="H1052" t="s">
        <v>43</v>
      </c>
      <c r="I1052">
        <v>3</v>
      </c>
      <c r="J1052">
        <v>305.72000000000003</v>
      </c>
      <c r="K1052">
        <v>10</v>
      </c>
      <c r="L1052">
        <v>825.44</v>
      </c>
      <c r="M1052">
        <v>9.9600000000000009</v>
      </c>
      <c r="N1052">
        <v>265.18</v>
      </c>
      <c r="O1052" t="s">
        <v>39</v>
      </c>
      <c r="P1052">
        <v>2024</v>
      </c>
      <c r="Q1052" t="s">
        <v>3643</v>
      </c>
      <c r="R1052">
        <v>742.89599999999996</v>
      </c>
      <c r="S1052">
        <v>0.35695440546186802</v>
      </c>
      <c r="T1052" t="s">
        <v>3635</v>
      </c>
      <c r="U1052" t="s">
        <v>3633</v>
      </c>
    </row>
    <row r="1053" spans="1:21" x14ac:dyDescent="0.25">
      <c r="A1053" t="s">
        <v>2042</v>
      </c>
      <c r="B1053" s="1">
        <v>45520</v>
      </c>
      <c r="C1053" t="s">
        <v>2043</v>
      </c>
      <c r="D1053" t="s">
        <v>49</v>
      </c>
      <c r="E1053" t="s">
        <v>37</v>
      </c>
      <c r="F1053" t="s">
        <v>26</v>
      </c>
      <c r="G1053" t="s">
        <v>32</v>
      </c>
      <c r="H1053" t="s">
        <v>115</v>
      </c>
      <c r="I1053">
        <v>10</v>
      </c>
      <c r="J1053">
        <v>13.76</v>
      </c>
      <c r="K1053">
        <v>10</v>
      </c>
      <c r="L1053">
        <v>123.84</v>
      </c>
      <c r="M1053">
        <v>17.98</v>
      </c>
      <c r="N1053">
        <v>43.94</v>
      </c>
      <c r="O1053" t="s">
        <v>34</v>
      </c>
      <c r="P1053">
        <v>2024</v>
      </c>
      <c r="Q1053" t="s">
        <v>3643</v>
      </c>
      <c r="R1053">
        <v>111.456</v>
      </c>
      <c r="S1053">
        <v>0.39423629055412002</v>
      </c>
      <c r="T1053" t="s">
        <v>3632</v>
      </c>
      <c r="U1053" t="s">
        <v>3633</v>
      </c>
    </row>
    <row r="1054" spans="1:21" x14ac:dyDescent="0.25">
      <c r="A1054" t="s">
        <v>2044</v>
      </c>
      <c r="B1054" s="1">
        <v>45520</v>
      </c>
      <c r="C1054" t="s">
        <v>2045</v>
      </c>
      <c r="D1054" t="s">
        <v>30</v>
      </c>
      <c r="E1054" t="s">
        <v>85</v>
      </c>
      <c r="F1054" t="s">
        <v>60</v>
      </c>
      <c r="G1054" t="s">
        <v>69</v>
      </c>
      <c r="H1054" t="s">
        <v>160</v>
      </c>
      <c r="I1054">
        <v>3</v>
      </c>
      <c r="J1054">
        <v>20.47</v>
      </c>
      <c r="K1054">
        <v>5</v>
      </c>
      <c r="L1054">
        <v>58.34</v>
      </c>
      <c r="M1054">
        <v>11.67</v>
      </c>
      <c r="N1054">
        <v>15.97</v>
      </c>
      <c r="O1054" t="s">
        <v>39</v>
      </c>
      <c r="P1054">
        <v>2024</v>
      </c>
      <c r="Q1054" t="s">
        <v>3643</v>
      </c>
      <c r="R1054">
        <v>55.423000000000002</v>
      </c>
      <c r="S1054">
        <v>0.28814751998267901</v>
      </c>
      <c r="T1054" t="s">
        <v>3634</v>
      </c>
      <c r="U1054" t="s">
        <v>3633</v>
      </c>
    </row>
    <row r="1055" spans="1:21" x14ac:dyDescent="0.25">
      <c r="A1055" t="s">
        <v>2046</v>
      </c>
      <c r="B1055" s="1">
        <v>45520</v>
      </c>
      <c r="C1055" t="s">
        <v>2047</v>
      </c>
      <c r="D1055" t="s">
        <v>30</v>
      </c>
      <c r="E1055" t="s">
        <v>148</v>
      </c>
      <c r="F1055" t="s">
        <v>60</v>
      </c>
      <c r="G1055" t="s">
        <v>32</v>
      </c>
      <c r="H1055" t="s">
        <v>73</v>
      </c>
      <c r="I1055">
        <v>3</v>
      </c>
      <c r="J1055">
        <v>4.1100000000000003</v>
      </c>
      <c r="K1055">
        <v>0</v>
      </c>
      <c r="L1055">
        <v>12.33</v>
      </c>
      <c r="M1055">
        <v>14.51</v>
      </c>
      <c r="N1055">
        <v>-7.73</v>
      </c>
      <c r="O1055" t="s">
        <v>39</v>
      </c>
      <c r="P1055">
        <v>2024</v>
      </c>
      <c r="Q1055" t="s">
        <v>3643</v>
      </c>
      <c r="R1055">
        <v>12.33</v>
      </c>
      <c r="S1055">
        <v>-0.62692619626926205</v>
      </c>
      <c r="T1055" t="s">
        <v>3634</v>
      </c>
      <c r="U1055" t="s">
        <v>3636</v>
      </c>
    </row>
    <row r="1056" spans="1:21" x14ac:dyDescent="0.25">
      <c r="A1056" t="s">
        <v>2048</v>
      </c>
      <c r="B1056" s="1">
        <v>45520</v>
      </c>
      <c r="C1056" t="s">
        <v>2049</v>
      </c>
      <c r="D1056" t="s">
        <v>30</v>
      </c>
      <c r="E1056" t="s">
        <v>121</v>
      </c>
      <c r="F1056" t="s">
        <v>68</v>
      </c>
      <c r="G1056" t="s">
        <v>69</v>
      </c>
      <c r="H1056" t="s">
        <v>79</v>
      </c>
      <c r="I1056">
        <v>6</v>
      </c>
      <c r="J1056">
        <v>98</v>
      </c>
      <c r="K1056">
        <v>15</v>
      </c>
      <c r="L1056">
        <v>499.8</v>
      </c>
      <c r="M1056">
        <v>20.34</v>
      </c>
      <c r="N1056">
        <v>185.46</v>
      </c>
      <c r="O1056" t="s">
        <v>34</v>
      </c>
      <c r="P1056">
        <v>2024</v>
      </c>
      <c r="Q1056" t="s">
        <v>3643</v>
      </c>
      <c r="R1056">
        <v>424.83</v>
      </c>
      <c r="S1056">
        <v>0.43655109102464501</v>
      </c>
      <c r="T1056" t="s">
        <v>3632</v>
      </c>
      <c r="U1056" t="s">
        <v>3633</v>
      </c>
    </row>
    <row r="1057" spans="1:21" x14ac:dyDescent="0.25">
      <c r="A1057" t="s">
        <v>2050</v>
      </c>
      <c r="B1057" s="1">
        <v>45520</v>
      </c>
      <c r="C1057" t="s">
        <v>2051</v>
      </c>
      <c r="D1057" t="s">
        <v>30</v>
      </c>
      <c r="E1057" t="s">
        <v>18</v>
      </c>
      <c r="F1057" t="s">
        <v>19</v>
      </c>
      <c r="G1057" t="s">
        <v>20</v>
      </c>
      <c r="H1057" t="s">
        <v>264</v>
      </c>
      <c r="I1057">
        <v>1</v>
      </c>
      <c r="J1057">
        <v>66.5</v>
      </c>
      <c r="K1057">
        <v>10</v>
      </c>
      <c r="L1057">
        <v>59.85</v>
      </c>
      <c r="M1057">
        <v>6.99</v>
      </c>
      <c r="N1057">
        <v>16.28</v>
      </c>
      <c r="O1057" t="s">
        <v>34</v>
      </c>
      <c r="P1057">
        <v>2024</v>
      </c>
      <c r="Q1057" t="s">
        <v>3643</v>
      </c>
      <c r="R1057">
        <v>53.865000000000002</v>
      </c>
      <c r="S1057">
        <v>0.30223707416689899</v>
      </c>
      <c r="T1057" t="s">
        <v>3634</v>
      </c>
      <c r="U1057" t="s">
        <v>3633</v>
      </c>
    </row>
    <row r="1058" spans="1:21" x14ac:dyDescent="0.25">
      <c r="A1058" t="s">
        <v>2052</v>
      </c>
      <c r="B1058" s="1">
        <v>45522</v>
      </c>
      <c r="C1058" t="s">
        <v>2053</v>
      </c>
      <c r="D1058" t="s">
        <v>17</v>
      </c>
      <c r="E1058" t="s">
        <v>135</v>
      </c>
      <c r="F1058" t="s">
        <v>26</v>
      </c>
      <c r="G1058" t="s">
        <v>20</v>
      </c>
      <c r="H1058" t="s">
        <v>199</v>
      </c>
      <c r="I1058">
        <v>2</v>
      </c>
      <c r="J1058">
        <v>121.67</v>
      </c>
      <c r="K1058">
        <v>10</v>
      </c>
      <c r="L1058">
        <v>219.01</v>
      </c>
      <c r="M1058">
        <v>10.65</v>
      </c>
      <c r="N1058">
        <v>74.52</v>
      </c>
      <c r="O1058" t="s">
        <v>56</v>
      </c>
      <c r="P1058">
        <v>2024</v>
      </c>
      <c r="Q1058" t="s">
        <v>3643</v>
      </c>
      <c r="R1058">
        <v>197.10900000000001</v>
      </c>
      <c r="S1058">
        <v>0.37806492854207602</v>
      </c>
      <c r="T1058" t="s">
        <v>3632</v>
      </c>
      <c r="U1058" t="s">
        <v>3633</v>
      </c>
    </row>
    <row r="1059" spans="1:21" x14ac:dyDescent="0.25">
      <c r="A1059" t="s">
        <v>2054</v>
      </c>
      <c r="B1059" s="1">
        <v>45522</v>
      </c>
      <c r="C1059" t="s">
        <v>2055</v>
      </c>
      <c r="D1059" t="s">
        <v>30</v>
      </c>
      <c r="E1059" t="s">
        <v>67</v>
      </c>
      <c r="F1059" t="s">
        <v>68</v>
      </c>
      <c r="G1059" t="s">
        <v>20</v>
      </c>
      <c r="H1059" t="s">
        <v>106</v>
      </c>
      <c r="I1059">
        <v>4</v>
      </c>
      <c r="J1059">
        <v>63.57</v>
      </c>
      <c r="K1059">
        <v>0</v>
      </c>
      <c r="L1059">
        <v>254.28</v>
      </c>
      <c r="M1059">
        <v>18.63</v>
      </c>
      <c r="N1059">
        <v>95.8</v>
      </c>
      <c r="O1059" t="s">
        <v>34</v>
      </c>
      <c r="P1059">
        <v>2024</v>
      </c>
      <c r="Q1059" t="s">
        <v>3643</v>
      </c>
      <c r="R1059">
        <v>254.28</v>
      </c>
      <c r="S1059">
        <v>0.37675003932672602</v>
      </c>
      <c r="T1059" t="s">
        <v>3632</v>
      </c>
      <c r="U1059" t="s">
        <v>3633</v>
      </c>
    </row>
    <row r="1060" spans="1:21" x14ac:dyDescent="0.25">
      <c r="A1060" t="s">
        <v>2056</v>
      </c>
      <c r="B1060" s="1">
        <v>45523</v>
      </c>
      <c r="C1060" t="s">
        <v>2057</v>
      </c>
      <c r="D1060" t="s">
        <v>17</v>
      </c>
      <c r="E1060" t="s">
        <v>31</v>
      </c>
      <c r="F1060" t="s">
        <v>19</v>
      </c>
      <c r="G1060" t="s">
        <v>32</v>
      </c>
      <c r="H1060" t="s">
        <v>110</v>
      </c>
      <c r="I1060">
        <v>4</v>
      </c>
      <c r="J1060">
        <v>10.58</v>
      </c>
      <c r="K1060">
        <v>5</v>
      </c>
      <c r="L1060">
        <v>40.200000000000003</v>
      </c>
      <c r="M1060">
        <v>14.1</v>
      </c>
      <c r="N1060">
        <v>7.06</v>
      </c>
      <c r="O1060" t="s">
        <v>56</v>
      </c>
      <c r="P1060">
        <v>2024</v>
      </c>
      <c r="Q1060" t="s">
        <v>3643</v>
      </c>
      <c r="R1060">
        <v>38.19</v>
      </c>
      <c r="S1060">
        <v>0.184865147944488</v>
      </c>
      <c r="T1060" t="s">
        <v>3634</v>
      </c>
      <c r="U1060" t="s">
        <v>3633</v>
      </c>
    </row>
    <row r="1061" spans="1:21" x14ac:dyDescent="0.25">
      <c r="A1061" t="s">
        <v>2058</v>
      </c>
      <c r="B1061" s="1">
        <v>45524</v>
      </c>
      <c r="C1061" t="s">
        <v>2059</v>
      </c>
      <c r="D1061" t="s">
        <v>30</v>
      </c>
      <c r="E1061" t="s">
        <v>31</v>
      </c>
      <c r="F1061" t="s">
        <v>19</v>
      </c>
      <c r="G1061" t="s">
        <v>69</v>
      </c>
      <c r="H1061" t="s">
        <v>70</v>
      </c>
      <c r="I1061">
        <v>2</v>
      </c>
      <c r="J1061">
        <v>57.19</v>
      </c>
      <c r="K1061">
        <v>5</v>
      </c>
      <c r="L1061">
        <v>108.66</v>
      </c>
      <c r="M1061">
        <v>7.96</v>
      </c>
      <c r="N1061">
        <v>43.51</v>
      </c>
      <c r="O1061" t="s">
        <v>39</v>
      </c>
      <c r="P1061">
        <v>2024</v>
      </c>
      <c r="Q1061" t="s">
        <v>3643</v>
      </c>
      <c r="R1061">
        <v>103.227</v>
      </c>
      <c r="S1061">
        <v>0.42149825142646802</v>
      </c>
      <c r="T1061" t="s">
        <v>3632</v>
      </c>
      <c r="U1061" t="s">
        <v>3633</v>
      </c>
    </row>
    <row r="1062" spans="1:21" x14ac:dyDescent="0.25">
      <c r="A1062" t="s">
        <v>2060</v>
      </c>
      <c r="B1062" s="1">
        <v>45524</v>
      </c>
      <c r="C1062" t="s">
        <v>2061</v>
      </c>
      <c r="D1062" t="s">
        <v>17</v>
      </c>
      <c r="E1062" t="s">
        <v>148</v>
      </c>
      <c r="F1062" t="s">
        <v>60</v>
      </c>
      <c r="G1062" t="s">
        <v>32</v>
      </c>
      <c r="H1062" t="s">
        <v>73</v>
      </c>
      <c r="I1062">
        <v>2</v>
      </c>
      <c r="J1062">
        <v>9.18</v>
      </c>
      <c r="K1062">
        <v>15</v>
      </c>
      <c r="L1062">
        <v>15.61</v>
      </c>
      <c r="M1062">
        <v>12.05</v>
      </c>
      <c r="N1062">
        <v>-4.7</v>
      </c>
      <c r="O1062" t="s">
        <v>39</v>
      </c>
      <c r="P1062">
        <v>2024</v>
      </c>
      <c r="Q1062" t="s">
        <v>3643</v>
      </c>
      <c r="R1062">
        <v>13.2685</v>
      </c>
      <c r="S1062">
        <v>-0.35422240645136999</v>
      </c>
      <c r="T1062" t="s">
        <v>3634</v>
      </c>
      <c r="U1062" t="s">
        <v>3636</v>
      </c>
    </row>
    <row r="1063" spans="1:21" x14ac:dyDescent="0.25">
      <c r="A1063" t="s">
        <v>2062</v>
      </c>
      <c r="B1063" s="1">
        <v>45526</v>
      </c>
      <c r="C1063" t="s">
        <v>2063</v>
      </c>
      <c r="D1063" t="s">
        <v>30</v>
      </c>
      <c r="E1063" t="s">
        <v>25</v>
      </c>
      <c r="F1063" t="s">
        <v>26</v>
      </c>
      <c r="G1063" t="s">
        <v>69</v>
      </c>
      <c r="H1063" t="s">
        <v>160</v>
      </c>
      <c r="I1063">
        <v>2</v>
      </c>
      <c r="J1063">
        <v>32.020000000000003</v>
      </c>
      <c r="K1063">
        <v>10</v>
      </c>
      <c r="L1063">
        <v>57.64</v>
      </c>
      <c r="M1063">
        <v>10.01</v>
      </c>
      <c r="N1063">
        <v>15.61</v>
      </c>
      <c r="O1063" t="s">
        <v>34</v>
      </c>
      <c r="P1063">
        <v>2024</v>
      </c>
      <c r="Q1063" t="s">
        <v>3643</v>
      </c>
      <c r="R1063">
        <v>51.875999999999998</v>
      </c>
      <c r="S1063">
        <v>0.30090986197856401</v>
      </c>
      <c r="T1063" t="s">
        <v>3634</v>
      </c>
      <c r="U1063" t="s">
        <v>3633</v>
      </c>
    </row>
    <row r="1064" spans="1:21" x14ac:dyDescent="0.25">
      <c r="A1064" t="s">
        <v>2064</v>
      </c>
      <c r="B1064" s="1">
        <v>45528</v>
      </c>
      <c r="C1064" t="s">
        <v>2065</v>
      </c>
      <c r="D1064" t="s">
        <v>30</v>
      </c>
      <c r="E1064" t="s">
        <v>121</v>
      </c>
      <c r="F1064" t="s">
        <v>68</v>
      </c>
      <c r="G1064" t="s">
        <v>32</v>
      </c>
      <c r="H1064" t="s">
        <v>33</v>
      </c>
      <c r="I1064">
        <v>8</v>
      </c>
      <c r="J1064">
        <v>9.6</v>
      </c>
      <c r="K1064">
        <v>15</v>
      </c>
      <c r="L1064">
        <v>65.28</v>
      </c>
      <c r="M1064">
        <v>27.55</v>
      </c>
      <c r="N1064">
        <v>3.17</v>
      </c>
      <c r="O1064" t="s">
        <v>39</v>
      </c>
      <c r="P1064">
        <v>2024</v>
      </c>
      <c r="Q1064" t="s">
        <v>3643</v>
      </c>
      <c r="R1064">
        <v>55.488</v>
      </c>
      <c r="S1064">
        <v>5.7129469434832797E-2</v>
      </c>
      <c r="T1064" t="s">
        <v>3634</v>
      </c>
      <c r="U1064" t="s">
        <v>3633</v>
      </c>
    </row>
    <row r="1065" spans="1:21" x14ac:dyDescent="0.25">
      <c r="A1065" t="s">
        <v>2066</v>
      </c>
      <c r="B1065" s="1">
        <v>45529</v>
      </c>
      <c r="C1065" t="s">
        <v>2067</v>
      </c>
      <c r="D1065" t="s">
        <v>17</v>
      </c>
      <c r="E1065" t="s">
        <v>148</v>
      </c>
      <c r="F1065" t="s">
        <v>60</v>
      </c>
      <c r="G1065" t="s">
        <v>32</v>
      </c>
      <c r="H1065" t="s">
        <v>101</v>
      </c>
      <c r="I1065">
        <v>4</v>
      </c>
      <c r="J1065">
        <v>9.9499999999999993</v>
      </c>
      <c r="K1065">
        <v>5</v>
      </c>
      <c r="L1065">
        <v>37.81</v>
      </c>
      <c r="M1065">
        <v>12.01</v>
      </c>
      <c r="N1065">
        <v>7.89</v>
      </c>
      <c r="O1065" t="s">
        <v>39</v>
      </c>
      <c r="P1065">
        <v>2024</v>
      </c>
      <c r="Q1065" t="s">
        <v>3643</v>
      </c>
      <c r="R1065">
        <v>35.919499999999999</v>
      </c>
      <c r="S1065">
        <v>0.21965784601678801</v>
      </c>
      <c r="T1065" t="s">
        <v>3634</v>
      </c>
      <c r="U1065" t="s">
        <v>3633</v>
      </c>
    </row>
    <row r="1066" spans="1:21" x14ac:dyDescent="0.25">
      <c r="A1066" t="s">
        <v>2068</v>
      </c>
      <c r="B1066" s="1">
        <v>45529</v>
      </c>
      <c r="C1066" t="s">
        <v>2069</v>
      </c>
      <c r="D1066" t="s">
        <v>49</v>
      </c>
      <c r="E1066" t="s">
        <v>59</v>
      </c>
      <c r="F1066" t="s">
        <v>60</v>
      </c>
      <c r="G1066" t="s">
        <v>20</v>
      </c>
      <c r="H1066" t="s">
        <v>106</v>
      </c>
      <c r="I1066">
        <v>4</v>
      </c>
      <c r="J1066">
        <v>33.42</v>
      </c>
      <c r="K1066">
        <v>0</v>
      </c>
      <c r="L1066">
        <v>133.68</v>
      </c>
      <c r="M1066">
        <v>13.19</v>
      </c>
      <c r="N1066">
        <v>46.97</v>
      </c>
      <c r="O1066" t="s">
        <v>39</v>
      </c>
      <c r="P1066">
        <v>2024</v>
      </c>
      <c r="Q1066" t="s">
        <v>3643</v>
      </c>
      <c r="R1066">
        <v>133.68</v>
      </c>
      <c r="S1066">
        <v>0.35136146020347098</v>
      </c>
      <c r="T1066" t="s">
        <v>3632</v>
      </c>
      <c r="U1066" t="s">
        <v>3633</v>
      </c>
    </row>
    <row r="1067" spans="1:21" x14ac:dyDescent="0.25">
      <c r="A1067" t="s">
        <v>2070</v>
      </c>
      <c r="B1067" s="1">
        <v>45529</v>
      </c>
      <c r="C1067" t="s">
        <v>2071</v>
      </c>
      <c r="D1067" t="s">
        <v>17</v>
      </c>
      <c r="E1067" t="s">
        <v>129</v>
      </c>
      <c r="F1067" t="s">
        <v>19</v>
      </c>
      <c r="G1067" t="s">
        <v>20</v>
      </c>
      <c r="H1067" t="s">
        <v>27</v>
      </c>
      <c r="I1067">
        <v>1</v>
      </c>
      <c r="J1067">
        <v>132.41</v>
      </c>
      <c r="K1067">
        <v>10</v>
      </c>
      <c r="L1067">
        <v>119.17</v>
      </c>
      <c r="M1067">
        <v>6.65</v>
      </c>
      <c r="N1067">
        <v>39.69</v>
      </c>
      <c r="O1067" t="s">
        <v>34</v>
      </c>
      <c r="P1067">
        <v>2024</v>
      </c>
      <c r="Q1067" t="s">
        <v>3643</v>
      </c>
      <c r="R1067">
        <v>107.253</v>
      </c>
      <c r="S1067">
        <v>0.37005957875304202</v>
      </c>
      <c r="T1067" t="s">
        <v>3632</v>
      </c>
      <c r="U1067" t="s">
        <v>3633</v>
      </c>
    </row>
    <row r="1068" spans="1:21" x14ac:dyDescent="0.25">
      <c r="A1068" t="s">
        <v>2072</v>
      </c>
      <c r="B1068" s="1">
        <v>45530</v>
      </c>
      <c r="C1068" t="s">
        <v>813</v>
      </c>
      <c r="D1068" t="s">
        <v>30</v>
      </c>
      <c r="E1068" t="s">
        <v>85</v>
      </c>
      <c r="F1068" t="s">
        <v>60</v>
      </c>
      <c r="G1068" t="s">
        <v>20</v>
      </c>
      <c r="H1068" t="s">
        <v>122</v>
      </c>
      <c r="I1068">
        <v>1</v>
      </c>
      <c r="J1068">
        <v>145.65</v>
      </c>
      <c r="K1068">
        <v>0</v>
      </c>
      <c r="L1068">
        <v>145.65</v>
      </c>
      <c r="M1068">
        <v>10.25</v>
      </c>
      <c r="N1068">
        <v>55.29</v>
      </c>
      <c r="O1068" t="s">
        <v>56</v>
      </c>
      <c r="P1068">
        <v>2024</v>
      </c>
      <c r="Q1068" t="s">
        <v>3643</v>
      </c>
      <c r="R1068">
        <v>145.65</v>
      </c>
      <c r="S1068">
        <v>0.37960865087538598</v>
      </c>
      <c r="T1068" t="s">
        <v>3632</v>
      </c>
      <c r="U1068" t="s">
        <v>3633</v>
      </c>
    </row>
    <row r="1069" spans="1:21" x14ac:dyDescent="0.25">
      <c r="A1069" t="s">
        <v>2073</v>
      </c>
      <c r="B1069" s="1">
        <v>45530</v>
      </c>
      <c r="C1069" t="s">
        <v>2074</v>
      </c>
      <c r="D1069" t="s">
        <v>17</v>
      </c>
      <c r="E1069" t="s">
        <v>76</v>
      </c>
      <c r="F1069" t="s">
        <v>26</v>
      </c>
      <c r="G1069" t="s">
        <v>69</v>
      </c>
      <c r="H1069" t="s">
        <v>196</v>
      </c>
      <c r="I1069">
        <v>1</v>
      </c>
      <c r="J1069">
        <v>20.03</v>
      </c>
      <c r="K1069">
        <v>5</v>
      </c>
      <c r="L1069">
        <v>19.03</v>
      </c>
      <c r="M1069">
        <v>7.96</v>
      </c>
      <c r="N1069">
        <v>1.06</v>
      </c>
      <c r="O1069" t="s">
        <v>34</v>
      </c>
      <c r="P1069">
        <v>2024</v>
      </c>
      <c r="Q1069" t="s">
        <v>3643</v>
      </c>
      <c r="R1069">
        <v>18.078499999999998</v>
      </c>
      <c r="S1069">
        <v>5.8633183062754099E-2</v>
      </c>
      <c r="T1069" t="s">
        <v>3634</v>
      </c>
      <c r="U1069" t="s">
        <v>3633</v>
      </c>
    </row>
    <row r="1070" spans="1:21" x14ac:dyDescent="0.25">
      <c r="A1070" t="s">
        <v>2075</v>
      </c>
      <c r="B1070" s="1">
        <v>45530</v>
      </c>
      <c r="C1070" t="s">
        <v>2076</v>
      </c>
      <c r="D1070" t="s">
        <v>17</v>
      </c>
      <c r="E1070" t="s">
        <v>18</v>
      </c>
      <c r="F1070" t="s">
        <v>19</v>
      </c>
      <c r="G1070" t="s">
        <v>69</v>
      </c>
      <c r="H1070" t="s">
        <v>305</v>
      </c>
      <c r="I1070">
        <v>3</v>
      </c>
      <c r="J1070">
        <v>74.989999999999995</v>
      </c>
      <c r="K1070">
        <v>0</v>
      </c>
      <c r="L1070">
        <v>224.97</v>
      </c>
      <c r="M1070">
        <v>11.37</v>
      </c>
      <c r="N1070">
        <v>101.12</v>
      </c>
      <c r="O1070" t="s">
        <v>34</v>
      </c>
      <c r="P1070">
        <v>2024</v>
      </c>
      <c r="Q1070" t="s">
        <v>3643</v>
      </c>
      <c r="R1070">
        <v>224.97</v>
      </c>
      <c r="S1070">
        <v>0.449482153175979</v>
      </c>
      <c r="T1070" t="s">
        <v>3632</v>
      </c>
      <c r="U1070" t="s">
        <v>3633</v>
      </c>
    </row>
    <row r="1071" spans="1:21" x14ac:dyDescent="0.25">
      <c r="A1071" t="s">
        <v>2077</v>
      </c>
      <c r="B1071" s="1">
        <v>45532</v>
      </c>
      <c r="C1071" t="s">
        <v>1330</v>
      </c>
      <c r="D1071" t="s">
        <v>30</v>
      </c>
      <c r="E1071" t="s">
        <v>18</v>
      </c>
      <c r="F1071" t="s">
        <v>19</v>
      </c>
      <c r="G1071" t="s">
        <v>69</v>
      </c>
      <c r="H1071" t="s">
        <v>163</v>
      </c>
      <c r="I1071">
        <v>3</v>
      </c>
      <c r="J1071">
        <v>45.38</v>
      </c>
      <c r="K1071">
        <v>10</v>
      </c>
      <c r="L1071">
        <v>122.53</v>
      </c>
      <c r="M1071">
        <v>9.66</v>
      </c>
      <c r="N1071">
        <v>44.8</v>
      </c>
      <c r="O1071" t="s">
        <v>39</v>
      </c>
      <c r="P1071">
        <v>2024</v>
      </c>
      <c r="Q1071" t="s">
        <v>3643</v>
      </c>
      <c r="R1071">
        <v>110.277</v>
      </c>
      <c r="S1071">
        <v>0.406249716622686</v>
      </c>
      <c r="T1071" t="s">
        <v>3632</v>
      </c>
      <c r="U1071" t="s">
        <v>3633</v>
      </c>
    </row>
    <row r="1072" spans="1:21" x14ac:dyDescent="0.25">
      <c r="A1072" t="s">
        <v>2078</v>
      </c>
      <c r="B1072" s="1">
        <v>45532</v>
      </c>
      <c r="C1072" t="s">
        <v>124</v>
      </c>
      <c r="D1072" t="s">
        <v>30</v>
      </c>
      <c r="E1072" t="s">
        <v>148</v>
      </c>
      <c r="F1072" t="s">
        <v>60</v>
      </c>
      <c r="G1072" t="s">
        <v>42</v>
      </c>
      <c r="H1072" t="s">
        <v>118</v>
      </c>
      <c r="I1072">
        <v>4</v>
      </c>
      <c r="J1072">
        <v>91.15</v>
      </c>
      <c r="K1072">
        <v>5</v>
      </c>
      <c r="L1072">
        <v>346.37</v>
      </c>
      <c r="M1072">
        <v>13.75</v>
      </c>
      <c r="N1072">
        <v>113.86</v>
      </c>
      <c r="O1072" t="s">
        <v>56</v>
      </c>
      <c r="P1072">
        <v>2024</v>
      </c>
      <c r="Q1072" t="s">
        <v>3643</v>
      </c>
      <c r="R1072">
        <v>329.05149999999998</v>
      </c>
      <c r="S1072">
        <v>0.34602486236956798</v>
      </c>
      <c r="T1072" t="s">
        <v>3632</v>
      </c>
      <c r="U1072" t="s">
        <v>3633</v>
      </c>
    </row>
    <row r="1073" spans="1:21" x14ac:dyDescent="0.25">
      <c r="A1073" t="s">
        <v>2079</v>
      </c>
      <c r="B1073" s="1">
        <v>45532</v>
      </c>
      <c r="C1073" t="s">
        <v>2080</v>
      </c>
      <c r="D1073" t="s">
        <v>30</v>
      </c>
      <c r="E1073" t="s">
        <v>18</v>
      </c>
      <c r="F1073" t="s">
        <v>19</v>
      </c>
      <c r="G1073" t="s">
        <v>20</v>
      </c>
      <c r="H1073" t="s">
        <v>106</v>
      </c>
      <c r="I1073">
        <v>2</v>
      </c>
      <c r="J1073">
        <v>64.84</v>
      </c>
      <c r="K1073">
        <v>20</v>
      </c>
      <c r="L1073">
        <v>103.74</v>
      </c>
      <c r="M1073">
        <v>6.94</v>
      </c>
      <c r="N1073">
        <v>25.48</v>
      </c>
      <c r="O1073" t="s">
        <v>39</v>
      </c>
      <c r="P1073">
        <v>2024</v>
      </c>
      <c r="Q1073" t="s">
        <v>3643</v>
      </c>
      <c r="R1073">
        <v>82.992000000000004</v>
      </c>
      <c r="S1073">
        <v>0.30701754385964902</v>
      </c>
      <c r="T1073" t="s">
        <v>3632</v>
      </c>
      <c r="U1073" t="s">
        <v>3633</v>
      </c>
    </row>
    <row r="1074" spans="1:21" x14ac:dyDescent="0.25">
      <c r="A1074" t="s">
        <v>2081</v>
      </c>
      <c r="B1074" s="1">
        <v>45533</v>
      </c>
      <c r="C1074" t="s">
        <v>2082</v>
      </c>
      <c r="D1074" t="s">
        <v>30</v>
      </c>
      <c r="E1074" t="s">
        <v>31</v>
      </c>
      <c r="F1074" t="s">
        <v>19</v>
      </c>
      <c r="G1074" t="s">
        <v>42</v>
      </c>
      <c r="H1074" t="s">
        <v>43</v>
      </c>
      <c r="I1074">
        <v>3</v>
      </c>
      <c r="J1074">
        <v>277.81</v>
      </c>
      <c r="K1074">
        <v>15</v>
      </c>
      <c r="L1074">
        <v>708.42</v>
      </c>
      <c r="M1074">
        <v>9.76</v>
      </c>
      <c r="N1074">
        <v>198.6</v>
      </c>
      <c r="O1074" t="s">
        <v>39</v>
      </c>
      <c r="P1074">
        <v>2024</v>
      </c>
      <c r="Q1074" t="s">
        <v>3643</v>
      </c>
      <c r="R1074">
        <v>602.15700000000004</v>
      </c>
      <c r="S1074">
        <v>0.329814317528485</v>
      </c>
      <c r="T1074" t="s">
        <v>3635</v>
      </c>
      <c r="U1074" t="s">
        <v>3633</v>
      </c>
    </row>
    <row r="1075" spans="1:21" x14ac:dyDescent="0.25">
      <c r="A1075" t="s">
        <v>2083</v>
      </c>
      <c r="B1075" s="1">
        <v>45533</v>
      </c>
      <c r="C1075" t="s">
        <v>2084</v>
      </c>
      <c r="D1075" t="s">
        <v>30</v>
      </c>
      <c r="E1075" t="s">
        <v>59</v>
      </c>
      <c r="F1075" t="s">
        <v>60</v>
      </c>
      <c r="G1075" t="s">
        <v>32</v>
      </c>
      <c r="H1075" t="s">
        <v>132</v>
      </c>
      <c r="I1075">
        <v>4</v>
      </c>
      <c r="J1075">
        <v>15.31</v>
      </c>
      <c r="K1075">
        <v>15</v>
      </c>
      <c r="L1075">
        <v>52.05</v>
      </c>
      <c r="M1075">
        <v>17.07</v>
      </c>
      <c r="N1075">
        <v>7.42</v>
      </c>
      <c r="O1075" t="s">
        <v>56</v>
      </c>
      <c r="P1075">
        <v>2024</v>
      </c>
      <c r="Q1075" t="s">
        <v>3643</v>
      </c>
      <c r="R1075">
        <v>44.2425</v>
      </c>
      <c r="S1075">
        <v>0.16771204158896999</v>
      </c>
      <c r="T1075" t="s">
        <v>3634</v>
      </c>
      <c r="U1075" t="s">
        <v>3633</v>
      </c>
    </row>
    <row r="1076" spans="1:21" x14ac:dyDescent="0.25">
      <c r="A1076" t="s">
        <v>2085</v>
      </c>
      <c r="B1076" s="1">
        <v>45534</v>
      </c>
      <c r="C1076" t="s">
        <v>2086</v>
      </c>
      <c r="D1076" t="s">
        <v>30</v>
      </c>
      <c r="E1076" t="s">
        <v>129</v>
      </c>
      <c r="F1076" t="s">
        <v>19</v>
      </c>
      <c r="G1076" t="s">
        <v>69</v>
      </c>
      <c r="H1076" t="s">
        <v>139</v>
      </c>
      <c r="I1076">
        <v>2</v>
      </c>
      <c r="J1076">
        <v>57.71</v>
      </c>
      <c r="K1076">
        <v>5</v>
      </c>
      <c r="L1076">
        <v>109.65</v>
      </c>
      <c r="M1076">
        <v>6.72</v>
      </c>
      <c r="N1076">
        <v>45.22</v>
      </c>
      <c r="O1076" t="s">
        <v>34</v>
      </c>
      <c r="P1076">
        <v>2024</v>
      </c>
      <c r="Q1076" t="s">
        <v>3643</v>
      </c>
      <c r="R1076">
        <v>104.1675</v>
      </c>
      <c r="S1076">
        <v>0.434108527131783</v>
      </c>
      <c r="T1076" t="s">
        <v>3632</v>
      </c>
      <c r="U1076" t="s">
        <v>3633</v>
      </c>
    </row>
    <row r="1077" spans="1:21" x14ac:dyDescent="0.25">
      <c r="A1077" t="s">
        <v>2087</v>
      </c>
      <c r="B1077" s="1">
        <v>45535</v>
      </c>
      <c r="C1077" t="s">
        <v>2088</v>
      </c>
      <c r="D1077" t="s">
        <v>17</v>
      </c>
      <c r="E1077" t="s">
        <v>37</v>
      </c>
      <c r="F1077" t="s">
        <v>26</v>
      </c>
      <c r="G1077" t="s">
        <v>69</v>
      </c>
      <c r="H1077" t="s">
        <v>305</v>
      </c>
      <c r="I1077">
        <v>4</v>
      </c>
      <c r="J1077">
        <v>36.93</v>
      </c>
      <c r="K1077">
        <v>15</v>
      </c>
      <c r="L1077">
        <v>125.56</v>
      </c>
      <c r="M1077">
        <v>14.92</v>
      </c>
      <c r="N1077">
        <v>36.78</v>
      </c>
      <c r="O1077" t="s">
        <v>22</v>
      </c>
      <c r="P1077">
        <v>2024</v>
      </c>
      <c r="Q1077" t="s">
        <v>3643</v>
      </c>
      <c r="R1077">
        <v>106.726</v>
      </c>
      <c r="S1077">
        <v>0.34462080467739797</v>
      </c>
      <c r="T1077" t="s">
        <v>3632</v>
      </c>
      <c r="U1077" t="s">
        <v>3633</v>
      </c>
    </row>
    <row r="1078" spans="1:21" x14ac:dyDescent="0.25">
      <c r="A1078" t="s">
        <v>2089</v>
      </c>
      <c r="B1078" s="1">
        <v>45536</v>
      </c>
      <c r="C1078" t="s">
        <v>2090</v>
      </c>
      <c r="D1078" t="s">
        <v>30</v>
      </c>
      <c r="E1078" t="s">
        <v>166</v>
      </c>
      <c r="F1078" t="s">
        <v>60</v>
      </c>
      <c r="G1078" t="s">
        <v>32</v>
      </c>
      <c r="H1078" t="s">
        <v>82</v>
      </c>
      <c r="I1078">
        <v>1</v>
      </c>
      <c r="J1078">
        <v>20.09</v>
      </c>
      <c r="K1078">
        <v>15</v>
      </c>
      <c r="L1078">
        <v>17.079999999999998</v>
      </c>
      <c r="M1078">
        <v>10.58</v>
      </c>
      <c r="N1078">
        <v>-2.54</v>
      </c>
      <c r="O1078" t="s">
        <v>34</v>
      </c>
      <c r="P1078">
        <v>2024</v>
      </c>
      <c r="Q1078" t="s">
        <v>3644</v>
      </c>
      <c r="R1078">
        <v>14.518000000000001</v>
      </c>
      <c r="S1078">
        <v>-0.174955227992836</v>
      </c>
      <c r="T1078" t="s">
        <v>3634</v>
      </c>
      <c r="U1078" t="s">
        <v>3636</v>
      </c>
    </row>
    <row r="1079" spans="1:21" x14ac:dyDescent="0.25">
      <c r="A1079" t="s">
        <v>2091</v>
      </c>
      <c r="B1079" s="1">
        <v>45538</v>
      </c>
      <c r="C1079" t="s">
        <v>2092</v>
      </c>
      <c r="D1079" t="s">
        <v>30</v>
      </c>
      <c r="E1079" t="s">
        <v>31</v>
      </c>
      <c r="F1079" t="s">
        <v>19</v>
      </c>
      <c r="G1079" t="s">
        <v>42</v>
      </c>
      <c r="H1079" t="s">
        <v>43</v>
      </c>
      <c r="I1079">
        <v>2</v>
      </c>
      <c r="J1079">
        <v>112.26</v>
      </c>
      <c r="K1079">
        <v>0</v>
      </c>
      <c r="L1079">
        <v>224.52</v>
      </c>
      <c r="M1079">
        <v>8.69</v>
      </c>
      <c r="N1079">
        <v>81.12</v>
      </c>
      <c r="O1079" t="s">
        <v>39</v>
      </c>
      <c r="P1079">
        <v>2024</v>
      </c>
      <c r="Q1079" t="s">
        <v>3644</v>
      </c>
      <c r="R1079">
        <v>224.52</v>
      </c>
      <c r="S1079">
        <v>0.36130411544628499</v>
      </c>
      <c r="T1079" t="s">
        <v>3632</v>
      </c>
      <c r="U1079" t="s">
        <v>3633</v>
      </c>
    </row>
    <row r="1080" spans="1:21" x14ac:dyDescent="0.25">
      <c r="A1080" t="s">
        <v>2093</v>
      </c>
      <c r="B1080" s="1">
        <v>45539</v>
      </c>
      <c r="C1080" t="s">
        <v>997</v>
      </c>
      <c r="D1080" t="s">
        <v>49</v>
      </c>
      <c r="E1080" t="s">
        <v>37</v>
      </c>
      <c r="F1080" t="s">
        <v>26</v>
      </c>
      <c r="G1080" t="s">
        <v>32</v>
      </c>
      <c r="H1080" t="s">
        <v>82</v>
      </c>
      <c r="I1080">
        <v>3</v>
      </c>
      <c r="J1080">
        <v>22.08</v>
      </c>
      <c r="K1080">
        <v>10</v>
      </c>
      <c r="L1080">
        <v>59.62</v>
      </c>
      <c r="M1080">
        <v>10.3</v>
      </c>
      <c r="N1080">
        <v>19.510000000000002</v>
      </c>
      <c r="O1080" t="s">
        <v>56</v>
      </c>
      <c r="P1080">
        <v>2024</v>
      </c>
      <c r="Q1080" t="s">
        <v>3644</v>
      </c>
      <c r="R1080">
        <v>53.658000000000001</v>
      </c>
      <c r="S1080">
        <v>0.36359909053636003</v>
      </c>
      <c r="T1080" t="s">
        <v>3634</v>
      </c>
      <c r="U1080" t="s">
        <v>3633</v>
      </c>
    </row>
    <row r="1081" spans="1:21" x14ac:dyDescent="0.25">
      <c r="A1081" t="s">
        <v>2094</v>
      </c>
      <c r="B1081" s="1">
        <v>45539</v>
      </c>
      <c r="C1081" t="s">
        <v>2095</v>
      </c>
      <c r="D1081" t="s">
        <v>30</v>
      </c>
      <c r="E1081" t="s">
        <v>63</v>
      </c>
      <c r="F1081" t="s">
        <v>54</v>
      </c>
      <c r="G1081" t="s">
        <v>20</v>
      </c>
      <c r="H1081" t="s">
        <v>175</v>
      </c>
      <c r="I1081">
        <v>8</v>
      </c>
      <c r="J1081">
        <v>29.9</v>
      </c>
      <c r="K1081">
        <v>0</v>
      </c>
      <c r="L1081">
        <v>239.2</v>
      </c>
      <c r="M1081">
        <v>15.61</v>
      </c>
      <c r="N1081">
        <v>92.03</v>
      </c>
      <c r="O1081" t="s">
        <v>39</v>
      </c>
      <c r="P1081">
        <v>2024</v>
      </c>
      <c r="Q1081" t="s">
        <v>3644</v>
      </c>
      <c r="R1081">
        <v>239.2</v>
      </c>
      <c r="S1081">
        <v>0.38474080267558503</v>
      </c>
      <c r="T1081" t="s">
        <v>3632</v>
      </c>
      <c r="U1081" t="s">
        <v>3633</v>
      </c>
    </row>
    <row r="1082" spans="1:21" x14ac:dyDescent="0.25">
      <c r="A1082" t="s">
        <v>2096</v>
      </c>
      <c r="B1082" s="1">
        <v>45540</v>
      </c>
      <c r="C1082" t="s">
        <v>2097</v>
      </c>
      <c r="D1082" t="s">
        <v>30</v>
      </c>
      <c r="E1082" t="s">
        <v>31</v>
      </c>
      <c r="F1082" t="s">
        <v>19</v>
      </c>
      <c r="G1082" t="s">
        <v>20</v>
      </c>
      <c r="H1082" t="s">
        <v>199</v>
      </c>
      <c r="I1082">
        <v>2</v>
      </c>
      <c r="J1082">
        <v>79.84</v>
      </c>
      <c r="K1082">
        <v>10</v>
      </c>
      <c r="L1082">
        <v>143.71</v>
      </c>
      <c r="M1082">
        <v>7.24</v>
      </c>
      <c r="N1082">
        <v>48.65</v>
      </c>
      <c r="O1082" t="s">
        <v>39</v>
      </c>
      <c r="P1082">
        <v>2024</v>
      </c>
      <c r="Q1082" t="s">
        <v>3644</v>
      </c>
      <c r="R1082">
        <v>129.339</v>
      </c>
      <c r="S1082">
        <v>0.37614331330843798</v>
      </c>
      <c r="T1082" t="s">
        <v>3632</v>
      </c>
      <c r="U1082" t="s">
        <v>3633</v>
      </c>
    </row>
    <row r="1083" spans="1:21" x14ac:dyDescent="0.25">
      <c r="A1083" t="s">
        <v>2098</v>
      </c>
      <c r="B1083" s="1">
        <v>45540</v>
      </c>
      <c r="C1083" t="s">
        <v>2099</v>
      </c>
      <c r="D1083" t="s">
        <v>30</v>
      </c>
      <c r="E1083" t="s">
        <v>248</v>
      </c>
      <c r="F1083" t="s">
        <v>26</v>
      </c>
      <c r="G1083" t="s">
        <v>69</v>
      </c>
      <c r="H1083" t="s">
        <v>196</v>
      </c>
      <c r="I1083">
        <v>2</v>
      </c>
      <c r="J1083">
        <v>12.3</v>
      </c>
      <c r="K1083">
        <v>0</v>
      </c>
      <c r="L1083">
        <v>24.6</v>
      </c>
      <c r="M1083">
        <v>11.2</v>
      </c>
      <c r="N1083">
        <v>1.1000000000000001</v>
      </c>
      <c r="O1083" t="s">
        <v>34</v>
      </c>
      <c r="P1083">
        <v>2024</v>
      </c>
      <c r="Q1083" t="s">
        <v>3644</v>
      </c>
      <c r="R1083">
        <v>24.6</v>
      </c>
      <c r="S1083">
        <v>4.4715447154471497E-2</v>
      </c>
      <c r="T1083" t="s">
        <v>3634</v>
      </c>
      <c r="U1083" t="s">
        <v>3633</v>
      </c>
    </row>
    <row r="1084" spans="1:21" x14ac:dyDescent="0.25">
      <c r="A1084" t="s">
        <v>2100</v>
      </c>
      <c r="B1084" s="1">
        <v>45540</v>
      </c>
      <c r="C1084" t="s">
        <v>2101</v>
      </c>
      <c r="D1084" t="s">
        <v>30</v>
      </c>
      <c r="E1084" t="s">
        <v>18</v>
      </c>
      <c r="F1084" t="s">
        <v>19</v>
      </c>
      <c r="G1084" t="s">
        <v>20</v>
      </c>
      <c r="H1084" t="s">
        <v>264</v>
      </c>
      <c r="I1084">
        <v>1</v>
      </c>
      <c r="J1084">
        <v>30.33</v>
      </c>
      <c r="K1084">
        <v>5</v>
      </c>
      <c r="L1084">
        <v>28.81</v>
      </c>
      <c r="M1084">
        <v>6.89</v>
      </c>
      <c r="N1084">
        <v>5.24</v>
      </c>
      <c r="O1084" t="s">
        <v>56</v>
      </c>
      <c r="P1084">
        <v>2024</v>
      </c>
      <c r="Q1084" t="s">
        <v>3644</v>
      </c>
      <c r="R1084">
        <v>27.369499999999999</v>
      </c>
      <c r="S1084">
        <v>0.19145399075613401</v>
      </c>
      <c r="T1084" t="s">
        <v>3634</v>
      </c>
      <c r="U1084" t="s">
        <v>3633</v>
      </c>
    </row>
    <row r="1085" spans="1:21" x14ac:dyDescent="0.25">
      <c r="A1085" t="s">
        <v>2102</v>
      </c>
      <c r="B1085" s="1">
        <v>45541</v>
      </c>
      <c r="C1085" t="s">
        <v>2103</v>
      </c>
      <c r="D1085" t="s">
        <v>17</v>
      </c>
      <c r="E1085" t="s">
        <v>169</v>
      </c>
      <c r="F1085" t="s">
        <v>68</v>
      </c>
      <c r="G1085" t="s">
        <v>32</v>
      </c>
      <c r="H1085" t="s">
        <v>149</v>
      </c>
      <c r="I1085">
        <v>6</v>
      </c>
      <c r="J1085">
        <v>13.5</v>
      </c>
      <c r="K1085">
        <v>15</v>
      </c>
      <c r="L1085">
        <v>68.849999999999994</v>
      </c>
      <c r="M1085">
        <v>14.12</v>
      </c>
      <c r="N1085">
        <v>18.28</v>
      </c>
      <c r="O1085" t="s">
        <v>34</v>
      </c>
      <c r="P1085">
        <v>2024</v>
      </c>
      <c r="Q1085" t="s">
        <v>3644</v>
      </c>
      <c r="R1085">
        <v>58.522500000000001</v>
      </c>
      <c r="S1085">
        <v>0.31235849459609599</v>
      </c>
      <c r="T1085" t="s">
        <v>3634</v>
      </c>
      <c r="U1085" t="s">
        <v>3633</v>
      </c>
    </row>
    <row r="1086" spans="1:21" x14ac:dyDescent="0.25">
      <c r="A1086" t="s">
        <v>2104</v>
      </c>
      <c r="B1086" s="1">
        <v>45541</v>
      </c>
      <c r="C1086" t="s">
        <v>2105</v>
      </c>
      <c r="D1086" t="s">
        <v>30</v>
      </c>
      <c r="E1086" t="s">
        <v>135</v>
      </c>
      <c r="F1086" t="s">
        <v>26</v>
      </c>
      <c r="G1086" t="s">
        <v>69</v>
      </c>
      <c r="H1086" t="s">
        <v>139</v>
      </c>
      <c r="I1086">
        <v>3</v>
      </c>
      <c r="J1086">
        <v>68.42</v>
      </c>
      <c r="K1086">
        <v>10</v>
      </c>
      <c r="L1086">
        <v>184.73</v>
      </c>
      <c r="M1086">
        <v>12.09</v>
      </c>
      <c r="N1086">
        <v>70.010000000000005</v>
      </c>
      <c r="O1086" t="s">
        <v>39</v>
      </c>
      <c r="P1086">
        <v>2024</v>
      </c>
      <c r="Q1086" t="s">
        <v>3644</v>
      </c>
      <c r="R1086">
        <v>166.25700000000001</v>
      </c>
      <c r="S1086">
        <v>0.42109505163692401</v>
      </c>
      <c r="T1086" t="s">
        <v>3632</v>
      </c>
      <c r="U1086" t="s">
        <v>3633</v>
      </c>
    </row>
    <row r="1087" spans="1:21" x14ac:dyDescent="0.25">
      <c r="A1087" t="s">
        <v>2106</v>
      </c>
      <c r="B1087" s="1">
        <v>45541</v>
      </c>
      <c r="C1087" t="s">
        <v>2107</v>
      </c>
      <c r="D1087" t="s">
        <v>49</v>
      </c>
      <c r="E1087" t="s">
        <v>18</v>
      </c>
      <c r="F1087" t="s">
        <v>19</v>
      </c>
      <c r="G1087" t="s">
        <v>32</v>
      </c>
      <c r="H1087" t="s">
        <v>115</v>
      </c>
      <c r="I1087">
        <v>8</v>
      </c>
      <c r="J1087">
        <v>7.55</v>
      </c>
      <c r="K1087">
        <v>20</v>
      </c>
      <c r="L1087">
        <v>48.32</v>
      </c>
      <c r="M1087">
        <v>12.15</v>
      </c>
      <c r="N1087">
        <v>8.99</v>
      </c>
      <c r="O1087" t="s">
        <v>39</v>
      </c>
      <c r="P1087">
        <v>2024</v>
      </c>
      <c r="Q1087" t="s">
        <v>3644</v>
      </c>
      <c r="R1087">
        <v>38.655999999999999</v>
      </c>
      <c r="S1087">
        <v>0.23256415562913901</v>
      </c>
      <c r="T1087" t="s">
        <v>3634</v>
      </c>
      <c r="U1087" t="s">
        <v>3633</v>
      </c>
    </row>
    <row r="1088" spans="1:21" x14ac:dyDescent="0.25">
      <c r="A1088" t="s">
        <v>2108</v>
      </c>
      <c r="B1088" s="1">
        <v>45541</v>
      </c>
      <c r="C1088" t="s">
        <v>2109</v>
      </c>
      <c r="D1088" t="s">
        <v>30</v>
      </c>
      <c r="E1088" t="s">
        <v>109</v>
      </c>
      <c r="F1088" t="s">
        <v>54</v>
      </c>
      <c r="G1088" t="s">
        <v>20</v>
      </c>
      <c r="H1088" t="s">
        <v>55</v>
      </c>
      <c r="I1088">
        <v>5</v>
      </c>
      <c r="J1088">
        <v>57.26</v>
      </c>
      <c r="K1088">
        <v>10</v>
      </c>
      <c r="L1088">
        <v>257.67</v>
      </c>
      <c r="M1088">
        <v>17.079999999999998</v>
      </c>
      <c r="N1088">
        <v>83.12</v>
      </c>
      <c r="O1088" t="s">
        <v>56</v>
      </c>
      <c r="P1088">
        <v>2024</v>
      </c>
      <c r="Q1088" t="s">
        <v>3644</v>
      </c>
      <c r="R1088">
        <v>231.90299999999999</v>
      </c>
      <c r="S1088">
        <v>0.35842572109890802</v>
      </c>
      <c r="T1088" t="s">
        <v>3632</v>
      </c>
      <c r="U1088" t="s">
        <v>3633</v>
      </c>
    </row>
    <row r="1089" spans="1:21" x14ac:dyDescent="0.25">
      <c r="A1089" t="s">
        <v>2110</v>
      </c>
      <c r="B1089" s="1">
        <v>45541</v>
      </c>
      <c r="C1089" t="s">
        <v>2111</v>
      </c>
      <c r="D1089" t="s">
        <v>30</v>
      </c>
      <c r="E1089" t="s">
        <v>31</v>
      </c>
      <c r="F1089" t="s">
        <v>19</v>
      </c>
      <c r="G1089" t="s">
        <v>42</v>
      </c>
      <c r="H1089" t="s">
        <v>93</v>
      </c>
      <c r="I1089">
        <v>1</v>
      </c>
      <c r="J1089">
        <v>187.47</v>
      </c>
      <c r="K1089">
        <v>0</v>
      </c>
      <c r="L1089">
        <v>187.47</v>
      </c>
      <c r="M1089">
        <v>6.23</v>
      </c>
      <c r="N1089">
        <v>68.760000000000005</v>
      </c>
      <c r="O1089" t="s">
        <v>56</v>
      </c>
      <c r="P1089">
        <v>2024</v>
      </c>
      <c r="Q1089" t="s">
        <v>3644</v>
      </c>
      <c r="R1089">
        <v>187.47</v>
      </c>
      <c r="S1089">
        <v>0.366778684589534</v>
      </c>
      <c r="T1089" t="s">
        <v>3632</v>
      </c>
      <c r="U1089" t="s">
        <v>3633</v>
      </c>
    </row>
    <row r="1090" spans="1:21" x14ac:dyDescent="0.25">
      <c r="A1090" t="s">
        <v>2112</v>
      </c>
      <c r="B1090" s="1">
        <v>45542</v>
      </c>
      <c r="C1090" t="s">
        <v>2113</v>
      </c>
      <c r="D1090" t="s">
        <v>30</v>
      </c>
      <c r="E1090" t="s">
        <v>129</v>
      </c>
      <c r="F1090" t="s">
        <v>19</v>
      </c>
      <c r="G1090" t="s">
        <v>20</v>
      </c>
      <c r="H1090" t="s">
        <v>170</v>
      </c>
      <c r="I1090">
        <v>2</v>
      </c>
      <c r="J1090">
        <v>50.79</v>
      </c>
      <c r="K1090">
        <v>0</v>
      </c>
      <c r="L1090">
        <v>101.58</v>
      </c>
      <c r="M1090">
        <v>7.71</v>
      </c>
      <c r="N1090">
        <v>38</v>
      </c>
      <c r="O1090" t="s">
        <v>39</v>
      </c>
      <c r="P1090">
        <v>2024</v>
      </c>
      <c r="Q1090" t="s">
        <v>3644</v>
      </c>
      <c r="R1090">
        <v>101.58</v>
      </c>
      <c r="S1090">
        <v>0.37408938767473898</v>
      </c>
      <c r="T1090" t="s">
        <v>3632</v>
      </c>
      <c r="U1090" t="s">
        <v>3633</v>
      </c>
    </row>
    <row r="1091" spans="1:21" x14ac:dyDescent="0.25">
      <c r="A1091" t="s">
        <v>2114</v>
      </c>
      <c r="B1091" s="1">
        <v>45542</v>
      </c>
      <c r="C1091" t="s">
        <v>2115</v>
      </c>
      <c r="D1091" t="s">
        <v>49</v>
      </c>
      <c r="E1091" t="s">
        <v>169</v>
      </c>
      <c r="F1091" t="s">
        <v>68</v>
      </c>
      <c r="G1091" t="s">
        <v>69</v>
      </c>
      <c r="H1091" t="s">
        <v>139</v>
      </c>
      <c r="I1091">
        <v>1</v>
      </c>
      <c r="J1091">
        <v>31.92</v>
      </c>
      <c r="K1091">
        <v>0</v>
      </c>
      <c r="L1091">
        <v>31.92</v>
      </c>
      <c r="M1091">
        <v>12.07</v>
      </c>
      <c r="N1091">
        <v>3.89</v>
      </c>
      <c r="O1091" t="s">
        <v>22</v>
      </c>
      <c r="P1091">
        <v>2024</v>
      </c>
      <c r="Q1091" t="s">
        <v>3644</v>
      </c>
      <c r="R1091">
        <v>31.92</v>
      </c>
      <c r="S1091">
        <v>0.1218671679198</v>
      </c>
      <c r="T1091" t="s">
        <v>3634</v>
      </c>
      <c r="U1091" t="s">
        <v>3633</v>
      </c>
    </row>
    <row r="1092" spans="1:21" x14ac:dyDescent="0.25">
      <c r="A1092" t="s">
        <v>2116</v>
      </c>
      <c r="B1092" s="1">
        <v>45544</v>
      </c>
      <c r="C1092" t="s">
        <v>2117</v>
      </c>
      <c r="D1092" t="s">
        <v>30</v>
      </c>
      <c r="E1092" t="s">
        <v>18</v>
      </c>
      <c r="F1092" t="s">
        <v>19</v>
      </c>
      <c r="G1092" t="s">
        <v>32</v>
      </c>
      <c r="H1092" t="s">
        <v>149</v>
      </c>
      <c r="I1092">
        <v>8</v>
      </c>
      <c r="J1092">
        <v>15.17</v>
      </c>
      <c r="K1092">
        <v>0</v>
      </c>
      <c r="L1092">
        <v>121.36</v>
      </c>
      <c r="M1092">
        <v>23.42</v>
      </c>
      <c r="N1092">
        <v>43.33</v>
      </c>
      <c r="O1092" t="s">
        <v>34</v>
      </c>
      <c r="P1092">
        <v>2024</v>
      </c>
      <c r="Q1092" t="s">
        <v>3644</v>
      </c>
      <c r="R1092">
        <v>121.36</v>
      </c>
      <c r="S1092">
        <v>0.35703691496374401</v>
      </c>
      <c r="T1092" t="s">
        <v>3632</v>
      </c>
      <c r="U1092" t="s">
        <v>3633</v>
      </c>
    </row>
    <row r="1093" spans="1:21" x14ac:dyDescent="0.25">
      <c r="A1093" t="s">
        <v>2118</v>
      </c>
      <c r="B1093" s="1">
        <v>45545</v>
      </c>
      <c r="C1093" t="s">
        <v>2119</v>
      </c>
      <c r="D1093" t="s">
        <v>49</v>
      </c>
      <c r="E1093" t="s">
        <v>67</v>
      </c>
      <c r="F1093" t="s">
        <v>68</v>
      </c>
      <c r="G1093" t="s">
        <v>20</v>
      </c>
      <c r="H1093" t="s">
        <v>122</v>
      </c>
      <c r="I1093">
        <v>2</v>
      </c>
      <c r="J1093">
        <v>68.400000000000006</v>
      </c>
      <c r="K1093">
        <v>0</v>
      </c>
      <c r="L1093">
        <v>136.80000000000001</v>
      </c>
      <c r="M1093">
        <v>13.66</v>
      </c>
      <c r="N1093">
        <v>47.9</v>
      </c>
      <c r="O1093" t="s">
        <v>39</v>
      </c>
      <c r="P1093">
        <v>2024</v>
      </c>
      <c r="Q1093" t="s">
        <v>3644</v>
      </c>
      <c r="R1093">
        <v>136.80000000000001</v>
      </c>
      <c r="S1093">
        <v>0.35014619883040898</v>
      </c>
      <c r="T1093" t="s">
        <v>3632</v>
      </c>
      <c r="U1093" t="s">
        <v>3633</v>
      </c>
    </row>
    <row r="1094" spans="1:21" x14ac:dyDescent="0.25">
      <c r="A1094" t="s">
        <v>2120</v>
      </c>
      <c r="B1094" s="1">
        <v>45545</v>
      </c>
      <c r="C1094" t="s">
        <v>1100</v>
      </c>
      <c r="D1094" t="s">
        <v>30</v>
      </c>
      <c r="E1094" t="s">
        <v>85</v>
      </c>
      <c r="F1094" t="s">
        <v>60</v>
      </c>
      <c r="G1094" t="s">
        <v>69</v>
      </c>
      <c r="H1094" t="s">
        <v>139</v>
      </c>
      <c r="I1094">
        <v>5</v>
      </c>
      <c r="J1094">
        <v>57.12</v>
      </c>
      <c r="K1094">
        <v>0</v>
      </c>
      <c r="L1094">
        <v>285.60000000000002</v>
      </c>
      <c r="M1094">
        <v>19.41</v>
      </c>
      <c r="N1094">
        <v>123.39</v>
      </c>
      <c r="O1094" t="s">
        <v>34</v>
      </c>
      <c r="P1094">
        <v>2024</v>
      </c>
      <c r="Q1094" t="s">
        <v>3644</v>
      </c>
      <c r="R1094">
        <v>285.60000000000002</v>
      </c>
      <c r="S1094">
        <v>0.43203781512605</v>
      </c>
      <c r="T1094" t="s">
        <v>3632</v>
      </c>
      <c r="U1094" t="s">
        <v>3633</v>
      </c>
    </row>
    <row r="1095" spans="1:21" x14ac:dyDescent="0.25">
      <c r="A1095" t="s">
        <v>2121</v>
      </c>
      <c r="B1095" s="1">
        <v>45545</v>
      </c>
      <c r="C1095" t="s">
        <v>2122</v>
      </c>
      <c r="D1095" t="s">
        <v>30</v>
      </c>
      <c r="E1095" t="s">
        <v>76</v>
      </c>
      <c r="F1095" t="s">
        <v>26</v>
      </c>
      <c r="G1095" t="s">
        <v>20</v>
      </c>
      <c r="H1095" t="s">
        <v>27</v>
      </c>
      <c r="I1095">
        <v>10</v>
      </c>
      <c r="J1095">
        <v>62.96</v>
      </c>
      <c r="K1095">
        <v>10</v>
      </c>
      <c r="L1095">
        <v>566.64</v>
      </c>
      <c r="M1095">
        <v>19.53</v>
      </c>
      <c r="N1095">
        <v>200.83</v>
      </c>
      <c r="O1095" t="s">
        <v>39</v>
      </c>
      <c r="P1095">
        <v>2024</v>
      </c>
      <c r="Q1095" t="s">
        <v>3644</v>
      </c>
      <c r="R1095">
        <v>509.976</v>
      </c>
      <c r="S1095">
        <v>0.393802845624108</v>
      </c>
      <c r="T1095" t="s">
        <v>3635</v>
      </c>
      <c r="U1095" t="s">
        <v>3633</v>
      </c>
    </row>
    <row r="1096" spans="1:21" x14ac:dyDescent="0.25">
      <c r="A1096" t="s">
        <v>2123</v>
      </c>
      <c r="B1096" s="1">
        <v>45545</v>
      </c>
      <c r="C1096" t="s">
        <v>899</v>
      </c>
      <c r="D1096" t="s">
        <v>17</v>
      </c>
      <c r="E1096" t="s">
        <v>166</v>
      </c>
      <c r="F1096" t="s">
        <v>60</v>
      </c>
      <c r="G1096" t="s">
        <v>42</v>
      </c>
      <c r="H1096" t="s">
        <v>93</v>
      </c>
      <c r="I1096">
        <v>5</v>
      </c>
      <c r="J1096">
        <v>214.38</v>
      </c>
      <c r="K1096">
        <v>15</v>
      </c>
      <c r="L1096">
        <v>911.12</v>
      </c>
      <c r="M1096">
        <v>18.93</v>
      </c>
      <c r="N1096">
        <v>249.05</v>
      </c>
      <c r="O1096" t="s">
        <v>34</v>
      </c>
      <c r="P1096">
        <v>2024</v>
      </c>
      <c r="Q1096" t="s">
        <v>3644</v>
      </c>
      <c r="R1096">
        <v>774.452</v>
      </c>
      <c r="S1096">
        <v>0.32158222846606399</v>
      </c>
      <c r="T1096" t="s">
        <v>3635</v>
      </c>
      <c r="U1096" t="s">
        <v>3633</v>
      </c>
    </row>
    <row r="1097" spans="1:21" x14ac:dyDescent="0.25">
      <c r="A1097" t="s">
        <v>2124</v>
      </c>
      <c r="B1097" s="1">
        <v>45546</v>
      </c>
      <c r="C1097" t="s">
        <v>1162</v>
      </c>
      <c r="D1097" t="s">
        <v>30</v>
      </c>
      <c r="E1097" t="s">
        <v>169</v>
      </c>
      <c r="F1097" t="s">
        <v>68</v>
      </c>
      <c r="G1097" t="s">
        <v>32</v>
      </c>
      <c r="H1097" t="s">
        <v>348</v>
      </c>
      <c r="I1097">
        <v>2</v>
      </c>
      <c r="J1097">
        <v>8.93</v>
      </c>
      <c r="K1097">
        <v>10</v>
      </c>
      <c r="L1097">
        <v>16.07</v>
      </c>
      <c r="M1097">
        <v>14.32</v>
      </c>
      <c r="N1097">
        <v>-6.29</v>
      </c>
      <c r="O1097" t="s">
        <v>34</v>
      </c>
      <c r="P1097">
        <v>2024</v>
      </c>
      <c r="Q1097" t="s">
        <v>3644</v>
      </c>
      <c r="R1097">
        <v>14.462999999999999</v>
      </c>
      <c r="S1097">
        <v>-0.43490285556246999</v>
      </c>
      <c r="T1097" t="s">
        <v>3634</v>
      </c>
      <c r="U1097" t="s">
        <v>3636</v>
      </c>
    </row>
    <row r="1098" spans="1:21" x14ac:dyDescent="0.25">
      <c r="A1098" t="s">
        <v>2125</v>
      </c>
      <c r="B1098" s="1">
        <v>45546</v>
      </c>
      <c r="C1098" t="s">
        <v>2126</v>
      </c>
      <c r="D1098" t="s">
        <v>49</v>
      </c>
      <c r="E1098" t="s">
        <v>76</v>
      </c>
      <c r="F1098" t="s">
        <v>26</v>
      </c>
      <c r="G1098" t="s">
        <v>32</v>
      </c>
      <c r="H1098" t="s">
        <v>115</v>
      </c>
      <c r="I1098">
        <v>4</v>
      </c>
      <c r="J1098">
        <v>17.600000000000001</v>
      </c>
      <c r="K1098">
        <v>0</v>
      </c>
      <c r="L1098">
        <v>70.400000000000006</v>
      </c>
      <c r="M1098">
        <v>14.18</v>
      </c>
      <c r="N1098">
        <v>24.54</v>
      </c>
      <c r="O1098" t="s">
        <v>39</v>
      </c>
      <c r="P1098">
        <v>2024</v>
      </c>
      <c r="Q1098" t="s">
        <v>3644</v>
      </c>
      <c r="R1098">
        <v>70.400000000000006</v>
      </c>
      <c r="S1098">
        <v>0.348579545454545</v>
      </c>
      <c r="T1098" t="s">
        <v>3634</v>
      </c>
      <c r="U1098" t="s">
        <v>3633</v>
      </c>
    </row>
    <row r="1099" spans="1:21" x14ac:dyDescent="0.25">
      <c r="A1099" t="s">
        <v>2127</v>
      </c>
      <c r="B1099" s="1">
        <v>45547</v>
      </c>
      <c r="C1099" t="s">
        <v>2128</v>
      </c>
      <c r="D1099" t="s">
        <v>49</v>
      </c>
      <c r="E1099" t="s">
        <v>129</v>
      </c>
      <c r="F1099" t="s">
        <v>19</v>
      </c>
      <c r="G1099" t="s">
        <v>69</v>
      </c>
      <c r="H1099" t="s">
        <v>196</v>
      </c>
      <c r="I1099">
        <v>9</v>
      </c>
      <c r="J1099">
        <v>22.04</v>
      </c>
      <c r="K1099">
        <v>0</v>
      </c>
      <c r="L1099">
        <v>198.36</v>
      </c>
      <c r="M1099">
        <v>9.7899999999999991</v>
      </c>
      <c r="N1099">
        <v>89.39</v>
      </c>
      <c r="O1099" t="s">
        <v>34</v>
      </c>
      <c r="P1099">
        <v>2024</v>
      </c>
      <c r="Q1099" t="s">
        <v>3644</v>
      </c>
      <c r="R1099">
        <v>198.36</v>
      </c>
      <c r="S1099">
        <v>0.45064529138939302</v>
      </c>
      <c r="T1099" t="s">
        <v>3632</v>
      </c>
      <c r="U1099" t="s">
        <v>3633</v>
      </c>
    </row>
    <row r="1100" spans="1:21" x14ac:dyDescent="0.25">
      <c r="A1100" t="s">
        <v>2129</v>
      </c>
      <c r="B1100" s="1">
        <v>45548</v>
      </c>
      <c r="C1100" t="s">
        <v>1207</v>
      </c>
      <c r="D1100" t="s">
        <v>17</v>
      </c>
      <c r="E1100" t="s">
        <v>31</v>
      </c>
      <c r="F1100" t="s">
        <v>19</v>
      </c>
      <c r="G1100" t="s">
        <v>42</v>
      </c>
      <c r="H1100" t="s">
        <v>93</v>
      </c>
      <c r="I1100">
        <v>1</v>
      </c>
      <c r="J1100">
        <v>376.74</v>
      </c>
      <c r="K1100">
        <v>20</v>
      </c>
      <c r="L1100">
        <v>301.39</v>
      </c>
      <c r="M1100">
        <v>7.19</v>
      </c>
      <c r="N1100">
        <v>68.16</v>
      </c>
      <c r="O1100" t="s">
        <v>34</v>
      </c>
      <c r="P1100">
        <v>2024</v>
      </c>
      <c r="Q1100" t="s">
        <v>3644</v>
      </c>
      <c r="R1100">
        <v>241.11199999999999</v>
      </c>
      <c r="S1100">
        <v>0.28269020206377099</v>
      </c>
      <c r="T1100" t="s">
        <v>3632</v>
      </c>
      <c r="U1100" t="s">
        <v>3633</v>
      </c>
    </row>
    <row r="1101" spans="1:21" x14ac:dyDescent="0.25">
      <c r="A1101" t="s">
        <v>2130</v>
      </c>
      <c r="B1101" s="1">
        <v>45549</v>
      </c>
      <c r="C1101" t="s">
        <v>2131</v>
      </c>
      <c r="D1101" t="s">
        <v>17</v>
      </c>
      <c r="E1101" t="s">
        <v>76</v>
      </c>
      <c r="F1101" t="s">
        <v>26</v>
      </c>
      <c r="G1101" t="s">
        <v>20</v>
      </c>
      <c r="H1101" t="s">
        <v>27</v>
      </c>
      <c r="I1101">
        <v>1</v>
      </c>
      <c r="J1101">
        <v>174.88</v>
      </c>
      <c r="K1101">
        <v>15</v>
      </c>
      <c r="L1101">
        <v>148.65</v>
      </c>
      <c r="M1101">
        <v>8.56</v>
      </c>
      <c r="N1101">
        <v>43.91</v>
      </c>
      <c r="O1101" t="s">
        <v>34</v>
      </c>
      <c r="P1101">
        <v>2024</v>
      </c>
      <c r="Q1101" t="s">
        <v>3644</v>
      </c>
      <c r="R1101">
        <v>126.35250000000001</v>
      </c>
      <c r="S1101">
        <v>0.34751983538117598</v>
      </c>
      <c r="T1101" t="s">
        <v>3632</v>
      </c>
      <c r="U1101" t="s">
        <v>3633</v>
      </c>
    </row>
    <row r="1102" spans="1:21" x14ac:dyDescent="0.25">
      <c r="A1102" t="s">
        <v>2132</v>
      </c>
      <c r="B1102" s="1">
        <v>45549</v>
      </c>
      <c r="C1102" t="s">
        <v>2133</v>
      </c>
      <c r="D1102" t="s">
        <v>30</v>
      </c>
      <c r="E1102" t="s">
        <v>92</v>
      </c>
      <c r="F1102" t="s">
        <v>60</v>
      </c>
      <c r="G1102" t="s">
        <v>32</v>
      </c>
      <c r="H1102" t="s">
        <v>348</v>
      </c>
      <c r="I1102">
        <v>1</v>
      </c>
      <c r="J1102">
        <v>13.21</v>
      </c>
      <c r="K1102">
        <v>5</v>
      </c>
      <c r="L1102">
        <v>12.55</v>
      </c>
      <c r="M1102">
        <v>10.34</v>
      </c>
      <c r="N1102">
        <v>-3.73</v>
      </c>
      <c r="O1102" t="s">
        <v>34</v>
      </c>
      <c r="P1102">
        <v>2024</v>
      </c>
      <c r="Q1102" t="s">
        <v>3644</v>
      </c>
      <c r="R1102">
        <v>11.922499999999999</v>
      </c>
      <c r="S1102">
        <v>-0.31285384776682701</v>
      </c>
      <c r="T1102" t="s">
        <v>3634</v>
      </c>
      <c r="U1102" t="s">
        <v>3636</v>
      </c>
    </row>
    <row r="1103" spans="1:21" x14ac:dyDescent="0.25">
      <c r="A1103" t="s">
        <v>2134</v>
      </c>
      <c r="B1103" s="1">
        <v>45549</v>
      </c>
      <c r="C1103" t="s">
        <v>2135</v>
      </c>
      <c r="D1103" t="s">
        <v>49</v>
      </c>
      <c r="E1103" t="s">
        <v>166</v>
      </c>
      <c r="F1103" t="s">
        <v>60</v>
      </c>
      <c r="G1103" t="s">
        <v>20</v>
      </c>
      <c r="H1103" t="s">
        <v>38</v>
      </c>
      <c r="I1103">
        <v>2</v>
      </c>
      <c r="J1103">
        <v>43.13</v>
      </c>
      <c r="K1103">
        <v>0</v>
      </c>
      <c r="L1103">
        <v>86.26</v>
      </c>
      <c r="M1103">
        <v>11.52</v>
      </c>
      <c r="N1103">
        <v>27.3</v>
      </c>
      <c r="O1103" t="s">
        <v>39</v>
      </c>
      <c r="P1103">
        <v>2024</v>
      </c>
      <c r="Q1103" t="s">
        <v>3644</v>
      </c>
      <c r="R1103">
        <v>86.26</v>
      </c>
      <c r="S1103">
        <v>0.31648504521214899</v>
      </c>
      <c r="T1103" t="s">
        <v>3634</v>
      </c>
      <c r="U1103" t="s">
        <v>3633</v>
      </c>
    </row>
    <row r="1104" spans="1:21" x14ac:dyDescent="0.25">
      <c r="A1104" t="s">
        <v>2136</v>
      </c>
      <c r="B1104" s="1">
        <v>45550</v>
      </c>
      <c r="C1104" t="s">
        <v>2137</v>
      </c>
      <c r="D1104" t="s">
        <v>17</v>
      </c>
      <c r="E1104" t="s">
        <v>135</v>
      </c>
      <c r="F1104" t="s">
        <v>26</v>
      </c>
      <c r="G1104" t="s">
        <v>20</v>
      </c>
      <c r="H1104" t="s">
        <v>106</v>
      </c>
      <c r="I1104">
        <v>4</v>
      </c>
      <c r="J1104">
        <v>41.61</v>
      </c>
      <c r="K1104">
        <v>20</v>
      </c>
      <c r="L1104">
        <v>133.15</v>
      </c>
      <c r="M1104">
        <v>11.64</v>
      </c>
      <c r="N1104">
        <v>29.97</v>
      </c>
      <c r="O1104" t="s">
        <v>34</v>
      </c>
      <c r="P1104">
        <v>2024</v>
      </c>
      <c r="Q1104" t="s">
        <v>3644</v>
      </c>
      <c r="R1104">
        <v>106.52</v>
      </c>
      <c r="S1104">
        <v>0.281355613969208</v>
      </c>
      <c r="T1104" t="s">
        <v>3632</v>
      </c>
      <c r="U1104" t="s">
        <v>3633</v>
      </c>
    </row>
    <row r="1105" spans="1:21" x14ac:dyDescent="0.25">
      <c r="A1105" t="s">
        <v>2138</v>
      </c>
      <c r="B1105" s="1">
        <v>45550</v>
      </c>
      <c r="C1105" t="s">
        <v>2139</v>
      </c>
      <c r="D1105" t="s">
        <v>49</v>
      </c>
      <c r="E1105" t="s">
        <v>31</v>
      </c>
      <c r="F1105" t="s">
        <v>19</v>
      </c>
      <c r="G1105" t="s">
        <v>69</v>
      </c>
      <c r="H1105" t="s">
        <v>79</v>
      </c>
      <c r="I1105">
        <v>6</v>
      </c>
      <c r="J1105">
        <v>33.229999999999997</v>
      </c>
      <c r="K1105">
        <v>5</v>
      </c>
      <c r="L1105">
        <v>189.41</v>
      </c>
      <c r="M1105">
        <v>9.09</v>
      </c>
      <c r="N1105">
        <v>80.63</v>
      </c>
      <c r="O1105" t="s">
        <v>34</v>
      </c>
      <c r="P1105">
        <v>2024</v>
      </c>
      <c r="Q1105" t="s">
        <v>3644</v>
      </c>
      <c r="R1105">
        <v>179.93950000000001</v>
      </c>
      <c r="S1105">
        <v>0.448095054170985</v>
      </c>
      <c r="T1105" t="s">
        <v>3632</v>
      </c>
      <c r="U1105" t="s">
        <v>3633</v>
      </c>
    </row>
    <row r="1106" spans="1:21" x14ac:dyDescent="0.25">
      <c r="A1106" t="s">
        <v>2140</v>
      </c>
      <c r="B1106" s="1">
        <v>45550</v>
      </c>
      <c r="C1106" t="s">
        <v>2141</v>
      </c>
      <c r="D1106" t="s">
        <v>17</v>
      </c>
      <c r="E1106" t="s">
        <v>18</v>
      </c>
      <c r="F1106" t="s">
        <v>19</v>
      </c>
      <c r="G1106" t="s">
        <v>69</v>
      </c>
      <c r="H1106" t="s">
        <v>196</v>
      </c>
      <c r="I1106">
        <v>4</v>
      </c>
      <c r="J1106">
        <v>12.55</v>
      </c>
      <c r="K1106">
        <v>25</v>
      </c>
      <c r="L1106">
        <v>37.65</v>
      </c>
      <c r="M1106">
        <v>9.91</v>
      </c>
      <c r="N1106">
        <v>2.64</v>
      </c>
      <c r="O1106" t="s">
        <v>34</v>
      </c>
      <c r="P1106">
        <v>2024</v>
      </c>
      <c r="Q1106" t="s">
        <v>3644</v>
      </c>
      <c r="R1106">
        <v>28.237500000000001</v>
      </c>
      <c r="S1106">
        <v>9.3492695883134094E-2</v>
      </c>
      <c r="T1106" t="s">
        <v>3634</v>
      </c>
      <c r="U1106" t="s">
        <v>3633</v>
      </c>
    </row>
    <row r="1107" spans="1:21" x14ac:dyDescent="0.25">
      <c r="A1107" t="s">
        <v>2142</v>
      </c>
      <c r="B1107" s="1">
        <v>45550</v>
      </c>
      <c r="C1107" t="s">
        <v>2143</v>
      </c>
      <c r="D1107" t="s">
        <v>30</v>
      </c>
      <c r="E1107" t="s">
        <v>138</v>
      </c>
      <c r="F1107" t="s">
        <v>54</v>
      </c>
      <c r="G1107" t="s">
        <v>69</v>
      </c>
      <c r="H1107" t="s">
        <v>305</v>
      </c>
      <c r="I1107">
        <v>8</v>
      </c>
      <c r="J1107">
        <v>62.5</v>
      </c>
      <c r="K1107">
        <v>25</v>
      </c>
      <c r="L1107">
        <v>375</v>
      </c>
      <c r="M1107">
        <v>24.32</v>
      </c>
      <c r="N1107">
        <v>100.68</v>
      </c>
      <c r="O1107" t="s">
        <v>39</v>
      </c>
      <c r="P1107">
        <v>2024</v>
      </c>
      <c r="Q1107" t="s">
        <v>3644</v>
      </c>
      <c r="R1107">
        <v>281.25</v>
      </c>
      <c r="S1107">
        <v>0.35797333333333298</v>
      </c>
      <c r="T1107" t="s">
        <v>3632</v>
      </c>
      <c r="U1107" t="s">
        <v>3633</v>
      </c>
    </row>
    <row r="1108" spans="1:21" x14ac:dyDescent="0.25">
      <c r="A1108" t="s">
        <v>2144</v>
      </c>
      <c r="B1108" s="1">
        <v>45550</v>
      </c>
      <c r="C1108" t="s">
        <v>2145</v>
      </c>
      <c r="D1108" t="s">
        <v>30</v>
      </c>
      <c r="E1108" t="s">
        <v>18</v>
      </c>
      <c r="F1108" t="s">
        <v>19</v>
      </c>
      <c r="G1108" t="s">
        <v>20</v>
      </c>
      <c r="H1108" t="s">
        <v>106</v>
      </c>
      <c r="I1108">
        <v>2</v>
      </c>
      <c r="J1108">
        <v>31.01</v>
      </c>
      <c r="K1108">
        <v>10</v>
      </c>
      <c r="L1108">
        <v>55.82</v>
      </c>
      <c r="M1108">
        <v>6.85</v>
      </c>
      <c r="N1108">
        <v>14.86</v>
      </c>
      <c r="O1108" t="s">
        <v>56</v>
      </c>
      <c r="P1108">
        <v>2024</v>
      </c>
      <c r="Q1108" t="s">
        <v>3644</v>
      </c>
      <c r="R1108">
        <v>50.238</v>
      </c>
      <c r="S1108">
        <v>0.29579202993749798</v>
      </c>
      <c r="T1108" t="s">
        <v>3634</v>
      </c>
      <c r="U1108" t="s">
        <v>3633</v>
      </c>
    </row>
    <row r="1109" spans="1:21" x14ac:dyDescent="0.25">
      <c r="A1109" t="s">
        <v>2146</v>
      </c>
      <c r="B1109" s="1">
        <v>45550</v>
      </c>
      <c r="C1109" t="s">
        <v>2147</v>
      </c>
      <c r="D1109" t="s">
        <v>30</v>
      </c>
      <c r="E1109" t="s">
        <v>129</v>
      </c>
      <c r="F1109" t="s">
        <v>19</v>
      </c>
      <c r="G1109" t="s">
        <v>42</v>
      </c>
      <c r="H1109" t="s">
        <v>255</v>
      </c>
      <c r="I1109">
        <v>4</v>
      </c>
      <c r="J1109">
        <v>29.07</v>
      </c>
      <c r="K1109">
        <v>10</v>
      </c>
      <c r="L1109">
        <v>104.65</v>
      </c>
      <c r="M1109">
        <v>12.59</v>
      </c>
      <c r="N1109">
        <v>22.29</v>
      </c>
      <c r="O1109" t="s">
        <v>22</v>
      </c>
      <c r="P1109">
        <v>2024</v>
      </c>
      <c r="Q1109" t="s">
        <v>3644</v>
      </c>
      <c r="R1109">
        <v>94.185000000000002</v>
      </c>
      <c r="S1109">
        <v>0.236661888835802</v>
      </c>
      <c r="T1109" t="s">
        <v>3632</v>
      </c>
      <c r="U1109" t="s">
        <v>3633</v>
      </c>
    </row>
    <row r="1110" spans="1:21" x14ac:dyDescent="0.25">
      <c r="A1110" t="s">
        <v>2148</v>
      </c>
      <c r="B1110" s="1">
        <v>45551</v>
      </c>
      <c r="C1110" t="s">
        <v>2149</v>
      </c>
      <c r="D1110" t="s">
        <v>17</v>
      </c>
      <c r="E1110" t="s">
        <v>129</v>
      </c>
      <c r="F1110" t="s">
        <v>19</v>
      </c>
      <c r="G1110" t="s">
        <v>20</v>
      </c>
      <c r="H1110" t="s">
        <v>264</v>
      </c>
      <c r="I1110">
        <v>5</v>
      </c>
      <c r="J1110">
        <v>62.9</v>
      </c>
      <c r="K1110">
        <v>0</v>
      </c>
      <c r="L1110">
        <v>314.5</v>
      </c>
      <c r="M1110">
        <v>12.05</v>
      </c>
      <c r="N1110">
        <v>129.47</v>
      </c>
      <c r="O1110" t="s">
        <v>56</v>
      </c>
      <c r="P1110">
        <v>2024</v>
      </c>
      <c r="Q1110" t="s">
        <v>3644</v>
      </c>
      <c r="R1110">
        <v>314.5</v>
      </c>
      <c r="S1110">
        <v>0.41166931637519899</v>
      </c>
      <c r="T1110" t="s">
        <v>3632</v>
      </c>
      <c r="U1110" t="s">
        <v>3633</v>
      </c>
    </row>
    <row r="1111" spans="1:21" x14ac:dyDescent="0.25">
      <c r="A1111" t="s">
        <v>2150</v>
      </c>
      <c r="B1111" s="1">
        <v>45551</v>
      </c>
      <c r="C1111" t="s">
        <v>2151</v>
      </c>
      <c r="D1111" t="s">
        <v>30</v>
      </c>
      <c r="E1111" t="s">
        <v>25</v>
      </c>
      <c r="F1111" t="s">
        <v>26</v>
      </c>
      <c r="G1111" t="s">
        <v>32</v>
      </c>
      <c r="H1111" t="s">
        <v>82</v>
      </c>
      <c r="I1111">
        <v>1</v>
      </c>
      <c r="J1111">
        <v>13.51</v>
      </c>
      <c r="K1111">
        <v>10</v>
      </c>
      <c r="L1111">
        <v>12.16</v>
      </c>
      <c r="M1111">
        <v>7.94</v>
      </c>
      <c r="N1111">
        <v>-1.86</v>
      </c>
      <c r="O1111" t="s">
        <v>34</v>
      </c>
      <c r="P1111">
        <v>2024</v>
      </c>
      <c r="Q1111" t="s">
        <v>3644</v>
      </c>
      <c r="R1111">
        <v>10.944000000000001</v>
      </c>
      <c r="S1111">
        <v>-0.169956140350877</v>
      </c>
      <c r="T1111" t="s">
        <v>3634</v>
      </c>
      <c r="U1111" t="s">
        <v>3636</v>
      </c>
    </row>
    <row r="1112" spans="1:21" x14ac:dyDescent="0.25">
      <c r="A1112" t="s">
        <v>2152</v>
      </c>
      <c r="B1112" s="1">
        <v>45551</v>
      </c>
      <c r="C1112" t="s">
        <v>2153</v>
      </c>
      <c r="D1112" t="s">
        <v>30</v>
      </c>
      <c r="E1112" t="s">
        <v>169</v>
      </c>
      <c r="F1112" t="s">
        <v>68</v>
      </c>
      <c r="G1112" t="s">
        <v>42</v>
      </c>
      <c r="H1112" t="s">
        <v>118</v>
      </c>
      <c r="I1112">
        <v>3</v>
      </c>
      <c r="J1112">
        <v>64.94</v>
      </c>
      <c r="K1112">
        <v>20</v>
      </c>
      <c r="L1112">
        <v>155.86000000000001</v>
      </c>
      <c r="M1112">
        <v>11.57</v>
      </c>
      <c r="N1112">
        <v>27.4</v>
      </c>
      <c r="O1112" t="s">
        <v>39</v>
      </c>
      <c r="P1112">
        <v>2024</v>
      </c>
      <c r="Q1112" t="s">
        <v>3644</v>
      </c>
      <c r="R1112">
        <v>124.688</v>
      </c>
      <c r="S1112">
        <v>0.21974849223662299</v>
      </c>
      <c r="T1112" t="s">
        <v>3632</v>
      </c>
      <c r="U1112" t="s">
        <v>3633</v>
      </c>
    </row>
    <row r="1113" spans="1:21" x14ac:dyDescent="0.25">
      <c r="A1113" t="s">
        <v>2154</v>
      </c>
      <c r="B1113" s="1">
        <v>45551</v>
      </c>
      <c r="C1113" t="s">
        <v>2155</v>
      </c>
      <c r="D1113" t="s">
        <v>30</v>
      </c>
      <c r="E1113" t="s">
        <v>31</v>
      </c>
      <c r="F1113" t="s">
        <v>19</v>
      </c>
      <c r="G1113" t="s">
        <v>69</v>
      </c>
      <c r="H1113" t="s">
        <v>163</v>
      </c>
      <c r="I1113">
        <v>1</v>
      </c>
      <c r="J1113">
        <v>20.04</v>
      </c>
      <c r="K1113">
        <v>0</v>
      </c>
      <c r="L1113">
        <v>20.04</v>
      </c>
      <c r="M1113">
        <v>6.51</v>
      </c>
      <c r="N1113">
        <v>3.51</v>
      </c>
      <c r="O1113" t="s">
        <v>34</v>
      </c>
      <c r="P1113">
        <v>2024</v>
      </c>
      <c r="Q1113" t="s">
        <v>3644</v>
      </c>
      <c r="R1113">
        <v>20.04</v>
      </c>
      <c r="S1113">
        <v>0.175149700598802</v>
      </c>
      <c r="T1113" t="s">
        <v>3634</v>
      </c>
      <c r="U1113" t="s">
        <v>3633</v>
      </c>
    </row>
    <row r="1114" spans="1:21" x14ac:dyDescent="0.25">
      <c r="A1114" t="s">
        <v>2156</v>
      </c>
      <c r="B1114" s="1">
        <v>45551</v>
      </c>
      <c r="C1114" t="s">
        <v>2157</v>
      </c>
      <c r="D1114" t="s">
        <v>17</v>
      </c>
      <c r="E1114" t="s">
        <v>129</v>
      </c>
      <c r="F1114" t="s">
        <v>19</v>
      </c>
      <c r="G1114" t="s">
        <v>32</v>
      </c>
      <c r="H1114" t="s">
        <v>82</v>
      </c>
      <c r="I1114">
        <v>4</v>
      </c>
      <c r="J1114">
        <v>17.37</v>
      </c>
      <c r="K1114">
        <v>15</v>
      </c>
      <c r="L1114">
        <v>59.06</v>
      </c>
      <c r="M1114">
        <v>9.1</v>
      </c>
      <c r="N1114">
        <v>18.690000000000001</v>
      </c>
      <c r="O1114" t="s">
        <v>22</v>
      </c>
      <c r="P1114">
        <v>2024</v>
      </c>
      <c r="Q1114" t="s">
        <v>3644</v>
      </c>
      <c r="R1114">
        <v>50.201000000000001</v>
      </c>
      <c r="S1114">
        <v>0.37230334057090497</v>
      </c>
      <c r="T1114" t="s">
        <v>3634</v>
      </c>
      <c r="U1114" t="s">
        <v>3633</v>
      </c>
    </row>
    <row r="1115" spans="1:21" x14ac:dyDescent="0.25">
      <c r="A1115" t="s">
        <v>2158</v>
      </c>
      <c r="B1115" s="1">
        <v>45551</v>
      </c>
      <c r="C1115" t="s">
        <v>1298</v>
      </c>
      <c r="D1115" t="s">
        <v>17</v>
      </c>
      <c r="E1115" t="s">
        <v>138</v>
      </c>
      <c r="F1115" t="s">
        <v>54</v>
      </c>
      <c r="G1115" t="s">
        <v>42</v>
      </c>
      <c r="H1115" t="s">
        <v>64</v>
      </c>
      <c r="I1115">
        <v>2</v>
      </c>
      <c r="J1115">
        <v>73.069999999999993</v>
      </c>
      <c r="K1115">
        <v>15</v>
      </c>
      <c r="L1115">
        <v>124.22</v>
      </c>
      <c r="M1115">
        <v>13.98</v>
      </c>
      <c r="N1115">
        <v>22.56</v>
      </c>
      <c r="O1115" t="s">
        <v>34</v>
      </c>
      <c r="P1115">
        <v>2024</v>
      </c>
      <c r="Q1115" t="s">
        <v>3644</v>
      </c>
      <c r="R1115">
        <v>105.587</v>
      </c>
      <c r="S1115">
        <v>0.213662666805573</v>
      </c>
      <c r="T1115" t="s">
        <v>3632</v>
      </c>
      <c r="U1115" t="s">
        <v>3633</v>
      </c>
    </row>
    <row r="1116" spans="1:21" x14ac:dyDescent="0.25">
      <c r="A1116" t="s">
        <v>2159</v>
      </c>
      <c r="B1116" s="1">
        <v>45552</v>
      </c>
      <c r="C1116" t="s">
        <v>2160</v>
      </c>
      <c r="D1116" t="s">
        <v>49</v>
      </c>
      <c r="E1116" t="s">
        <v>31</v>
      </c>
      <c r="F1116" t="s">
        <v>19</v>
      </c>
      <c r="G1116" t="s">
        <v>32</v>
      </c>
      <c r="H1116" t="s">
        <v>73</v>
      </c>
      <c r="I1116">
        <v>2</v>
      </c>
      <c r="J1116">
        <v>5.97</v>
      </c>
      <c r="K1116">
        <v>5</v>
      </c>
      <c r="L1116">
        <v>11.34</v>
      </c>
      <c r="M1116">
        <v>7.01</v>
      </c>
      <c r="N1116">
        <v>-1.04</v>
      </c>
      <c r="O1116" t="s">
        <v>39</v>
      </c>
      <c r="P1116">
        <v>2024</v>
      </c>
      <c r="Q1116" t="s">
        <v>3644</v>
      </c>
      <c r="R1116">
        <v>10.773</v>
      </c>
      <c r="S1116">
        <v>-9.6537640397289501E-2</v>
      </c>
      <c r="T1116" t="s">
        <v>3634</v>
      </c>
      <c r="U1116" t="s">
        <v>3636</v>
      </c>
    </row>
    <row r="1117" spans="1:21" x14ac:dyDescent="0.25">
      <c r="A1117" t="s">
        <v>2161</v>
      </c>
      <c r="B1117" s="1">
        <v>45553</v>
      </c>
      <c r="C1117" t="s">
        <v>2162</v>
      </c>
      <c r="D1117" t="s">
        <v>30</v>
      </c>
      <c r="E1117" t="s">
        <v>37</v>
      </c>
      <c r="F1117" t="s">
        <v>26</v>
      </c>
      <c r="G1117" t="s">
        <v>42</v>
      </c>
      <c r="H1117" t="s">
        <v>234</v>
      </c>
      <c r="I1117">
        <v>4</v>
      </c>
      <c r="J1117">
        <v>67.400000000000006</v>
      </c>
      <c r="K1117">
        <v>5</v>
      </c>
      <c r="L1117">
        <v>256.12</v>
      </c>
      <c r="M1117">
        <v>9.33</v>
      </c>
      <c r="N1117">
        <v>85.03</v>
      </c>
      <c r="O1117" t="s">
        <v>22</v>
      </c>
      <c r="P1117">
        <v>2024</v>
      </c>
      <c r="Q1117" t="s">
        <v>3644</v>
      </c>
      <c r="R1117">
        <v>243.31399999999999</v>
      </c>
      <c r="S1117">
        <v>0.34946612196585503</v>
      </c>
      <c r="T1117" t="s">
        <v>3632</v>
      </c>
      <c r="U1117" t="s">
        <v>3633</v>
      </c>
    </row>
    <row r="1118" spans="1:21" x14ac:dyDescent="0.25">
      <c r="A1118" t="s">
        <v>2163</v>
      </c>
      <c r="B1118" s="1">
        <v>45554</v>
      </c>
      <c r="C1118" t="s">
        <v>2164</v>
      </c>
      <c r="D1118" t="s">
        <v>30</v>
      </c>
      <c r="E1118" t="s">
        <v>135</v>
      </c>
      <c r="F1118" t="s">
        <v>26</v>
      </c>
      <c r="G1118" t="s">
        <v>32</v>
      </c>
      <c r="H1118" t="s">
        <v>101</v>
      </c>
      <c r="I1118">
        <v>3</v>
      </c>
      <c r="J1118">
        <v>13.57</v>
      </c>
      <c r="K1118">
        <v>5</v>
      </c>
      <c r="L1118">
        <v>38.67</v>
      </c>
      <c r="M1118">
        <v>12.98</v>
      </c>
      <c r="N1118">
        <v>7.37</v>
      </c>
      <c r="O1118" t="s">
        <v>34</v>
      </c>
      <c r="P1118">
        <v>2024</v>
      </c>
      <c r="Q1118" t="s">
        <v>3644</v>
      </c>
      <c r="R1118">
        <v>36.736499999999999</v>
      </c>
      <c r="S1118">
        <v>0.20061791406366999</v>
      </c>
      <c r="T1118" t="s">
        <v>3634</v>
      </c>
      <c r="U1118" t="s">
        <v>3633</v>
      </c>
    </row>
    <row r="1119" spans="1:21" x14ac:dyDescent="0.25">
      <c r="A1119" t="s">
        <v>2165</v>
      </c>
      <c r="B1119" s="1">
        <v>45554</v>
      </c>
      <c r="C1119" t="s">
        <v>2166</v>
      </c>
      <c r="D1119" t="s">
        <v>49</v>
      </c>
      <c r="E1119" t="s">
        <v>25</v>
      </c>
      <c r="F1119" t="s">
        <v>26</v>
      </c>
      <c r="G1119" t="s">
        <v>32</v>
      </c>
      <c r="H1119" t="s">
        <v>110</v>
      </c>
      <c r="I1119">
        <v>2</v>
      </c>
      <c r="J1119">
        <v>6.44</v>
      </c>
      <c r="K1119">
        <v>0</v>
      </c>
      <c r="L1119">
        <v>12.88</v>
      </c>
      <c r="M1119">
        <v>9.7100000000000009</v>
      </c>
      <c r="N1119">
        <v>-2.63</v>
      </c>
      <c r="O1119" t="s">
        <v>34</v>
      </c>
      <c r="P1119">
        <v>2024</v>
      </c>
      <c r="Q1119" t="s">
        <v>3644</v>
      </c>
      <c r="R1119">
        <v>12.88</v>
      </c>
      <c r="S1119">
        <v>-0.204192546583851</v>
      </c>
      <c r="T1119" t="s">
        <v>3634</v>
      </c>
      <c r="U1119" t="s">
        <v>3636</v>
      </c>
    </row>
    <row r="1120" spans="1:21" x14ac:dyDescent="0.25">
      <c r="A1120" t="s">
        <v>2167</v>
      </c>
      <c r="B1120" s="1">
        <v>45555</v>
      </c>
      <c r="C1120" t="s">
        <v>1326</v>
      </c>
      <c r="D1120" t="s">
        <v>30</v>
      </c>
      <c r="E1120" t="s">
        <v>166</v>
      </c>
      <c r="F1120" t="s">
        <v>60</v>
      </c>
      <c r="G1120" t="s">
        <v>32</v>
      </c>
      <c r="H1120" t="s">
        <v>33</v>
      </c>
      <c r="I1120">
        <v>6</v>
      </c>
      <c r="J1120">
        <v>13.09</v>
      </c>
      <c r="K1120">
        <v>10</v>
      </c>
      <c r="L1120">
        <v>70.69</v>
      </c>
      <c r="M1120">
        <v>20.97</v>
      </c>
      <c r="N1120">
        <v>14.38</v>
      </c>
      <c r="O1120" t="s">
        <v>39</v>
      </c>
      <c r="P1120">
        <v>2024</v>
      </c>
      <c r="Q1120" t="s">
        <v>3644</v>
      </c>
      <c r="R1120">
        <v>63.621000000000002</v>
      </c>
      <c r="S1120">
        <v>0.22602599770515999</v>
      </c>
      <c r="T1120" t="s">
        <v>3634</v>
      </c>
      <c r="U1120" t="s">
        <v>3633</v>
      </c>
    </row>
    <row r="1121" spans="1:21" x14ac:dyDescent="0.25">
      <c r="A1121" t="s">
        <v>2168</v>
      </c>
      <c r="B1121" s="1">
        <v>45556</v>
      </c>
      <c r="C1121" t="s">
        <v>1341</v>
      </c>
      <c r="D1121" t="s">
        <v>30</v>
      </c>
      <c r="E1121" t="s">
        <v>129</v>
      </c>
      <c r="F1121" t="s">
        <v>19</v>
      </c>
      <c r="G1121" t="s">
        <v>20</v>
      </c>
      <c r="H1121" t="s">
        <v>27</v>
      </c>
      <c r="I1121">
        <v>9</v>
      </c>
      <c r="J1121">
        <v>164.14</v>
      </c>
      <c r="K1121">
        <v>0</v>
      </c>
      <c r="L1121">
        <v>1477.26</v>
      </c>
      <c r="M1121">
        <v>18.25</v>
      </c>
      <c r="N1121">
        <v>646.52</v>
      </c>
      <c r="O1121" t="s">
        <v>34</v>
      </c>
      <c r="P1121">
        <v>2024</v>
      </c>
      <c r="Q1121" t="s">
        <v>3644</v>
      </c>
      <c r="R1121">
        <v>1477.26</v>
      </c>
      <c r="S1121">
        <v>0.43764807819882801</v>
      </c>
      <c r="T1121" t="s">
        <v>3635</v>
      </c>
      <c r="U1121" t="s">
        <v>3633</v>
      </c>
    </row>
    <row r="1122" spans="1:21" x14ac:dyDescent="0.25">
      <c r="A1122" t="s">
        <v>2169</v>
      </c>
      <c r="B1122" s="1">
        <v>45556</v>
      </c>
      <c r="C1122" t="s">
        <v>2170</v>
      </c>
      <c r="D1122" t="s">
        <v>17</v>
      </c>
      <c r="E1122" t="s">
        <v>59</v>
      </c>
      <c r="F1122" t="s">
        <v>60</v>
      </c>
      <c r="G1122" t="s">
        <v>42</v>
      </c>
      <c r="H1122" t="s">
        <v>255</v>
      </c>
      <c r="I1122">
        <v>3</v>
      </c>
      <c r="J1122">
        <v>49.49</v>
      </c>
      <c r="K1122">
        <v>15</v>
      </c>
      <c r="L1122">
        <v>126.2</v>
      </c>
      <c r="M1122">
        <v>16.07</v>
      </c>
      <c r="N1122">
        <v>21.05</v>
      </c>
      <c r="O1122" t="s">
        <v>34</v>
      </c>
      <c r="P1122">
        <v>2024</v>
      </c>
      <c r="Q1122" t="s">
        <v>3644</v>
      </c>
      <c r="R1122">
        <v>107.27</v>
      </c>
      <c r="S1122">
        <v>0.19623380255430201</v>
      </c>
      <c r="T1122" t="s">
        <v>3632</v>
      </c>
      <c r="U1122" t="s">
        <v>3633</v>
      </c>
    </row>
    <row r="1123" spans="1:21" x14ac:dyDescent="0.25">
      <c r="A1123" t="s">
        <v>2171</v>
      </c>
      <c r="B1123" s="1">
        <v>45557</v>
      </c>
      <c r="C1123" t="s">
        <v>233</v>
      </c>
      <c r="D1123" t="s">
        <v>17</v>
      </c>
      <c r="E1123" t="s">
        <v>67</v>
      </c>
      <c r="F1123" t="s">
        <v>68</v>
      </c>
      <c r="G1123" t="s">
        <v>32</v>
      </c>
      <c r="H1123" t="s">
        <v>50</v>
      </c>
      <c r="I1123">
        <v>2</v>
      </c>
      <c r="J1123">
        <v>18.149999999999999</v>
      </c>
      <c r="K1123">
        <v>15</v>
      </c>
      <c r="L1123">
        <v>30.85</v>
      </c>
      <c r="M1123">
        <v>14.89</v>
      </c>
      <c r="N1123">
        <v>-0.38</v>
      </c>
      <c r="O1123" t="s">
        <v>39</v>
      </c>
      <c r="P1123">
        <v>2024</v>
      </c>
      <c r="Q1123" t="s">
        <v>3644</v>
      </c>
      <c r="R1123">
        <v>26.2225</v>
      </c>
      <c r="S1123">
        <v>-1.4491371913433099E-2</v>
      </c>
      <c r="T1123" t="s">
        <v>3634</v>
      </c>
      <c r="U1123" t="s">
        <v>3636</v>
      </c>
    </row>
    <row r="1124" spans="1:21" x14ac:dyDescent="0.25">
      <c r="A1124" t="s">
        <v>2172</v>
      </c>
      <c r="B1124" s="1">
        <v>45557</v>
      </c>
      <c r="C1124" t="s">
        <v>2173</v>
      </c>
      <c r="D1124" t="s">
        <v>49</v>
      </c>
      <c r="E1124" t="s">
        <v>92</v>
      </c>
      <c r="F1124" t="s">
        <v>60</v>
      </c>
      <c r="G1124" t="s">
        <v>32</v>
      </c>
      <c r="H1124" t="s">
        <v>149</v>
      </c>
      <c r="I1124">
        <v>3</v>
      </c>
      <c r="J1124">
        <v>6.42</v>
      </c>
      <c r="K1124">
        <v>15</v>
      </c>
      <c r="L1124">
        <v>16.37</v>
      </c>
      <c r="M1124">
        <v>15.39</v>
      </c>
      <c r="N1124">
        <v>-7.69</v>
      </c>
      <c r="O1124" t="s">
        <v>34</v>
      </c>
      <c r="P1124">
        <v>2024</v>
      </c>
      <c r="Q1124" t="s">
        <v>3644</v>
      </c>
      <c r="R1124">
        <v>13.9145</v>
      </c>
      <c r="S1124">
        <v>-0.55266089331273105</v>
      </c>
      <c r="T1124" t="s">
        <v>3634</v>
      </c>
      <c r="U1124" t="s">
        <v>3636</v>
      </c>
    </row>
    <row r="1125" spans="1:21" x14ac:dyDescent="0.25">
      <c r="A1125" t="s">
        <v>2174</v>
      </c>
      <c r="B1125" s="1">
        <v>45558</v>
      </c>
      <c r="C1125" t="s">
        <v>2175</v>
      </c>
      <c r="D1125" t="s">
        <v>17</v>
      </c>
      <c r="E1125" t="s">
        <v>67</v>
      </c>
      <c r="F1125" t="s">
        <v>68</v>
      </c>
      <c r="G1125" t="s">
        <v>20</v>
      </c>
      <c r="H1125" t="s">
        <v>106</v>
      </c>
      <c r="I1125">
        <v>3</v>
      </c>
      <c r="J1125">
        <v>55.32</v>
      </c>
      <c r="K1125">
        <v>10</v>
      </c>
      <c r="L1125">
        <v>149.36000000000001</v>
      </c>
      <c r="M1125">
        <v>16.68</v>
      </c>
      <c r="N1125">
        <v>41.4</v>
      </c>
      <c r="O1125" t="s">
        <v>39</v>
      </c>
      <c r="P1125">
        <v>2024</v>
      </c>
      <c r="Q1125" t="s">
        <v>3644</v>
      </c>
      <c r="R1125">
        <v>134.42400000000001</v>
      </c>
      <c r="S1125">
        <v>0.307980717728977</v>
      </c>
      <c r="T1125" t="s">
        <v>3632</v>
      </c>
      <c r="U1125" t="s">
        <v>3633</v>
      </c>
    </row>
    <row r="1126" spans="1:21" x14ac:dyDescent="0.25">
      <c r="A1126" t="s">
        <v>2176</v>
      </c>
      <c r="B1126" s="1">
        <v>45559</v>
      </c>
      <c r="C1126" t="s">
        <v>2041</v>
      </c>
      <c r="D1126" t="s">
        <v>30</v>
      </c>
      <c r="E1126" t="s">
        <v>85</v>
      </c>
      <c r="F1126" t="s">
        <v>60</v>
      </c>
      <c r="G1126" t="s">
        <v>32</v>
      </c>
      <c r="H1126" t="s">
        <v>50</v>
      </c>
      <c r="I1126">
        <v>5</v>
      </c>
      <c r="J1126">
        <v>17.850000000000001</v>
      </c>
      <c r="K1126">
        <v>0</v>
      </c>
      <c r="L1126">
        <v>89.25</v>
      </c>
      <c r="M1126">
        <v>14.45</v>
      </c>
      <c r="N1126">
        <v>34.64</v>
      </c>
      <c r="O1126" t="s">
        <v>56</v>
      </c>
      <c r="P1126">
        <v>2024</v>
      </c>
      <c r="Q1126" t="s">
        <v>3644</v>
      </c>
      <c r="R1126">
        <v>89.25</v>
      </c>
      <c r="S1126">
        <v>0.38812324929971997</v>
      </c>
      <c r="T1126" t="s">
        <v>3634</v>
      </c>
      <c r="U1126" t="s">
        <v>3633</v>
      </c>
    </row>
    <row r="1127" spans="1:21" x14ac:dyDescent="0.25">
      <c r="A1127" t="s">
        <v>2177</v>
      </c>
      <c r="B1127" s="1">
        <v>45559</v>
      </c>
      <c r="C1127" t="s">
        <v>1738</v>
      </c>
      <c r="D1127" t="s">
        <v>17</v>
      </c>
      <c r="E1127" t="s">
        <v>67</v>
      </c>
      <c r="F1127" t="s">
        <v>68</v>
      </c>
      <c r="G1127" t="s">
        <v>20</v>
      </c>
      <c r="H1127" t="s">
        <v>175</v>
      </c>
      <c r="I1127">
        <v>5</v>
      </c>
      <c r="J1127">
        <v>18.670000000000002</v>
      </c>
      <c r="K1127">
        <v>5</v>
      </c>
      <c r="L1127">
        <v>88.68</v>
      </c>
      <c r="M1127">
        <v>14.38</v>
      </c>
      <c r="N1127">
        <v>22.96</v>
      </c>
      <c r="O1127" t="s">
        <v>22</v>
      </c>
      <c r="P1127">
        <v>2024</v>
      </c>
      <c r="Q1127" t="s">
        <v>3644</v>
      </c>
      <c r="R1127">
        <v>84.245999999999995</v>
      </c>
      <c r="S1127">
        <v>0.27253519454929598</v>
      </c>
      <c r="T1127" t="s">
        <v>3634</v>
      </c>
      <c r="U1127" t="s">
        <v>3633</v>
      </c>
    </row>
    <row r="1128" spans="1:21" x14ac:dyDescent="0.25">
      <c r="A1128" t="s">
        <v>2178</v>
      </c>
      <c r="B1128" s="1">
        <v>45559</v>
      </c>
      <c r="C1128" t="s">
        <v>2179</v>
      </c>
      <c r="D1128" t="s">
        <v>30</v>
      </c>
      <c r="E1128" t="s">
        <v>25</v>
      </c>
      <c r="F1128" t="s">
        <v>26</v>
      </c>
      <c r="G1128" t="s">
        <v>20</v>
      </c>
      <c r="H1128" t="s">
        <v>21</v>
      </c>
      <c r="I1128">
        <v>2</v>
      </c>
      <c r="J1128">
        <v>83.77</v>
      </c>
      <c r="K1128">
        <v>15</v>
      </c>
      <c r="L1128">
        <v>142.41</v>
      </c>
      <c r="M1128">
        <v>8.0500000000000007</v>
      </c>
      <c r="N1128">
        <v>42.21</v>
      </c>
      <c r="O1128" t="s">
        <v>34</v>
      </c>
      <c r="P1128">
        <v>2024</v>
      </c>
      <c r="Q1128" t="s">
        <v>3644</v>
      </c>
      <c r="R1128">
        <v>121.0485</v>
      </c>
      <c r="S1128">
        <v>0.34870320573984798</v>
      </c>
      <c r="T1128" t="s">
        <v>3632</v>
      </c>
      <c r="U1128" t="s">
        <v>3633</v>
      </c>
    </row>
    <row r="1129" spans="1:21" x14ac:dyDescent="0.25">
      <c r="A1129" t="s">
        <v>2180</v>
      </c>
      <c r="B1129" s="1">
        <v>45560</v>
      </c>
      <c r="C1129" t="s">
        <v>2181</v>
      </c>
      <c r="D1129" t="s">
        <v>17</v>
      </c>
      <c r="E1129" t="s">
        <v>25</v>
      </c>
      <c r="F1129" t="s">
        <v>26</v>
      </c>
      <c r="G1129" t="s">
        <v>20</v>
      </c>
      <c r="H1129" t="s">
        <v>264</v>
      </c>
      <c r="I1129">
        <v>4</v>
      </c>
      <c r="J1129">
        <v>48.97</v>
      </c>
      <c r="K1129">
        <v>20</v>
      </c>
      <c r="L1129">
        <v>156.69999999999999</v>
      </c>
      <c r="M1129">
        <v>10.82</v>
      </c>
      <c r="N1129">
        <v>38.15</v>
      </c>
      <c r="O1129" t="s">
        <v>34</v>
      </c>
      <c r="P1129">
        <v>2024</v>
      </c>
      <c r="Q1129" t="s">
        <v>3644</v>
      </c>
      <c r="R1129">
        <v>125.36</v>
      </c>
      <c r="S1129">
        <v>0.30432354818123802</v>
      </c>
      <c r="T1129" t="s">
        <v>3632</v>
      </c>
      <c r="U1129" t="s">
        <v>3633</v>
      </c>
    </row>
    <row r="1130" spans="1:21" x14ac:dyDescent="0.25">
      <c r="A1130" t="s">
        <v>2182</v>
      </c>
      <c r="B1130" s="1">
        <v>45561</v>
      </c>
      <c r="C1130" t="s">
        <v>2183</v>
      </c>
      <c r="D1130" t="s">
        <v>17</v>
      </c>
      <c r="E1130" t="s">
        <v>76</v>
      </c>
      <c r="F1130" t="s">
        <v>26</v>
      </c>
      <c r="G1130" t="s">
        <v>69</v>
      </c>
      <c r="H1130" t="s">
        <v>196</v>
      </c>
      <c r="I1130">
        <v>1</v>
      </c>
      <c r="J1130">
        <v>29.28</v>
      </c>
      <c r="K1130">
        <v>15</v>
      </c>
      <c r="L1130">
        <v>24.89</v>
      </c>
      <c r="M1130">
        <v>9.4</v>
      </c>
      <c r="N1130">
        <v>0.85</v>
      </c>
      <c r="O1130" t="s">
        <v>34</v>
      </c>
      <c r="P1130">
        <v>2024</v>
      </c>
      <c r="Q1130" t="s">
        <v>3644</v>
      </c>
      <c r="R1130">
        <v>21.156500000000001</v>
      </c>
      <c r="S1130">
        <v>4.0176777822418602E-2</v>
      </c>
      <c r="T1130" t="s">
        <v>3634</v>
      </c>
      <c r="U1130" t="s">
        <v>3633</v>
      </c>
    </row>
    <row r="1131" spans="1:21" x14ac:dyDescent="0.25">
      <c r="A1131" t="s">
        <v>2184</v>
      </c>
      <c r="B1131" s="1">
        <v>45562</v>
      </c>
      <c r="C1131" t="s">
        <v>2185</v>
      </c>
      <c r="D1131" t="s">
        <v>30</v>
      </c>
      <c r="E1131" t="s">
        <v>166</v>
      </c>
      <c r="F1131" t="s">
        <v>60</v>
      </c>
      <c r="G1131" t="s">
        <v>69</v>
      </c>
      <c r="H1131" t="s">
        <v>305</v>
      </c>
      <c r="I1131">
        <v>4</v>
      </c>
      <c r="J1131">
        <v>26</v>
      </c>
      <c r="K1131">
        <v>0</v>
      </c>
      <c r="L1131">
        <v>104</v>
      </c>
      <c r="M1131">
        <v>15.47</v>
      </c>
      <c r="N1131">
        <v>36.53</v>
      </c>
      <c r="O1131" t="s">
        <v>39</v>
      </c>
      <c r="P1131">
        <v>2024</v>
      </c>
      <c r="Q1131" t="s">
        <v>3644</v>
      </c>
      <c r="R1131">
        <v>104</v>
      </c>
      <c r="S1131">
        <v>0.35125000000000001</v>
      </c>
      <c r="T1131" t="s">
        <v>3632</v>
      </c>
      <c r="U1131" t="s">
        <v>3633</v>
      </c>
    </row>
    <row r="1132" spans="1:21" x14ac:dyDescent="0.25">
      <c r="A1132" t="s">
        <v>2186</v>
      </c>
      <c r="B1132" s="1">
        <v>45562</v>
      </c>
      <c r="C1132" t="s">
        <v>2187</v>
      </c>
      <c r="D1132" t="s">
        <v>17</v>
      </c>
      <c r="E1132" t="s">
        <v>76</v>
      </c>
      <c r="F1132" t="s">
        <v>26</v>
      </c>
      <c r="G1132" t="s">
        <v>20</v>
      </c>
      <c r="H1132" t="s">
        <v>106</v>
      </c>
      <c r="I1132">
        <v>4</v>
      </c>
      <c r="J1132">
        <v>31.83</v>
      </c>
      <c r="K1132">
        <v>5</v>
      </c>
      <c r="L1132">
        <v>120.95</v>
      </c>
      <c r="M1132">
        <v>12.01</v>
      </c>
      <c r="N1132">
        <v>38.909999999999997</v>
      </c>
      <c r="O1132" t="s">
        <v>56</v>
      </c>
      <c r="P1132">
        <v>2024</v>
      </c>
      <c r="Q1132" t="s">
        <v>3644</v>
      </c>
      <c r="R1132">
        <v>114.9025</v>
      </c>
      <c r="S1132">
        <v>0.33863492961423802</v>
      </c>
      <c r="T1132" t="s">
        <v>3632</v>
      </c>
      <c r="U1132" t="s">
        <v>3633</v>
      </c>
    </row>
    <row r="1133" spans="1:21" x14ac:dyDescent="0.25">
      <c r="A1133" t="s">
        <v>2188</v>
      </c>
      <c r="B1133" s="1">
        <v>45563</v>
      </c>
      <c r="C1133" t="s">
        <v>2189</v>
      </c>
      <c r="D1133" t="s">
        <v>30</v>
      </c>
      <c r="E1133" t="s">
        <v>248</v>
      </c>
      <c r="F1133" t="s">
        <v>26</v>
      </c>
      <c r="G1133" t="s">
        <v>42</v>
      </c>
      <c r="H1133" t="s">
        <v>118</v>
      </c>
      <c r="I1133">
        <v>2</v>
      </c>
      <c r="J1133">
        <v>61.97</v>
      </c>
      <c r="K1133">
        <v>0</v>
      </c>
      <c r="L1133">
        <v>123.94</v>
      </c>
      <c r="M1133">
        <v>11.14</v>
      </c>
      <c r="N1133">
        <v>38.44</v>
      </c>
      <c r="O1133" t="s">
        <v>56</v>
      </c>
      <c r="P1133">
        <v>2024</v>
      </c>
      <c r="Q1133" t="s">
        <v>3644</v>
      </c>
      <c r="R1133">
        <v>123.94</v>
      </c>
      <c r="S1133">
        <v>0.31015007261578198</v>
      </c>
      <c r="T1133" t="s">
        <v>3632</v>
      </c>
      <c r="U1133" t="s">
        <v>3633</v>
      </c>
    </row>
    <row r="1134" spans="1:21" x14ac:dyDescent="0.25">
      <c r="A1134" t="s">
        <v>2190</v>
      </c>
      <c r="B1134" s="1">
        <v>45563</v>
      </c>
      <c r="C1134" t="s">
        <v>2191</v>
      </c>
      <c r="D1134" t="s">
        <v>30</v>
      </c>
      <c r="E1134" t="s">
        <v>76</v>
      </c>
      <c r="F1134" t="s">
        <v>26</v>
      </c>
      <c r="G1134" t="s">
        <v>42</v>
      </c>
      <c r="H1134" t="s">
        <v>255</v>
      </c>
      <c r="I1134">
        <v>6</v>
      </c>
      <c r="J1134">
        <v>47.45</v>
      </c>
      <c r="K1134">
        <v>5</v>
      </c>
      <c r="L1134">
        <v>270.47000000000003</v>
      </c>
      <c r="M1134">
        <v>21.01</v>
      </c>
      <c r="N1134">
        <v>78.64</v>
      </c>
      <c r="O1134" t="s">
        <v>34</v>
      </c>
      <c r="P1134">
        <v>2024</v>
      </c>
      <c r="Q1134" t="s">
        <v>3644</v>
      </c>
      <c r="R1134">
        <v>256.94650000000001</v>
      </c>
      <c r="S1134">
        <v>0.306055929930939</v>
      </c>
      <c r="T1134" t="s">
        <v>3632</v>
      </c>
      <c r="U1134" t="s">
        <v>3633</v>
      </c>
    </row>
    <row r="1135" spans="1:21" x14ac:dyDescent="0.25">
      <c r="A1135" t="s">
        <v>2192</v>
      </c>
      <c r="B1135" s="1">
        <v>45564</v>
      </c>
      <c r="C1135" t="s">
        <v>329</v>
      </c>
      <c r="D1135" t="s">
        <v>30</v>
      </c>
      <c r="E1135" t="s">
        <v>85</v>
      </c>
      <c r="F1135" t="s">
        <v>60</v>
      </c>
      <c r="G1135" t="s">
        <v>32</v>
      </c>
      <c r="H1135" t="s">
        <v>33</v>
      </c>
      <c r="I1135">
        <v>6</v>
      </c>
      <c r="J1135">
        <v>6.49</v>
      </c>
      <c r="K1135">
        <v>15</v>
      </c>
      <c r="L1135">
        <v>33.1</v>
      </c>
      <c r="M1135">
        <v>12.35</v>
      </c>
      <c r="N1135">
        <v>3.23</v>
      </c>
      <c r="O1135" t="s">
        <v>34</v>
      </c>
      <c r="P1135">
        <v>2024</v>
      </c>
      <c r="Q1135" t="s">
        <v>3644</v>
      </c>
      <c r="R1135">
        <v>28.135000000000002</v>
      </c>
      <c r="S1135">
        <v>0.11480362537764401</v>
      </c>
      <c r="T1135" t="s">
        <v>3634</v>
      </c>
      <c r="U1135" t="s">
        <v>3633</v>
      </c>
    </row>
    <row r="1136" spans="1:21" x14ac:dyDescent="0.25">
      <c r="A1136" t="s">
        <v>2193</v>
      </c>
      <c r="B1136" s="1">
        <v>45564</v>
      </c>
      <c r="C1136" t="s">
        <v>2194</v>
      </c>
      <c r="D1136" t="s">
        <v>17</v>
      </c>
      <c r="E1136" t="s">
        <v>109</v>
      </c>
      <c r="F1136" t="s">
        <v>54</v>
      </c>
      <c r="G1136" t="s">
        <v>20</v>
      </c>
      <c r="H1136" t="s">
        <v>38</v>
      </c>
      <c r="I1136">
        <v>3</v>
      </c>
      <c r="J1136">
        <v>37.06</v>
      </c>
      <c r="K1136">
        <v>20</v>
      </c>
      <c r="L1136">
        <v>88.94</v>
      </c>
      <c r="M1136">
        <v>13.02</v>
      </c>
      <c r="N1136">
        <v>14.77</v>
      </c>
      <c r="O1136" t="s">
        <v>22</v>
      </c>
      <c r="P1136">
        <v>2024</v>
      </c>
      <c r="Q1136" t="s">
        <v>3644</v>
      </c>
      <c r="R1136">
        <v>71.152000000000001</v>
      </c>
      <c r="S1136">
        <v>0.20758376433550699</v>
      </c>
      <c r="T1136" t="s">
        <v>3634</v>
      </c>
      <c r="U1136" t="s">
        <v>3633</v>
      </c>
    </row>
    <row r="1137" spans="1:21" x14ac:dyDescent="0.25">
      <c r="A1137" t="s">
        <v>2195</v>
      </c>
      <c r="B1137" s="1">
        <v>45565</v>
      </c>
      <c r="C1137" t="s">
        <v>2196</v>
      </c>
      <c r="D1137" t="s">
        <v>17</v>
      </c>
      <c r="E1137" t="s">
        <v>169</v>
      </c>
      <c r="F1137" t="s">
        <v>68</v>
      </c>
      <c r="G1137" t="s">
        <v>20</v>
      </c>
      <c r="H1137" t="s">
        <v>27</v>
      </c>
      <c r="I1137">
        <v>1</v>
      </c>
      <c r="J1137">
        <v>165.01</v>
      </c>
      <c r="K1137">
        <v>10</v>
      </c>
      <c r="L1137">
        <v>148.51</v>
      </c>
      <c r="M1137">
        <v>11.03</v>
      </c>
      <c r="N1137">
        <v>46.72</v>
      </c>
      <c r="O1137" t="s">
        <v>39</v>
      </c>
      <c r="P1137">
        <v>2024</v>
      </c>
      <c r="Q1137" t="s">
        <v>3644</v>
      </c>
      <c r="R1137">
        <v>133.65899999999999</v>
      </c>
      <c r="S1137">
        <v>0.34954623332510298</v>
      </c>
      <c r="T1137" t="s">
        <v>3632</v>
      </c>
      <c r="U1137" t="s">
        <v>3633</v>
      </c>
    </row>
    <row r="1138" spans="1:21" x14ac:dyDescent="0.25">
      <c r="A1138" t="s">
        <v>2197</v>
      </c>
      <c r="B1138" s="1">
        <v>45566</v>
      </c>
      <c r="C1138" t="s">
        <v>2198</v>
      </c>
      <c r="D1138" t="s">
        <v>49</v>
      </c>
      <c r="E1138" t="s">
        <v>248</v>
      </c>
      <c r="F1138" t="s">
        <v>26</v>
      </c>
      <c r="G1138" t="s">
        <v>69</v>
      </c>
      <c r="H1138" t="s">
        <v>305</v>
      </c>
      <c r="I1138">
        <v>3</v>
      </c>
      <c r="J1138">
        <v>66.59</v>
      </c>
      <c r="K1138">
        <v>5</v>
      </c>
      <c r="L1138">
        <v>189.78</v>
      </c>
      <c r="M1138">
        <v>13.14</v>
      </c>
      <c r="N1138">
        <v>76.75</v>
      </c>
      <c r="O1138" t="s">
        <v>34</v>
      </c>
      <c r="P1138">
        <v>2024</v>
      </c>
      <c r="Q1138" t="s">
        <v>3645</v>
      </c>
      <c r="R1138">
        <v>180.291</v>
      </c>
      <c r="S1138">
        <v>0.425700672801194</v>
      </c>
      <c r="T1138" t="s">
        <v>3632</v>
      </c>
      <c r="U1138" t="s">
        <v>3633</v>
      </c>
    </row>
    <row r="1139" spans="1:21" x14ac:dyDescent="0.25">
      <c r="A1139" t="s">
        <v>2199</v>
      </c>
      <c r="B1139" s="1">
        <v>45567</v>
      </c>
      <c r="C1139" t="s">
        <v>2200</v>
      </c>
      <c r="D1139" t="s">
        <v>30</v>
      </c>
      <c r="E1139" t="s">
        <v>67</v>
      </c>
      <c r="F1139" t="s">
        <v>68</v>
      </c>
      <c r="G1139" t="s">
        <v>69</v>
      </c>
      <c r="H1139" t="s">
        <v>86</v>
      </c>
      <c r="I1139">
        <v>1</v>
      </c>
      <c r="J1139">
        <v>41.43</v>
      </c>
      <c r="K1139">
        <v>10</v>
      </c>
      <c r="L1139">
        <v>37.29</v>
      </c>
      <c r="M1139">
        <v>12.06</v>
      </c>
      <c r="N1139">
        <v>4.51</v>
      </c>
      <c r="O1139" t="s">
        <v>22</v>
      </c>
      <c r="P1139">
        <v>2024</v>
      </c>
      <c r="Q1139" t="s">
        <v>3645</v>
      </c>
      <c r="R1139">
        <v>33.561</v>
      </c>
      <c r="S1139">
        <v>0.13438216978039999</v>
      </c>
      <c r="T1139" t="s">
        <v>3634</v>
      </c>
      <c r="U1139" t="s">
        <v>3633</v>
      </c>
    </row>
    <row r="1140" spans="1:21" x14ac:dyDescent="0.25">
      <c r="A1140" t="s">
        <v>2201</v>
      </c>
      <c r="B1140" s="1">
        <v>45567</v>
      </c>
      <c r="C1140" t="s">
        <v>375</v>
      </c>
      <c r="D1140" t="s">
        <v>49</v>
      </c>
      <c r="E1140" t="s">
        <v>31</v>
      </c>
      <c r="F1140" t="s">
        <v>19</v>
      </c>
      <c r="G1140" t="s">
        <v>42</v>
      </c>
      <c r="H1140" t="s">
        <v>294</v>
      </c>
      <c r="I1140">
        <v>1</v>
      </c>
      <c r="J1140">
        <v>160.44999999999999</v>
      </c>
      <c r="K1140">
        <v>5</v>
      </c>
      <c r="L1140">
        <v>152.43</v>
      </c>
      <c r="M1140">
        <v>5.89</v>
      </c>
      <c r="N1140">
        <v>50.27</v>
      </c>
      <c r="O1140" t="s">
        <v>39</v>
      </c>
      <c r="P1140">
        <v>2024</v>
      </c>
      <c r="Q1140" t="s">
        <v>3645</v>
      </c>
      <c r="R1140">
        <v>144.80850000000001</v>
      </c>
      <c r="S1140">
        <v>0.34714813011667101</v>
      </c>
      <c r="T1140" t="s">
        <v>3632</v>
      </c>
      <c r="U1140" t="s">
        <v>3633</v>
      </c>
    </row>
    <row r="1141" spans="1:21" x14ac:dyDescent="0.25">
      <c r="A1141" t="s">
        <v>2202</v>
      </c>
      <c r="B1141" s="1">
        <v>45568</v>
      </c>
      <c r="C1141" t="s">
        <v>2203</v>
      </c>
      <c r="D1141" t="s">
        <v>30</v>
      </c>
      <c r="E1141" t="s">
        <v>76</v>
      </c>
      <c r="F1141" t="s">
        <v>26</v>
      </c>
      <c r="G1141" t="s">
        <v>20</v>
      </c>
      <c r="H1141" t="s">
        <v>27</v>
      </c>
      <c r="I1141">
        <v>4</v>
      </c>
      <c r="J1141">
        <v>142.59</v>
      </c>
      <c r="K1141">
        <v>0</v>
      </c>
      <c r="L1141">
        <v>570.36</v>
      </c>
      <c r="M1141">
        <v>11.88</v>
      </c>
      <c r="N1141">
        <v>244.78</v>
      </c>
      <c r="O1141" t="s">
        <v>39</v>
      </c>
      <c r="P1141">
        <v>2024</v>
      </c>
      <c r="Q1141" t="s">
        <v>3645</v>
      </c>
      <c r="R1141">
        <v>570.36</v>
      </c>
      <c r="S1141">
        <v>0.429167543305982</v>
      </c>
      <c r="T1141" t="s">
        <v>3635</v>
      </c>
      <c r="U1141" t="s">
        <v>3633</v>
      </c>
    </row>
    <row r="1142" spans="1:21" x14ac:dyDescent="0.25">
      <c r="A1142" t="s">
        <v>2204</v>
      </c>
      <c r="B1142" s="1">
        <v>45568</v>
      </c>
      <c r="C1142" t="s">
        <v>2173</v>
      </c>
      <c r="D1142" t="s">
        <v>49</v>
      </c>
      <c r="E1142" t="s">
        <v>25</v>
      </c>
      <c r="F1142" t="s">
        <v>26</v>
      </c>
      <c r="G1142" t="s">
        <v>20</v>
      </c>
      <c r="H1142" t="s">
        <v>106</v>
      </c>
      <c r="I1142">
        <v>3</v>
      </c>
      <c r="J1142">
        <v>37.56</v>
      </c>
      <c r="K1142">
        <v>10</v>
      </c>
      <c r="L1142">
        <v>101.41</v>
      </c>
      <c r="M1142">
        <v>11.79</v>
      </c>
      <c r="N1142">
        <v>27.65</v>
      </c>
      <c r="O1142" t="s">
        <v>22</v>
      </c>
      <c r="P1142">
        <v>2024</v>
      </c>
      <c r="Q1142" t="s">
        <v>3645</v>
      </c>
      <c r="R1142">
        <v>91.269000000000005</v>
      </c>
      <c r="S1142">
        <v>0.30295061850135302</v>
      </c>
      <c r="T1142" t="s">
        <v>3632</v>
      </c>
      <c r="U1142" t="s">
        <v>3633</v>
      </c>
    </row>
    <row r="1143" spans="1:21" x14ac:dyDescent="0.25">
      <c r="A1143" t="s">
        <v>2205</v>
      </c>
      <c r="B1143" s="1">
        <v>45568</v>
      </c>
      <c r="C1143" t="s">
        <v>2206</v>
      </c>
      <c r="D1143" t="s">
        <v>30</v>
      </c>
      <c r="E1143" t="s">
        <v>76</v>
      </c>
      <c r="F1143" t="s">
        <v>26</v>
      </c>
      <c r="G1143" t="s">
        <v>42</v>
      </c>
      <c r="H1143" t="s">
        <v>93</v>
      </c>
      <c r="I1143">
        <v>4</v>
      </c>
      <c r="J1143">
        <v>287.66000000000003</v>
      </c>
      <c r="K1143">
        <v>5</v>
      </c>
      <c r="L1143">
        <v>1093.1099999999999</v>
      </c>
      <c r="M1143">
        <v>15.79</v>
      </c>
      <c r="N1143">
        <v>386.94</v>
      </c>
      <c r="O1143" t="s">
        <v>22</v>
      </c>
      <c r="P1143">
        <v>2024</v>
      </c>
      <c r="Q1143" t="s">
        <v>3645</v>
      </c>
      <c r="R1143">
        <v>1038.4545000000001</v>
      </c>
      <c r="S1143">
        <v>0.372611414366253</v>
      </c>
      <c r="T1143" t="s">
        <v>3635</v>
      </c>
      <c r="U1143" t="s">
        <v>3633</v>
      </c>
    </row>
    <row r="1144" spans="1:21" x14ac:dyDescent="0.25">
      <c r="A1144" t="s">
        <v>2207</v>
      </c>
      <c r="B1144" s="1">
        <v>45568</v>
      </c>
      <c r="C1144" t="s">
        <v>2208</v>
      </c>
      <c r="D1144" t="s">
        <v>49</v>
      </c>
      <c r="E1144" t="s">
        <v>59</v>
      </c>
      <c r="F1144" t="s">
        <v>60</v>
      </c>
      <c r="G1144" t="s">
        <v>69</v>
      </c>
      <c r="H1144" t="s">
        <v>98</v>
      </c>
      <c r="I1144">
        <v>3</v>
      </c>
      <c r="J1144">
        <v>55.82</v>
      </c>
      <c r="K1144">
        <v>5</v>
      </c>
      <c r="L1144">
        <v>159.09</v>
      </c>
      <c r="M1144">
        <v>12.34</v>
      </c>
      <c r="N1144">
        <v>63.02</v>
      </c>
      <c r="O1144" t="s">
        <v>56</v>
      </c>
      <c r="P1144">
        <v>2024</v>
      </c>
      <c r="Q1144" t="s">
        <v>3645</v>
      </c>
      <c r="R1144">
        <v>151.13550000000001</v>
      </c>
      <c r="S1144">
        <v>0.416976818814904</v>
      </c>
      <c r="T1144" t="s">
        <v>3632</v>
      </c>
      <c r="U1144" t="s">
        <v>3633</v>
      </c>
    </row>
    <row r="1145" spans="1:21" x14ac:dyDescent="0.25">
      <c r="A1145" t="s">
        <v>2209</v>
      </c>
      <c r="B1145" s="1">
        <v>45568</v>
      </c>
      <c r="C1145" t="s">
        <v>134</v>
      </c>
      <c r="D1145" t="s">
        <v>30</v>
      </c>
      <c r="E1145" t="s">
        <v>18</v>
      </c>
      <c r="F1145" t="s">
        <v>19</v>
      </c>
      <c r="G1145" t="s">
        <v>32</v>
      </c>
      <c r="H1145" t="s">
        <v>110</v>
      </c>
      <c r="I1145">
        <v>6</v>
      </c>
      <c r="J1145">
        <v>7.06</v>
      </c>
      <c r="K1145">
        <v>20</v>
      </c>
      <c r="L1145">
        <v>33.89</v>
      </c>
      <c r="M1145">
        <v>9.61</v>
      </c>
      <c r="N1145">
        <v>5.22</v>
      </c>
      <c r="O1145" t="s">
        <v>56</v>
      </c>
      <c r="P1145">
        <v>2024</v>
      </c>
      <c r="Q1145" t="s">
        <v>3645</v>
      </c>
      <c r="R1145">
        <v>27.111999999999998</v>
      </c>
      <c r="S1145">
        <v>0.192534670994394</v>
      </c>
      <c r="T1145" t="s">
        <v>3634</v>
      </c>
      <c r="U1145" t="s">
        <v>3633</v>
      </c>
    </row>
    <row r="1146" spans="1:21" x14ac:dyDescent="0.25">
      <c r="A1146" t="s">
        <v>2210</v>
      </c>
      <c r="B1146" s="1">
        <v>45569</v>
      </c>
      <c r="C1146" t="s">
        <v>417</v>
      </c>
      <c r="D1146" t="s">
        <v>30</v>
      </c>
      <c r="E1146" t="s">
        <v>109</v>
      </c>
      <c r="F1146" t="s">
        <v>54</v>
      </c>
      <c r="G1146" t="s">
        <v>32</v>
      </c>
      <c r="H1146" t="s">
        <v>149</v>
      </c>
      <c r="I1146">
        <v>2</v>
      </c>
      <c r="J1146">
        <v>16.71</v>
      </c>
      <c r="K1146">
        <v>5</v>
      </c>
      <c r="L1146">
        <v>31.75</v>
      </c>
      <c r="M1146">
        <v>14.63</v>
      </c>
      <c r="N1146">
        <v>2.08</v>
      </c>
      <c r="O1146" t="s">
        <v>34</v>
      </c>
      <c r="P1146">
        <v>2024</v>
      </c>
      <c r="Q1146" t="s">
        <v>3645</v>
      </c>
      <c r="R1146">
        <v>30.162500000000001</v>
      </c>
      <c r="S1146">
        <v>6.8959801077496899E-2</v>
      </c>
      <c r="T1146" t="s">
        <v>3634</v>
      </c>
      <c r="U1146" t="s">
        <v>3633</v>
      </c>
    </row>
    <row r="1147" spans="1:21" x14ac:dyDescent="0.25">
      <c r="A1147" t="s">
        <v>2211</v>
      </c>
      <c r="B1147" s="1">
        <v>45569</v>
      </c>
      <c r="C1147" t="s">
        <v>2212</v>
      </c>
      <c r="D1147" t="s">
        <v>17</v>
      </c>
      <c r="E1147" t="s">
        <v>59</v>
      </c>
      <c r="F1147" t="s">
        <v>60</v>
      </c>
      <c r="G1147" t="s">
        <v>32</v>
      </c>
      <c r="H1147" t="s">
        <v>82</v>
      </c>
      <c r="I1147">
        <v>10</v>
      </c>
      <c r="J1147">
        <v>8.48</v>
      </c>
      <c r="K1147">
        <v>10</v>
      </c>
      <c r="L1147">
        <v>76.319999999999993</v>
      </c>
      <c r="M1147">
        <v>21.04</v>
      </c>
      <c r="N1147">
        <v>17.12</v>
      </c>
      <c r="O1147" t="s">
        <v>39</v>
      </c>
      <c r="P1147">
        <v>2024</v>
      </c>
      <c r="Q1147" t="s">
        <v>3645</v>
      </c>
      <c r="R1147">
        <v>68.688000000000002</v>
      </c>
      <c r="S1147">
        <v>0.249242953645469</v>
      </c>
      <c r="T1147" t="s">
        <v>3634</v>
      </c>
      <c r="U1147" t="s">
        <v>3633</v>
      </c>
    </row>
    <row r="1148" spans="1:21" x14ac:dyDescent="0.25">
      <c r="A1148" t="s">
        <v>2213</v>
      </c>
      <c r="B1148" s="1">
        <v>45569</v>
      </c>
      <c r="C1148" t="s">
        <v>2214</v>
      </c>
      <c r="D1148" t="s">
        <v>17</v>
      </c>
      <c r="E1148" t="s">
        <v>166</v>
      </c>
      <c r="F1148" t="s">
        <v>60</v>
      </c>
      <c r="G1148" t="s">
        <v>20</v>
      </c>
      <c r="H1148" t="s">
        <v>122</v>
      </c>
      <c r="I1148">
        <v>5</v>
      </c>
      <c r="J1148">
        <v>113.75</v>
      </c>
      <c r="K1148">
        <v>5</v>
      </c>
      <c r="L1148">
        <v>540.30999999999995</v>
      </c>
      <c r="M1148">
        <v>19.739999999999998</v>
      </c>
      <c r="N1148">
        <v>207.76</v>
      </c>
      <c r="O1148" t="s">
        <v>56</v>
      </c>
      <c r="P1148">
        <v>2024</v>
      </c>
      <c r="Q1148" t="s">
        <v>3645</v>
      </c>
      <c r="R1148">
        <v>513.29449999999997</v>
      </c>
      <c r="S1148">
        <v>0.40475789239900301</v>
      </c>
      <c r="T1148" t="s">
        <v>3635</v>
      </c>
      <c r="U1148" t="s">
        <v>3633</v>
      </c>
    </row>
    <row r="1149" spans="1:21" x14ac:dyDescent="0.25">
      <c r="A1149" t="s">
        <v>2215</v>
      </c>
      <c r="B1149" s="1">
        <v>45570</v>
      </c>
      <c r="C1149" t="s">
        <v>189</v>
      </c>
      <c r="D1149" t="s">
        <v>30</v>
      </c>
      <c r="E1149" t="s">
        <v>18</v>
      </c>
      <c r="F1149" t="s">
        <v>19</v>
      </c>
      <c r="G1149" t="s">
        <v>42</v>
      </c>
      <c r="H1149" t="s">
        <v>46</v>
      </c>
      <c r="I1149">
        <v>8</v>
      </c>
      <c r="J1149">
        <v>88.37</v>
      </c>
      <c r="K1149">
        <v>5</v>
      </c>
      <c r="L1149">
        <v>671.61</v>
      </c>
      <c r="M1149">
        <v>16.48</v>
      </c>
      <c r="N1149">
        <v>230.95</v>
      </c>
      <c r="O1149" t="s">
        <v>22</v>
      </c>
      <c r="P1149">
        <v>2024</v>
      </c>
      <c r="Q1149" t="s">
        <v>3645</v>
      </c>
      <c r="R1149">
        <v>638.02949999999998</v>
      </c>
      <c r="S1149">
        <v>0.36197385857550501</v>
      </c>
      <c r="T1149" t="s">
        <v>3635</v>
      </c>
      <c r="U1149" t="s">
        <v>3633</v>
      </c>
    </row>
    <row r="1150" spans="1:21" x14ac:dyDescent="0.25">
      <c r="A1150" t="s">
        <v>2216</v>
      </c>
      <c r="B1150" s="1">
        <v>45571</v>
      </c>
      <c r="C1150" t="s">
        <v>2217</v>
      </c>
      <c r="D1150" t="s">
        <v>17</v>
      </c>
      <c r="E1150" t="s">
        <v>138</v>
      </c>
      <c r="F1150" t="s">
        <v>54</v>
      </c>
      <c r="G1150" t="s">
        <v>32</v>
      </c>
      <c r="H1150" t="s">
        <v>73</v>
      </c>
      <c r="I1150">
        <v>3</v>
      </c>
      <c r="J1150">
        <v>5.9</v>
      </c>
      <c r="K1150">
        <v>5</v>
      </c>
      <c r="L1150">
        <v>16.82</v>
      </c>
      <c r="M1150">
        <v>15.21</v>
      </c>
      <c r="N1150">
        <v>-6.36</v>
      </c>
      <c r="O1150" t="s">
        <v>22</v>
      </c>
      <c r="P1150">
        <v>2024</v>
      </c>
      <c r="Q1150" t="s">
        <v>3645</v>
      </c>
      <c r="R1150">
        <v>15.978999999999999</v>
      </c>
      <c r="S1150">
        <v>-0.39802240440578301</v>
      </c>
      <c r="T1150" t="s">
        <v>3634</v>
      </c>
      <c r="U1150" t="s">
        <v>3636</v>
      </c>
    </row>
    <row r="1151" spans="1:21" x14ac:dyDescent="0.25">
      <c r="A1151" t="s">
        <v>2218</v>
      </c>
      <c r="B1151" s="1">
        <v>45571</v>
      </c>
      <c r="C1151" t="s">
        <v>2219</v>
      </c>
      <c r="D1151" t="s">
        <v>49</v>
      </c>
      <c r="E1151" t="s">
        <v>129</v>
      </c>
      <c r="F1151" t="s">
        <v>19</v>
      </c>
      <c r="G1151" t="s">
        <v>69</v>
      </c>
      <c r="H1151" t="s">
        <v>70</v>
      </c>
      <c r="I1151">
        <v>1</v>
      </c>
      <c r="J1151">
        <v>37.979999999999997</v>
      </c>
      <c r="K1151">
        <v>10</v>
      </c>
      <c r="L1151">
        <v>34.18</v>
      </c>
      <c r="M1151">
        <v>7.22</v>
      </c>
      <c r="N1151">
        <v>7.97</v>
      </c>
      <c r="O1151" t="s">
        <v>34</v>
      </c>
      <c r="P1151">
        <v>2024</v>
      </c>
      <c r="Q1151" t="s">
        <v>3645</v>
      </c>
      <c r="R1151">
        <v>30.762</v>
      </c>
      <c r="S1151">
        <v>0.25908588518301801</v>
      </c>
      <c r="T1151" t="s">
        <v>3634</v>
      </c>
      <c r="U1151" t="s">
        <v>3633</v>
      </c>
    </row>
    <row r="1152" spans="1:21" x14ac:dyDescent="0.25">
      <c r="A1152" t="s">
        <v>2220</v>
      </c>
      <c r="B1152" s="1">
        <v>45571</v>
      </c>
      <c r="C1152" t="s">
        <v>1292</v>
      </c>
      <c r="D1152" t="s">
        <v>17</v>
      </c>
      <c r="E1152" t="s">
        <v>67</v>
      </c>
      <c r="F1152" t="s">
        <v>68</v>
      </c>
      <c r="G1152" t="s">
        <v>69</v>
      </c>
      <c r="H1152" t="s">
        <v>79</v>
      </c>
      <c r="I1152">
        <v>5</v>
      </c>
      <c r="J1152">
        <v>34.24</v>
      </c>
      <c r="K1152">
        <v>10</v>
      </c>
      <c r="L1152">
        <v>154.08000000000001</v>
      </c>
      <c r="M1152">
        <v>20.25</v>
      </c>
      <c r="N1152">
        <v>48.23</v>
      </c>
      <c r="O1152" t="s">
        <v>34</v>
      </c>
      <c r="P1152">
        <v>2024</v>
      </c>
      <c r="Q1152" t="s">
        <v>3645</v>
      </c>
      <c r="R1152">
        <v>138.672</v>
      </c>
      <c r="S1152">
        <v>0.34779912311064998</v>
      </c>
      <c r="T1152" t="s">
        <v>3632</v>
      </c>
      <c r="U1152" t="s">
        <v>3633</v>
      </c>
    </row>
    <row r="1153" spans="1:21" x14ac:dyDescent="0.25">
      <c r="A1153" t="s">
        <v>2221</v>
      </c>
      <c r="B1153" s="1">
        <v>45571</v>
      </c>
      <c r="C1153" t="s">
        <v>2222</v>
      </c>
      <c r="D1153" t="s">
        <v>30</v>
      </c>
      <c r="E1153" t="s">
        <v>37</v>
      </c>
      <c r="F1153" t="s">
        <v>26</v>
      </c>
      <c r="G1153" t="s">
        <v>69</v>
      </c>
      <c r="H1153" t="s">
        <v>79</v>
      </c>
      <c r="I1153">
        <v>1</v>
      </c>
      <c r="J1153">
        <v>99.45</v>
      </c>
      <c r="K1153">
        <v>15</v>
      </c>
      <c r="L1153">
        <v>84.53</v>
      </c>
      <c r="M1153">
        <v>7.83</v>
      </c>
      <c r="N1153">
        <v>26.98</v>
      </c>
      <c r="O1153" t="s">
        <v>34</v>
      </c>
      <c r="P1153">
        <v>2024</v>
      </c>
      <c r="Q1153" t="s">
        <v>3645</v>
      </c>
      <c r="R1153">
        <v>71.850499999999997</v>
      </c>
      <c r="S1153">
        <v>0.37550191021635199</v>
      </c>
      <c r="T1153" t="s">
        <v>3634</v>
      </c>
      <c r="U1153" t="s">
        <v>3633</v>
      </c>
    </row>
    <row r="1154" spans="1:21" x14ac:dyDescent="0.25">
      <c r="A1154" t="s">
        <v>2223</v>
      </c>
      <c r="B1154" s="1">
        <v>45571</v>
      </c>
      <c r="C1154" t="s">
        <v>2224</v>
      </c>
      <c r="D1154" t="s">
        <v>30</v>
      </c>
      <c r="E1154" t="s">
        <v>135</v>
      </c>
      <c r="F1154" t="s">
        <v>26</v>
      </c>
      <c r="G1154" t="s">
        <v>20</v>
      </c>
      <c r="H1154" t="s">
        <v>106</v>
      </c>
      <c r="I1154">
        <v>10</v>
      </c>
      <c r="J1154">
        <v>53.93</v>
      </c>
      <c r="K1154">
        <v>5</v>
      </c>
      <c r="L1154">
        <v>512.33000000000004</v>
      </c>
      <c r="M1154">
        <v>19.66</v>
      </c>
      <c r="N1154">
        <v>196.06</v>
      </c>
      <c r="O1154" t="s">
        <v>22</v>
      </c>
      <c r="P1154">
        <v>2024</v>
      </c>
      <c r="Q1154" t="s">
        <v>3645</v>
      </c>
      <c r="R1154">
        <v>486.71350000000001</v>
      </c>
      <c r="S1154">
        <v>0.402824248762362</v>
      </c>
      <c r="T1154" t="s">
        <v>3635</v>
      </c>
      <c r="U1154" t="s">
        <v>3633</v>
      </c>
    </row>
    <row r="1155" spans="1:21" x14ac:dyDescent="0.25">
      <c r="A1155" t="s">
        <v>2225</v>
      </c>
      <c r="B1155" s="1">
        <v>45573</v>
      </c>
      <c r="C1155" t="s">
        <v>2226</v>
      </c>
      <c r="D1155" t="s">
        <v>30</v>
      </c>
      <c r="E1155" t="s">
        <v>18</v>
      </c>
      <c r="F1155" t="s">
        <v>19</v>
      </c>
      <c r="G1155" t="s">
        <v>69</v>
      </c>
      <c r="H1155" t="s">
        <v>196</v>
      </c>
      <c r="I1155">
        <v>6</v>
      </c>
      <c r="J1155">
        <v>16.760000000000002</v>
      </c>
      <c r="K1155">
        <v>5</v>
      </c>
      <c r="L1155">
        <v>95.53</v>
      </c>
      <c r="M1155">
        <v>8.44</v>
      </c>
      <c r="N1155">
        <v>36.81</v>
      </c>
      <c r="O1155" t="s">
        <v>39</v>
      </c>
      <c r="P1155">
        <v>2024</v>
      </c>
      <c r="Q1155" t="s">
        <v>3645</v>
      </c>
      <c r="R1155">
        <v>90.753500000000003</v>
      </c>
      <c r="S1155">
        <v>0.405604191573879</v>
      </c>
      <c r="T1155" t="s">
        <v>3634</v>
      </c>
      <c r="U1155" t="s">
        <v>3633</v>
      </c>
    </row>
    <row r="1156" spans="1:21" x14ac:dyDescent="0.25">
      <c r="A1156" t="s">
        <v>2227</v>
      </c>
      <c r="B1156" s="1">
        <v>45574</v>
      </c>
      <c r="C1156" t="s">
        <v>2228</v>
      </c>
      <c r="D1156" t="s">
        <v>30</v>
      </c>
      <c r="E1156" t="s">
        <v>92</v>
      </c>
      <c r="F1156" t="s">
        <v>60</v>
      </c>
      <c r="G1156" t="s">
        <v>69</v>
      </c>
      <c r="H1156" t="s">
        <v>163</v>
      </c>
      <c r="I1156">
        <v>4</v>
      </c>
      <c r="J1156">
        <v>20.47</v>
      </c>
      <c r="K1156">
        <v>10</v>
      </c>
      <c r="L1156">
        <v>73.69</v>
      </c>
      <c r="M1156">
        <v>11.8</v>
      </c>
      <c r="N1156">
        <v>20.95</v>
      </c>
      <c r="O1156" t="s">
        <v>39</v>
      </c>
      <c r="P1156">
        <v>2024</v>
      </c>
      <c r="Q1156" t="s">
        <v>3645</v>
      </c>
      <c r="R1156">
        <v>66.320999999999998</v>
      </c>
      <c r="S1156">
        <v>0.31588787865080398</v>
      </c>
      <c r="T1156" t="s">
        <v>3634</v>
      </c>
      <c r="U1156" t="s">
        <v>3633</v>
      </c>
    </row>
    <row r="1157" spans="1:21" x14ac:dyDescent="0.25">
      <c r="A1157" t="s">
        <v>2229</v>
      </c>
      <c r="B1157" s="1">
        <v>45574</v>
      </c>
      <c r="C1157" t="s">
        <v>2230</v>
      </c>
      <c r="D1157" t="s">
        <v>30</v>
      </c>
      <c r="E1157" t="s">
        <v>37</v>
      </c>
      <c r="F1157" t="s">
        <v>26</v>
      </c>
      <c r="G1157" t="s">
        <v>20</v>
      </c>
      <c r="H1157" t="s">
        <v>122</v>
      </c>
      <c r="I1157">
        <v>3</v>
      </c>
      <c r="J1157">
        <v>135.35</v>
      </c>
      <c r="K1157">
        <v>5</v>
      </c>
      <c r="L1157">
        <v>385.75</v>
      </c>
      <c r="M1157">
        <v>12.11</v>
      </c>
      <c r="N1157">
        <v>150.31</v>
      </c>
      <c r="O1157" t="s">
        <v>34</v>
      </c>
      <c r="P1157">
        <v>2024</v>
      </c>
      <c r="Q1157" t="s">
        <v>3645</v>
      </c>
      <c r="R1157">
        <v>366.46249999999998</v>
      </c>
      <c r="S1157">
        <v>0.41016475082716503</v>
      </c>
      <c r="T1157" t="s">
        <v>3632</v>
      </c>
      <c r="U1157" t="s">
        <v>3633</v>
      </c>
    </row>
    <row r="1158" spans="1:21" x14ac:dyDescent="0.25">
      <c r="A1158" t="s">
        <v>2231</v>
      </c>
      <c r="B1158" s="1">
        <v>45574</v>
      </c>
      <c r="C1158" t="s">
        <v>2232</v>
      </c>
      <c r="D1158" t="s">
        <v>30</v>
      </c>
      <c r="E1158" t="s">
        <v>92</v>
      </c>
      <c r="F1158" t="s">
        <v>60</v>
      </c>
      <c r="G1158" t="s">
        <v>32</v>
      </c>
      <c r="H1158" t="s">
        <v>132</v>
      </c>
      <c r="I1158">
        <v>4</v>
      </c>
      <c r="J1158">
        <v>13.9</v>
      </c>
      <c r="K1158">
        <v>0</v>
      </c>
      <c r="L1158">
        <v>55.6</v>
      </c>
      <c r="M1158">
        <v>11.78</v>
      </c>
      <c r="N1158">
        <v>18.8</v>
      </c>
      <c r="O1158" t="s">
        <v>34</v>
      </c>
      <c r="P1158">
        <v>2024</v>
      </c>
      <c r="Q1158" t="s">
        <v>3645</v>
      </c>
      <c r="R1158">
        <v>55.6</v>
      </c>
      <c r="S1158">
        <v>0.33812949640287798</v>
      </c>
      <c r="T1158" t="s">
        <v>3634</v>
      </c>
      <c r="U1158" t="s">
        <v>3633</v>
      </c>
    </row>
    <row r="1159" spans="1:21" x14ac:dyDescent="0.25">
      <c r="A1159" t="s">
        <v>2233</v>
      </c>
      <c r="B1159" s="1">
        <v>45574</v>
      </c>
      <c r="C1159" t="s">
        <v>784</v>
      </c>
      <c r="D1159" t="s">
        <v>30</v>
      </c>
      <c r="E1159" t="s">
        <v>31</v>
      </c>
      <c r="F1159" t="s">
        <v>19</v>
      </c>
      <c r="G1159" t="s">
        <v>20</v>
      </c>
      <c r="H1159" t="s">
        <v>21</v>
      </c>
      <c r="I1159">
        <v>4</v>
      </c>
      <c r="J1159">
        <v>58.38</v>
      </c>
      <c r="K1159">
        <v>0</v>
      </c>
      <c r="L1159">
        <v>233.52</v>
      </c>
      <c r="M1159">
        <v>13.39</v>
      </c>
      <c r="N1159">
        <v>91.69</v>
      </c>
      <c r="O1159" t="s">
        <v>39</v>
      </c>
      <c r="P1159">
        <v>2024</v>
      </c>
      <c r="Q1159" t="s">
        <v>3645</v>
      </c>
      <c r="R1159">
        <v>233.52</v>
      </c>
      <c r="S1159">
        <v>0.39264302843439502</v>
      </c>
      <c r="T1159" t="s">
        <v>3632</v>
      </c>
      <c r="U1159" t="s">
        <v>3633</v>
      </c>
    </row>
    <row r="1160" spans="1:21" x14ac:dyDescent="0.25">
      <c r="A1160" t="s">
        <v>2234</v>
      </c>
      <c r="B1160" s="1">
        <v>45574</v>
      </c>
      <c r="C1160" t="s">
        <v>2235</v>
      </c>
      <c r="D1160" t="s">
        <v>49</v>
      </c>
      <c r="E1160" t="s">
        <v>92</v>
      </c>
      <c r="F1160" t="s">
        <v>60</v>
      </c>
      <c r="G1160" t="s">
        <v>69</v>
      </c>
      <c r="H1160" t="s">
        <v>196</v>
      </c>
      <c r="I1160">
        <v>2</v>
      </c>
      <c r="J1160">
        <v>21.81</v>
      </c>
      <c r="K1160">
        <v>10</v>
      </c>
      <c r="L1160">
        <v>39.26</v>
      </c>
      <c r="M1160">
        <v>12.21</v>
      </c>
      <c r="N1160">
        <v>5.24</v>
      </c>
      <c r="O1160" t="s">
        <v>56</v>
      </c>
      <c r="P1160">
        <v>2024</v>
      </c>
      <c r="Q1160" t="s">
        <v>3645</v>
      </c>
      <c r="R1160">
        <v>35.334000000000003</v>
      </c>
      <c r="S1160">
        <v>0.14829908869644001</v>
      </c>
      <c r="T1160" t="s">
        <v>3634</v>
      </c>
      <c r="U1160" t="s">
        <v>3633</v>
      </c>
    </row>
    <row r="1161" spans="1:21" x14ac:dyDescent="0.25">
      <c r="A1161" t="s">
        <v>2236</v>
      </c>
      <c r="B1161" s="1">
        <v>45574</v>
      </c>
      <c r="C1161" t="s">
        <v>1783</v>
      </c>
      <c r="D1161" t="s">
        <v>49</v>
      </c>
      <c r="E1161" t="s">
        <v>248</v>
      </c>
      <c r="F1161" t="s">
        <v>26</v>
      </c>
      <c r="G1161" t="s">
        <v>69</v>
      </c>
      <c r="H1161" t="s">
        <v>160</v>
      </c>
      <c r="I1161">
        <v>8</v>
      </c>
      <c r="J1161">
        <v>48.56</v>
      </c>
      <c r="K1161">
        <v>5</v>
      </c>
      <c r="L1161">
        <v>369.06</v>
      </c>
      <c r="M1161">
        <v>24.35</v>
      </c>
      <c r="N1161">
        <v>150.47</v>
      </c>
      <c r="O1161" t="s">
        <v>39</v>
      </c>
      <c r="P1161">
        <v>2024</v>
      </c>
      <c r="Q1161" t="s">
        <v>3645</v>
      </c>
      <c r="R1161">
        <v>350.60700000000003</v>
      </c>
      <c r="S1161">
        <v>0.429169982344905</v>
      </c>
      <c r="T1161" t="s">
        <v>3632</v>
      </c>
      <c r="U1161" t="s">
        <v>3633</v>
      </c>
    </row>
    <row r="1162" spans="1:21" x14ac:dyDescent="0.25">
      <c r="A1162" t="s">
        <v>2237</v>
      </c>
      <c r="B1162" s="1">
        <v>45574</v>
      </c>
      <c r="C1162" t="s">
        <v>2238</v>
      </c>
      <c r="D1162" t="s">
        <v>30</v>
      </c>
      <c r="E1162" t="s">
        <v>31</v>
      </c>
      <c r="F1162" t="s">
        <v>19</v>
      </c>
      <c r="G1162" t="s">
        <v>42</v>
      </c>
      <c r="H1162" t="s">
        <v>89</v>
      </c>
      <c r="I1162">
        <v>1</v>
      </c>
      <c r="J1162">
        <v>371.21</v>
      </c>
      <c r="K1162">
        <v>10</v>
      </c>
      <c r="L1162">
        <v>334.09</v>
      </c>
      <c r="M1162">
        <v>5.6</v>
      </c>
      <c r="N1162">
        <v>105.76</v>
      </c>
      <c r="O1162" t="s">
        <v>34</v>
      </c>
      <c r="P1162">
        <v>2024</v>
      </c>
      <c r="Q1162" t="s">
        <v>3645</v>
      </c>
      <c r="R1162">
        <v>300.68099999999998</v>
      </c>
      <c r="S1162">
        <v>0.35173489512140799</v>
      </c>
      <c r="T1162" t="s">
        <v>3632</v>
      </c>
      <c r="U1162" t="s">
        <v>3633</v>
      </c>
    </row>
    <row r="1163" spans="1:21" x14ac:dyDescent="0.25">
      <c r="A1163" t="s">
        <v>2239</v>
      </c>
      <c r="B1163" s="1">
        <v>45575</v>
      </c>
      <c r="C1163" t="s">
        <v>2240</v>
      </c>
      <c r="D1163" t="s">
        <v>17</v>
      </c>
      <c r="E1163" t="s">
        <v>85</v>
      </c>
      <c r="F1163" t="s">
        <v>60</v>
      </c>
      <c r="G1163" t="s">
        <v>42</v>
      </c>
      <c r="H1163" t="s">
        <v>89</v>
      </c>
      <c r="I1163">
        <v>10</v>
      </c>
      <c r="J1163">
        <v>345.3</v>
      </c>
      <c r="K1163">
        <v>20</v>
      </c>
      <c r="L1163">
        <v>2762.4</v>
      </c>
      <c r="M1163">
        <v>32.74</v>
      </c>
      <c r="N1163">
        <v>657.86</v>
      </c>
      <c r="O1163" t="s">
        <v>34</v>
      </c>
      <c r="P1163">
        <v>2024</v>
      </c>
      <c r="Q1163" t="s">
        <v>3645</v>
      </c>
      <c r="R1163">
        <v>2209.92</v>
      </c>
      <c r="S1163">
        <v>0.29768498407182198</v>
      </c>
      <c r="T1163" t="s">
        <v>3635</v>
      </c>
      <c r="U1163" t="s">
        <v>3633</v>
      </c>
    </row>
    <row r="1164" spans="1:21" x14ac:dyDescent="0.25">
      <c r="A1164" t="s">
        <v>2241</v>
      </c>
      <c r="B1164" s="1">
        <v>45575</v>
      </c>
      <c r="C1164" t="s">
        <v>2242</v>
      </c>
      <c r="D1164" t="s">
        <v>17</v>
      </c>
      <c r="E1164" t="s">
        <v>31</v>
      </c>
      <c r="F1164" t="s">
        <v>19</v>
      </c>
      <c r="G1164" t="s">
        <v>69</v>
      </c>
      <c r="H1164" t="s">
        <v>243</v>
      </c>
      <c r="I1164">
        <v>3</v>
      </c>
      <c r="J1164">
        <v>51.23</v>
      </c>
      <c r="K1164">
        <v>25</v>
      </c>
      <c r="L1164">
        <v>115.27</v>
      </c>
      <c r="M1164">
        <v>9.6</v>
      </c>
      <c r="N1164">
        <v>28.82</v>
      </c>
      <c r="O1164" t="s">
        <v>22</v>
      </c>
      <c r="P1164">
        <v>2024</v>
      </c>
      <c r="Q1164" t="s">
        <v>3645</v>
      </c>
      <c r="R1164">
        <v>86.452500000000001</v>
      </c>
      <c r="S1164">
        <v>0.33336225094705202</v>
      </c>
      <c r="T1164" t="s">
        <v>3632</v>
      </c>
      <c r="U1164" t="s">
        <v>3633</v>
      </c>
    </row>
    <row r="1165" spans="1:21" x14ac:dyDescent="0.25">
      <c r="A1165" t="s">
        <v>2243</v>
      </c>
      <c r="B1165" s="1">
        <v>45575</v>
      </c>
      <c r="C1165" t="s">
        <v>2244</v>
      </c>
      <c r="D1165" t="s">
        <v>30</v>
      </c>
      <c r="E1165" t="s">
        <v>59</v>
      </c>
      <c r="F1165" t="s">
        <v>60</v>
      </c>
      <c r="G1165" t="s">
        <v>42</v>
      </c>
      <c r="H1165" t="s">
        <v>234</v>
      </c>
      <c r="I1165">
        <v>8</v>
      </c>
      <c r="J1165">
        <v>35.17</v>
      </c>
      <c r="K1165">
        <v>5</v>
      </c>
      <c r="L1165">
        <v>267.29000000000002</v>
      </c>
      <c r="M1165">
        <v>25.72</v>
      </c>
      <c r="N1165">
        <v>72.75</v>
      </c>
      <c r="O1165" t="s">
        <v>34</v>
      </c>
      <c r="P1165">
        <v>2024</v>
      </c>
      <c r="Q1165" t="s">
        <v>3645</v>
      </c>
      <c r="R1165">
        <v>253.9255</v>
      </c>
      <c r="S1165">
        <v>0.28650135571260099</v>
      </c>
      <c r="T1165" t="s">
        <v>3632</v>
      </c>
      <c r="U1165" t="s">
        <v>3633</v>
      </c>
    </row>
    <row r="1166" spans="1:21" x14ac:dyDescent="0.25">
      <c r="A1166" t="s">
        <v>2245</v>
      </c>
      <c r="B1166" s="1">
        <v>45576</v>
      </c>
      <c r="C1166" t="s">
        <v>2246</v>
      </c>
      <c r="D1166" t="s">
        <v>49</v>
      </c>
      <c r="E1166" t="s">
        <v>129</v>
      </c>
      <c r="F1166" t="s">
        <v>19</v>
      </c>
      <c r="G1166" t="s">
        <v>69</v>
      </c>
      <c r="H1166" t="s">
        <v>305</v>
      </c>
      <c r="I1166">
        <v>2</v>
      </c>
      <c r="J1166">
        <v>66.94</v>
      </c>
      <c r="K1166">
        <v>0</v>
      </c>
      <c r="L1166">
        <v>133.88</v>
      </c>
      <c r="M1166">
        <v>9.1199999999999992</v>
      </c>
      <c r="N1166">
        <v>57.82</v>
      </c>
      <c r="O1166" t="s">
        <v>39</v>
      </c>
      <c r="P1166">
        <v>2024</v>
      </c>
      <c r="Q1166" t="s">
        <v>3645</v>
      </c>
      <c r="R1166">
        <v>133.88</v>
      </c>
      <c r="S1166">
        <v>0.43187929489094701</v>
      </c>
      <c r="T1166" t="s">
        <v>3632</v>
      </c>
      <c r="U1166" t="s">
        <v>3633</v>
      </c>
    </row>
    <row r="1167" spans="1:21" x14ac:dyDescent="0.25">
      <c r="A1167" t="s">
        <v>2247</v>
      </c>
      <c r="B1167" s="1">
        <v>45576</v>
      </c>
      <c r="C1167" t="s">
        <v>427</v>
      </c>
      <c r="D1167" t="s">
        <v>30</v>
      </c>
      <c r="E1167" t="s">
        <v>37</v>
      </c>
      <c r="F1167" t="s">
        <v>26</v>
      </c>
      <c r="G1167" t="s">
        <v>20</v>
      </c>
      <c r="H1167" t="s">
        <v>175</v>
      </c>
      <c r="I1167">
        <v>1</v>
      </c>
      <c r="J1167">
        <v>26.72</v>
      </c>
      <c r="K1167">
        <v>0</v>
      </c>
      <c r="L1167">
        <v>26.72</v>
      </c>
      <c r="M1167">
        <v>9.0399999999999991</v>
      </c>
      <c r="N1167">
        <v>2.98</v>
      </c>
      <c r="O1167" t="s">
        <v>34</v>
      </c>
      <c r="P1167">
        <v>2024</v>
      </c>
      <c r="Q1167" t="s">
        <v>3645</v>
      </c>
      <c r="R1167">
        <v>26.72</v>
      </c>
      <c r="S1167">
        <v>0.11152694610778401</v>
      </c>
      <c r="T1167" t="s">
        <v>3634</v>
      </c>
      <c r="U1167" t="s">
        <v>3633</v>
      </c>
    </row>
    <row r="1168" spans="1:21" x14ac:dyDescent="0.25">
      <c r="A1168" t="s">
        <v>2248</v>
      </c>
      <c r="B1168" s="1">
        <v>45576</v>
      </c>
      <c r="C1168" t="s">
        <v>2024</v>
      </c>
      <c r="D1168" t="s">
        <v>30</v>
      </c>
      <c r="E1168" t="s">
        <v>25</v>
      </c>
      <c r="F1168" t="s">
        <v>26</v>
      </c>
      <c r="G1168" t="s">
        <v>42</v>
      </c>
      <c r="H1168" t="s">
        <v>64</v>
      </c>
      <c r="I1168">
        <v>9</v>
      </c>
      <c r="J1168">
        <v>115.8</v>
      </c>
      <c r="K1168">
        <v>20</v>
      </c>
      <c r="L1168">
        <v>833.76</v>
      </c>
      <c r="M1168">
        <v>26.5</v>
      </c>
      <c r="N1168">
        <v>181.94</v>
      </c>
      <c r="O1168" t="s">
        <v>56</v>
      </c>
      <c r="P1168">
        <v>2024</v>
      </c>
      <c r="Q1168" t="s">
        <v>3645</v>
      </c>
      <c r="R1168">
        <v>667.00800000000004</v>
      </c>
      <c r="S1168">
        <v>0.27277034158510799</v>
      </c>
      <c r="T1168" t="s">
        <v>3635</v>
      </c>
      <c r="U1168" t="s">
        <v>3633</v>
      </c>
    </row>
    <row r="1169" spans="1:21" x14ac:dyDescent="0.25">
      <c r="A1169" t="s">
        <v>2249</v>
      </c>
      <c r="B1169" s="1">
        <v>45576</v>
      </c>
      <c r="C1169" t="s">
        <v>2250</v>
      </c>
      <c r="D1169" t="s">
        <v>17</v>
      </c>
      <c r="E1169" t="s">
        <v>31</v>
      </c>
      <c r="F1169" t="s">
        <v>19</v>
      </c>
      <c r="G1169" t="s">
        <v>32</v>
      </c>
      <c r="H1169" t="s">
        <v>73</v>
      </c>
      <c r="I1169">
        <v>2</v>
      </c>
      <c r="J1169">
        <v>9.2799999999999994</v>
      </c>
      <c r="K1169">
        <v>20</v>
      </c>
      <c r="L1169">
        <v>14.85</v>
      </c>
      <c r="M1169">
        <v>8.0399999999999991</v>
      </c>
      <c r="N1169">
        <v>-1.54</v>
      </c>
      <c r="O1169" t="s">
        <v>34</v>
      </c>
      <c r="P1169">
        <v>2024</v>
      </c>
      <c r="Q1169" t="s">
        <v>3645</v>
      </c>
      <c r="R1169">
        <v>11.88</v>
      </c>
      <c r="S1169">
        <v>-0.12962962962963001</v>
      </c>
      <c r="T1169" t="s">
        <v>3634</v>
      </c>
      <c r="U1169" t="s">
        <v>3636</v>
      </c>
    </row>
    <row r="1170" spans="1:21" x14ac:dyDescent="0.25">
      <c r="A1170" t="s">
        <v>2251</v>
      </c>
      <c r="B1170" s="1">
        <v>45576</v>
      </c>
      <c r="C1170" t="s">
        <v>2252</v>
      </c>
      <c r="D1170" t="s">
        <v>30</v>
      </c>
      <c r="E1170" t="s">
        <v>59</v>
      </c>
      <c r="F1170" t="s">
        <v>60</v>
      </c>
      <c r="G1170" t="s">
        <v>32</v>
      </c>
      <c r="H1170" t="s">
        <v>50</v>
      </c>
      <c r="I1170">
        <v>3</v>
      </c>
      <c r="J1170">
        <v>17.78</v>
      </c>
      <c r="K1170">
        <v>0</v>
      </c>
      <c r="L1170">
        <v>53.34</v>
      </c>
      <c r="M1170">
        <v>13.47</v>
      </c>
      <c r="N1170">
        <v>15.87</v>
      </c>
      <c r="O1170" t="s">
        <v>34</v>
      </c>
      <c r="P1170">
        <v>2024</v>
      </c>
      <c r="Q1170" t="s">
        <v>3645</v>
      </c>
      <c r="R1170">
        <v>53.34</v>
      </c>
      <c r="S1170">
        <v>0.29752530933633298</v>
      </c>
      <c r="T1170" t="s">
        <v>3634</v>
      </c>
      <c r="U1170" t="s">
        <v>3633</v>
      </c>
    </row>
    <row r="1171" spans="1:21" x14ac:dyDescent="0.25">
      <c r="A1171" t="s">
        <v>2253</v>
      </c>
      <c r="B1171" s="1">
        <v>45578</v>
      </c>
      <c r="C1171" t="s">
        <v>2254</v>
      </c>
      <c r="D1171" t="s">
        <v>30</v>
      </c>
      <c r="E1171" t="s">
        <v>76</v>
      </c>
      <c r="F1171" t="s">
        <v>26</v>
      </c>
      <c r="G1171" t="s">
        <v>42</v>
      </c>
      <c r="H1171" t="s">
        <v>93</v>
      </c>
      <c r="I1171">
        <v>4</v>
      </c>
      <c r="J1171">
        <v>275.12</v>
      </c>
      <c r="K1171">
        <v>5</v>
      </c>
      <c r="L1171">
        <v>1045.46</v>
      </c>
      <c r="M1171">
        <v>13.94</v>
      </c>
      <c r="N1171">
        <v>371.23</v>
      </c>
      <c r="O1171" t="s">
        <v>39</v>
      </c>
      <c r="P1171">
        <v>2024</v>
      </c>
      <c r="Q1171" t="s">
        <v>3645</v>
      </c>
      <c r="R1171">
        <v>993.18700000000001</v>
      </c>
      <c r="S1171">
        <v>0.37377653956404999</v>
      </c>
      <c r="T1171" t="s">
        <v>3635</v>
      </c>
      <c r="U1171" t="s">
        <v>3633</v>
      </c>
    </row>
    <row r="1172" spans="1:21" x14ac:dyDescent="0.25">
      <c r="A1172" t="s">
        <v>2255</v>
      </c>
      <c r="B1172" s="1">
        <v>45578</v>
      </c>
      <c r="C1172" t="s">
        <v>2256</v>
      </c>
      <c r="D1172" t="s">
        <v>30</v>
      </c>
      <c r="E1172" t="s">
        <v>166</v>
      </c>
      <c r="F1172" t="s">
        <v>60</v>
      </c>
      <c r="G1172" t="s">
        <v>20</v>
      </c>
      <c r="H1172" t="s">
        <v>38</v>
      </c>
      <c r="I1172">
        <v>5</v>
      </c>
      <c r="J1172">
        <v>53.38</v>
      </c>
      <c r="K1172">
        <v>10</v>
      </c>
      <c r="L1172">
        <v>240.21</v>
      </c>
      <c r="M1172">
        <v>11.59</v>
      </c>
      <c r="N1172">
        <v>81.819999999999993</v>
      </c>
      <c r="O1172" t="s">
        <v>56</v>
      </c>
      <c r="P1172">
        <v>2024</v>
      </c>
      <c r="Q1172" t="s">
        <v>3645</v>
      </c>
      <c r="R1172">
        <v>216.18899999999999</v>
      </c>
      <c r="S1172">
        <v>0.378465139299409</v>
      </c>
      <c r="T1172" t="s">
        <v>3632</v>
      </c>
      <c r="U1172" t="s">
        <v>3633</v>
      </c>
    </row>
    <row r="1173" spans="1:21" x14ac:dyDescent="0.25">
      <c r="A1173" t="s">
        <v>2257</v>
      </c>
      <c r="B1173" s="1">
        <v>45579</v>
      </c>
      <c r="C1173" t="s">
        <v>2258</v>
      </c>
      <c r="D1173" t="s">
        <v>30</v>
      </c>
      <c r="E1173" t="s">
        <v>109</v>
      </c>
      <c r="F1173" t="s">
        <v>54</v>
      </c>
      <c r="G1173" t="s">
        <v>69</v>
      </c>
      <c r="H1173" t="s">
        <v>305</v>
      </c>
      <c r="I1173">
        <v>2</v>
      </c>
      <c r="J1173">
        <v>77.59</v>
      </c>
      <c r="K1173">
        <v>10</v>
      </c>
      <c r="L1173">
        <v>139.66</v>
      </c>
      <c r="M1173">
        <v>15.29</v>
      </c>
      <c r="N1173">
        <v>46.78</v>
      </c>
      <c r="O1173" t="s">
        <v>39</v>
      </c>
      <c r="P1173">
        <v>2024</v>
      </c>
      <c r="Q1173" t="s">
        <v>3645</v>
      </c>
      <c r="R1173">
        <v>125.694</v>
      </c>
      <c r="S1173">
        <v>0.37217369166388198</v>
      </c>
      <c r="T1173" t="s">
        <v>3632</v>
      </c>
      <c r="U1173" t="s">
        <v>3633</v>
      </c>
    </row>
    <row r="1174" spans="1:21" x14ac:dyDescent="0.25">
      <c r="A1174" t="s">
        <v>2259</v>
      </c>
      <c r="B1174" s="1">
        <v>45579</v>
      </c>
      <c r="C1174" t="s">
        <v>805</v>
      </c>
      <c r="D1174" t="s">
        <v>30</v>
      </c>
      <c r="E1174" t="s">
        <v>59</v>
      </c>
      <c r="F1174" t="s">
        <v>60</v>
      </c>
      <c r="G1174" t="s">
        <v>32</v>
      </c>
      <c r="H1174" t="s">
        <v>348</v>
      </c>
      <c r="I1174">
        <v>6</v>
      </c>
      <c r="J1174">
        <v>7</v>
      </c>
      <c r="K1174">
        <v>5</v>
      </c>
      <c r="L1174">
        <v>39.9</v>
      </c>
      <c r="M1174">
        <v>18.09</v>
      </c>
      <c r="N1174">
        <v>2.91</v>
      </c>
      <c r="O1174" t="s">
        <v>34</v>
      </c>
      <c r="P1174">
        <v>2024</v>
      </c>
      <c r="Q1174" t="s">
        <v>3645</v>
      </c>
      <c r="R1174">
        <v>37.905000000000001</v>
      </c>
      <c r="S1174">
        <v>7.6770874554808105E-2</v>
      </c>
      <c r="T1174" t="s">
        <v>3634</v>
      </c>
      <c r="U1174" t="s">
        <v>3633</v>
      </c>
    </row>
    <row r="1175" spans="1:21" x14ac:dyDescent="0.25">
      <c r="A1175" t="s">
        <v>2260</v>
      </c>
      <c r="B1175" s="1">
        <v>45579</v>
      </c>
      <c r="C1175" t="s">
        <v>2261</v>
      </c>
      <c r="D1175" t="s">
        <v>49</v>
      </c>
      <c r="E1175" t="s">
        <v>59</v>
      </c>
      <c r="F1175" t="s">
        <v>60</v>
      </c>
      <c r="G1175" t="s">
        <v>69</v>
      </c>
      <c r="H1175" t="s">
        <v>70</v>
      </c>
      <c r="I1175">
        <v>1</v>
      </c>
      <c r="J1175">
        <v>61.38</v>
      </c>
      <c r="K1175">
        <v>10</v>
      </c>
      <c r="L1175">
        <v>55.24</v>
      </c>
      <c r="M1175">
        <v>10.68</v>
      </c>
      <c r="N1175">
        <v>13.87</v>
      </c>
      <c r="O1175" t="s">
        <v>22</v>
      </c>
      <c r="P1175">
        <v>2024</v>
      </c>
      <c r="Q1175" t="s">
        <v>3645</v>
      </c>
      <c r="R1175">
        <v>49.716000000000001</v>
      </c>
      <c r="S1175">
        <v>0.27898463271381402</v>
      </c>
      <c r="T1175" t="s">
        <v>3634</v>
      </c>
      <c r="U1175" t="s">
        <v>3633</v>
      </c>
    </row>
    <row r="1176" spans="1:21" x14ac:dyDescent="0.25">
      <c r="A1176" t="s">
        <v>2262</v>
      </c>
      <c r="B1176" s="1">
        <v>45580</v>
      </c>
      <c r="C1176" t="s">
        <v>2263</v>
      </c>
      <c r="D1176" t="s">
        <v>17</v>
      </c>
      <c r="E1176" t="s">
        <v>31</v>
      </c>
      <c r="F1176" t="s">
        <v>19</v>
      </c>
      <c r="G1176" t="s">
        <v>32</v>
      </c>
      <c r="H1176" t="s">
        <v>101</v>
      </c>
      <c r="I1176">
        <v>7</v>
      </c>
      <c r="J1176">
        <v>9.7899999999999991</v>
      </c>
      <c r="K1176">
        <v>30</v>
      </c>
      <c r="L1176">
        <v>47.97</v>
      </c>
      <c r="M1176">
        <v>15.8</v>
      </c>
      <c r="N1176">
        <v>1.33</v>
      </c>
      <c r="O1176" t="s">
        <v>39</v>
      </c>
      <c r="P1176">
        <v>2024</v>
      </c>
      <c r="Q1176" t="s">
        <v>3645</v>
      </c>
      <c r="R1176">
        <v>33.579000000000001</v>
      </c>
      <c r="S1176">
        <v>3.9608088388576199E-2</v>
      </c>
      <c r="T1176" t="s">
        <v>3634</v>
      </c>
      <c r="U1176" t="s">
        <v>3633</v>
      </c>
    </row>
    <row r="1177" spans="1:21" x14ac:dyDescent="0.25">
      <c r="A1177" t="s">
        <v>2264</v>
      </c>
      <c r="B1177" s="1">
        <v>45580</v>
      </c>
      <c r="C1177" t="s">
        <v>2265</v>
      </c>
      <c r="D1177" t="s">
        <v>30</v>
      </c>
      <c r="E1177" t="s">
        <v>31</v>
      </c>
      <c r="F1177" t="s">
        <v>19</v>
      </c>
      <c r="G1177" t="s">
        <v>32</v>
      </c>
      <c r="H1177" t="s">
        <v>149</v>
      </c>
      <c r="I1177">
        <v>1</v>
      </c>
      <c r="J1177">
        <v>8.5399999999999991</v>
      </c>
      <c r="K1177">
        <v>0</v>
      </c>
      <c r="L1177">
        <v>8.5399999999999991</v>
      </c>
      <c r="M1177">
        <v>7.42</v>
      </c>
      <c r="N1177">
        <v>-2.72</v>
      </c>
      <c r="O1177" t="s">
        <v>39</v>
      </c>
      <c r="P1177">
        <v>2024</v>
      </c>
      <c r="Q1177" t="s">
        <v>3645</v>
      </c>
      <c r="R1177">
        <v>8.5399999999999991</v>
      </c>
      <c r="S1177">
        <v>-0.31850117096018699</v>
      </c>
      <c r="T1177" t="s">
        <v>3634</v>
      </c>
      <c r="U1177" t="s">
        <v>3636</v>
      </c>
    </row>
    <row r="1178" spans="1:21" x14ac:dyDescent="0.25">
      <c r="A1178" t="s">
        <v>2266</v>
      </c>
      <c r="B1178" s="1">
        <v>45581</v>
      </c>
      <c r="C1178" t="s">
        <v>479</v>
      </c>
      <c r="D1178" t="s">
        <v>17</v>
      </c>
      <c r="E1178" t="s">
        <v>129</v>
      </c>
      <c r="F1178" t="s">
        <v>19</v>
      </c>
      <c r="G1178" t="s">
        <v>69</v>
      </c>
      <c r="H1178" t="s">
        <v>163</v>
      </c>
      <c r="I1178">
        <v>1</v>
      </c>
      <c r="J1178">
        <v>26.92</v>
      </c>
      <c r="K1178">
        <v>15</v>
      </c>
      <c r="L1178">
        <v>22.88</v>
      </c>
      <c r="M1178">
        <v>6.91</v>
      </c>
      <c r="N1178">
        <v>2.5099999999999998</v>
      </c>
      <c r="O1178" t="s">
        <v>34</v>
      </c>
      <c r="P1178">
        <v>2024</v>
      </c>
      <c r="Q1178" t="s">
        <v>3645</v>
      </c>
      <c r="R1178">
        <v>19.448</v>
      </c>
      <c r="S1178">
        <v>0.12906211435623199</v>
      </c>
      <c r="T1178" t="s">
        <v>3634</v>
      </c>
      <c r="U1178" t="s">
        <v>3633</v>
      </c>
    </row>
    <row r="1179" spans="1:21" x14ac:dyDescent="0.25">
      <c r="A1179" t="s">
        <v>2267</v>
      </c>
      <c r="B1179" s="1">
        <v>45582</v>
      </c>
      <c r="C1179" t="s">
        <v>2268</v>
      </c>
      <c r="D1179" t="s">
        <v>30</v>
      </c>
      <c r="E1179" t="s">
        <v>121</v>
      </c>
      <c r="F1179" t="s">
        <v>68</v>
      </c>
      <c r="G1179" t="s">
        <v>69</v>
      </c>
      <c r="H1179" t="s">
        <v>98</v>
      </c>
      <c r="I1179">
        <v>1</v>
      </c>
      <c r="J1179">
        <v>29.08</v>
      </c>
      <c r="K1179">
        <v>15</v>
      </c>
      <c r="L1179">
        <v>24.72</v>
      </c>
      <c r="M1179">
        <v>11.98</v>
      </c>
      <c r="N1179">
        <v>-1.8</v>
      </c>
      <c r="O1179" t="s">
        <v>34</v>
      </c>
      <c r="P1179">
        <v>2024</v>
      </c>
      <c r="Q1179" t="s">
        <v>3645</v>
      </c>
      <c r="R1179">
        <v>21.012</v>
      </c>
      <c r="S1179">
        <v>-8.5665334094802995E-2</v>
      </c>
      <c r="T1179" t="s">
        <v>3634</v>
      </c>
      <c r="U1179" t="s">
        <v>3636</v>
      </c>
    </row>
    <row r="1180" spans="1:21" x14ac:dyDescent="0.25">
      <c r="A1180" t="s">
        <v>2269</v>
      </c>
      <c r="B1180" s="1">
        <v>45582</v>
      </c>
      <c r="C1180" t="s">
        <v>2270</v>
      </c>
      <c r="D1180" t="s">
        <v>17</v>
      </c>
      <c r="E1180" t="s">
        <v>18</v>
      </c>
      <c r="F1180" t="s">
        <v>19</v>
      </c>
      <c r="G1180" t="s">
        <v>20</v>
      </c>
      <c r="H1180" t="s">
        <v>38</v>
      </c>
      <c r="I1180">
        <v>9</v>
      </c>
      <c r="J1180">
        <v>45.48</v>
      </c>
      <c r="K1180">
        <v>20</v>
      </c>
      <c r="L1180">
        <v>327.45999999999998</v>
      </c>
      <c r="M1180">
        <v>10.43</v>
      </c>
      <c r="N1180">
        <v>91.9</v>
      </c>
      <c r="O1180" t="s">
        <v>34</v>
      </c>
      <c r="P1180">
        <v>2024</v>
      </c>
      <c r="Q1180" t="s">
        <v>3645</v>
      </c>
      <c r="R1180">
        <v>261.96800000000002</v>
      </c>
      <c r="S1180">
        <v>0.35080620533805701</v>
      </c>
      <c r="T1180" t="s">
        <v>3632</v>
      </c>
      <c r="U1180" t="s">
        <v>3633</v>
      </c>
    </row>
    <row r="1181" spans="1:21" x14ac:dyDescent="0.25">
      <c r="A1181" t="s">
        <v>2271</v>
      </c>
      <c r="B1181" s="1">
        <v>45582</v>
      </c>
      <c r="C1181" t="s">
        <v>2272</v>
      </c>
      <c r="D1181" t="s">
        <v>17</v>
      </c>
      <c r="E1181" t="s">
        <v>63</v>
      </c>
      <c r="F1181" t="s">
        <v>54</v>
      </c>
      <c r="G1181" t="s">
        <v>32</v>
      </c>
      <c r="H1181" t="s">
        <v>73</v>
      </c>
      <c r="I1181">
        <v>1</v>
      </c>
      <c r="J1181">
        <v>4.87</v>
      </c>
      <c r="K1181">
        <v>15</v>
      </c>
      <c r="L1181">
        <v>4.1399999999999997</v>
      </c>
      <c r="M1181">
        <v>12.43</v>
      </c>
      <c r="N1181">
        <v>-10.48</v>
      </c>
      <c r="O1181" t="s">
        <v>56</v>
      </c>
      <c r="P1181">
        <v>2024</v>
      </c>
      <c r="Q1181" t="s">
        <v>3645</v>
      </c>
      <c r="R1181">
        <v>3.5190000000000001</v>
      </c>
      <c r="S1181">
        <v>-2.97811878374538</v>
      </c>
      <c r="T1181" t="s">
        <v>3634</v>
      </c>
      <c r="U1181" t="s">
        <v>3636</v>
      </c>
    </row>
    <row r="1182" spans="1:21" x14ac:dyDescent="0.25">
      <c r="A1182" t="s">
        <v>2273</v>
      </c>
      <c r="B1182" s="1">
        <v>45583</v>
      </c>
      <c r="C1182" t="s">
        <v>2274</v>
      </c>
      <c r="D1182" t="s">
        <v>17</v>
      </c>
      <c r="E1182" t="s">
        <v>85</v>
      </c>
      <c r="F1182" t="s">
        <v>60</v>
      </c>
      <c r="G1182" t="s">
        <v>20</v>
      </c>
      <c r="H1182" t="s">
        <v>175</v>
      </c>
      <c r="I1182">
        <v>3</v>
      </c>
      <c r="J1182">
        <v>19.93</v>
      </c>
      <c r="K1182">
        <v>25</v>
      </c>
      <c r="L1182">
        <v>44.84</v>
      </c>
      <c r="M1182">
        <v>13.57</v>
      </c>
      <c r="N1182">
        <v>-1.61</v>
      </c>
      <c r="O1182" t="s">
        <v>34</v>
      </c>
      <c r="P1182">
        <v>2024</v>
      </c>
      <c r="Q1182" t="s">
        <v>3645</v>
      </c>
      <c r="R1182">
        <v>33.630000000000003</v>
      </c>
      <c r="S1182">
        <v>-4.7873922093368999E-2</v>
      </c>
      <c r="T1182" t="s">
        <v>3634</v>
      </c>
      <c r="U1182" t="s">
        <v>3636</v>
      </c>
    </row>
    <row r="1183" spans="1:21" x14ac:dyDescent="0.25">
      <c r="A1183" t="s">
        <v>2275</v>
      </c>
      <c r="B1183" s="1">
        <v>45584</v>
      </c>
      <c r="C1183" t="s">
        <v>2276</v>
      </c>
      <c r="D1183" t="s">
        <v>30</v>
      </c>
      <c r="E1183" t="s">
        <v>63</v>
      </c>
      <c r="F1183" t="s">
        <v>54</v>
      </c>
      <c r="G1183" t="s">
        <v>42</v>
      </c>
      <c r="H1183" t="s">
        <v>89</v>
      </c>
      <c r="I1183">
        <v>1</v>
      </c>
      <c r="J1183">
        <v>239.53</v>
      </c>
      <c r="K1183">
        <v>25</v>
      </c>
      <c r="L1183">
        <v>179.65</v>
      </c>
      <c r="M1183">
        <v>12.02</v>
      </c>
      <c r="N1183">
        <v>23.91</v>
      </c>
      <c r="O1183" t="s">
        <v>39</v>
      </c>
      <c r="P1183">
        <v>2024</v>
      </c>
      <c r="Q1183" t="s">
        <v>3645</v>
      </c>
      <c r="R1183">
        <v>134.73750000000001</v>
      </c>
      <c r="S1183">
        <v>0.17745616476482001</v>
      </c>
      <c r="T1183" t="s">
        <v>3632</v>
      </c>
      <c r="U1183" t="s">
        <v>3633</v>
      </c>
    </row>
    <row r="1184" spans="1:21" x14ac:dyDescent="0.25">
      <c r="A1184" t="s">
        <v>2277</v>
      </c>
      <c r="B1184" s="1">
        <v>45584</v>
      </c>
      <c r="C1184" t="s">
        <v>2278</v>
      </c>
      <c r="D1184" t="s">
        <v>30</v>
      </c>
      <c r="E1184" t="s">
        <v>59</v>
      </c>
      <c r="F1184" t="s">
        <v>60</v>
      </c>
      <c r="G1184" t="s">
        <v>32</v>
      </c>
      <c r="H1184" t="s">
        <v>132</v>
      </c>
      <c r="I1184">
        <v>1</v>
      </c>
      <c r="J1184">
        <v>17.329999999999998</v>
      </c>
      <c r="K1184">
        <v>25</v>
      </c>
      <c r="L1184">
        <v>13</v>
      </c>
      <c r="M1184">
        <v>11.28</v>
      </c>
      <c r="N1184">
        <v>-6.08</v>
      </c>
      <c r="O1184" t="s">
        <v>34</v>
      </c>
      <c r="P1184">
        <v>2024</v>
      </c>
      <c r="Q1184" t="s">
        <v>3645</v>
      </c>
      <c r="R1184">
        <v>9.75</v>
      </c>
      <c r="S1184">
        <v>-0.62358974358974395</v>
      </c>
      <c r="T1184" t="s">
        <v>3634</v>
      </c>
      <c r="U1184" t="s">
        <v>3636</v>
      </c>
    </row>
    <row r="1185" spans="1:21" x14ac:dyDescent="0.25">
      <c r="A1185" t="s">
        <v>2279</v>
      </c>
      <c r="B1185" s="1">
        <v>45584</v>
      </c>
      <c r="C1185" t="s">
        <v>2280</v>
      </c>
      <c r="D1185" t="s">
        <v>17</v>
      </c>
      <c r="E1185" t="s">
        <v>18</v>
      </c>
      <c r="F1185" t="s">
        <v>19</v>
      </c>
      <c r="G1185" t="s">
        <v>42</v>
      </c>
      <c r="H1185" t="s">
        <v>93</v>
      </c>
      <c r="I1185">
        <v>1</v>
      </c>
      <c r="J1185">
        <v>292.37</v>
      </c>
      <c r="K1185">
        <v>15</v>
      </c>
      <c r="L1185">
        <v>248.51</v>
      </c>
      <c r="M1185">
        <v>5.62</v>
      </c>
      <c r="N1185">
        <v>67.47</v>
      </c>
      <c r="O1185" t="s">
        <v>34</v>
      </c>
      <c r="P1185">
        <v>2024</v>
      </c>
      <c r="Q1185" t="s">
        <v>3645</v>
      </c>
      <c r="R1185">
        <v>211.23349999999999</v>
      </c>
      <c r="S1185">
        <v>0.31940956335051002</v>
      </c>
      <c r="T1185" t="s">
        <v>3632</v>
      </c>
      <c r="U1185" t="s">
        <v>3633</v>
      </c>
    </row>
    <row r="1186" spans="1:21" x14ac:dyDescent="0.25">
      <c r="A1186" t="s">
        <v>2281</v>
      </c>
      <c r="B1186" s="1">
        <v>45586</v>
      </c>
      <c r="C1186" t="s">
        <v>2282</v>
      </c>
      <c r="D1186" t="s">
        <v>30</v>
      </c>
      <c r="E1186" t="s">
        <v>18</v>
      </c>
      <c r="F1186" t="s">
        <v>19</v>
      </c>
      <c r="G1186" t="s">
        <v>32</v>
      </c>
      <c r="H1186" t="s">
        <v>115</v>
      </c>
      <c r="I1186">
        <v>1</v>
      </c>
      <c r="J1186">
        <v>13.36</v>
      </c>
      <c r="K1186">
        <v>0</v>
      </c>
      <c r="L1186">
        <v>13.36</v>
      </c>
      <c r="M1186">
        <v>7.32</v>
      </c>
      <c r="N1186">
        <v>0.03</v>
      </c>
      <c r="O1186" t="s">
        <v>34</v>
      </c>
      <c r="P1186">
        <v>2024</v>
      </c>
      <c r="Q1186" t="s">
        <v>3645</v>
      </c>
      <c r="R1186">
        <v>13.36</v>
      </c>
      <c r="S1186">
        <v>2.2455089820359298E-3</v>
      </c>
      <c r="T1186" t="s">
        <v>3634</v>
      </c>
      <c r="U1186" t="s">
        <v>3633</v>
      </c>
    </row>
    <row r="1187" spans="1:21" x14ac:dyDescent="0.25">
      <c r="A1187" t="s">
        <v>2283</v>
      </c>
      <c r="B1187" s="1">
        <v>45588</v>
      </c>
      <c r="C1187" t="s">
        <v>2284</v>
      </c>
      <c r="D1187" t="s">
        <v>49</v>
      </c>
      <c r="E1187" t="s">
        <v>138</v>
      </c>
      <c r="F1187" t="s">
        <v>54</v>
      </c>
      <c r="G1187" t="s">
        <v>32</v>
      </c>
      <c r="H1187" t="s">
        <v>149</v>
      </c>
      <c r="I1187">
        <v>3</v>
      </c>
      <c r="J1187">
        <v>12.11</v>
      </c>
      <c r="K1187">
        <v>0</v>
      </c>
      <c r="L1187">
        <v>36.33</v>
      </c>
      <c r="M1187">
        <v>14.03</v>
      </c>
      <c r="N1187">
        <v>5.95</v>
      </c>
      <c r="O1187" t="s">
        <v>34</v>
      </c>
      <c r="P1187">
        <v>2024</v>
      </c>
      <c r="Q1187" t="s">
        <v>3645</v>
      </c>
      <c r="R1187">
        <v>36.33</v>
      </c>
      <c r="S1187">
        <v>0.16377649325626201</v>
      </c>
      <c r="T1187" t="s">
        <v>3634</v>
      </c>
      <c r="U1187" t="s">
        <v>3633</v>
      </c>
    </row>
    <row r="1188" spans="1:21" x14ac:dyDescent="0.25">
      <c r="A1188" t="s">
        <v>2285</v>
      </c>
      <c r="B1188" s="1">
        <v>45588</v>
      </c>
      <c r="C1188" t="s">
        <v>2286</v>
      </c>
      <c r="D1188" t="s">
        <v>49</v>
      </c>
      <c r="E1188" t="s">
        <v>129</v>
      </c>
      <c r="F1188" t="s">
        <v>19</v>
      </c>
      <c r="G1188" t="s">
        <v>42</v>
      </c>
      <c r="H1188" t="s">
        <v>294</v>
      </c>
      <c r="I1188">
        <v>5</v>
      </c>
      <c r="J1188">
        <v>94.04</v>
      </c>
      <c r="K1188">
        <v>5</v>
      </c>
      <c r="L1188">
        <v>446.69</v>
      </c>
      <c r="M1188">
        <v>14.2</v>
      </c>
      <c r="N1188">
        <v>150.37</v>
      </c>
      <c r="O1188" t="s">
        <v>39</v>
      </c>
      <c r="P1188">
        <v>2024</v>
      </c>
      <c r="Q1188" t="s">
        <v>3645</v>
      </c>
      <c r="R1188">
        <v>424.35550000000001</v>
      </c>
      <c r="S1188">
        <v>0.35434912473150498</v>
      </c>
      <c r="T1188" t="s">
        <v>3632</v>
      </c>
      <c r="U1188" t="s">
        <v>3633</v>
      </c>
    </row>
    <row r="1189" spans="1:21" x14ac:dyDescent="0.25">
      <c r="A1189" t="s">
        <v>2287</v>
      </c>
      <c r="B1189" s="1">
        <v>45589</v>
      </c>
      <c r="C1189" t="s">
        <v>2288</v>
      </c>
      <c r="D1189" t="s">
        <v>30</v>
      </c>
      <c r="E1189" t="s">
        <v>121</v>
      </c>
      <c r="F1189" t="s">
        <v>68</v>
      </c>
      <c r="G1189" t="s">
        <v>20</v>
      </c>
      <c r="H1189" t="s">
        <v>55</v>
      </c>
      <c r="I1189">
        <v>1</v>
      </c>
      <c r="J1189">
        <v>40.25</v>
      </c>
      <c r="K1189">
        <v>5</v>
      </c>
      <c r="L1189">
        <v>38.24</v>
      </c>
      <c r="M1189">
        <v>12.49</v>
      </c>
      <c r="N1189">
        <v>3.61</v>
      </c>
      <c r="O1189" t="s">
        <v>34</v>
      </c>
      <c r="P1189">
        <v>2024</v>
      </c>
      <c r="Q1189" t="s">
        <v>3645</v>
      </c>
      <c r="R1189">
        <v>36.328000000000003</v>
      </c>
      <c r="S1189">
        <v>9.9372384937238503E-2</v>
      </c>
      <c r="T1189" t="s">
        <v>3634</v>
      </c>
      <c r="U1189" t="s">
        <v>3633</v>
      </c>
    </row>
    <row r="1190" spans="1:21" x14ac:dyDescent="0.25">
      <c r="A1190" t="s">
        <v>2289</v>
      </c>
      <c r="B1190" s="1">
        <v>45589</v>
      </c>
      <c r="C1190" t="s">
        <v>2290</v>
      </c>
      <c r="D1190" t="s">
        <v>17</v>
      </c>
      <c r="E1190" t="s">
        <v>37</v>
      </c>
      <c r="F1190" t="s">
        <v>26</v>
      </c>
      <c r="G1190" t="s">
        <v>20</v>
      </c>
      <c r="H1190" t="s">
        <v>175</v>
      </c>
      <c r="I1190">
        <v>2</v>
      </c>
      <c r="J1190">
        <v>24.54</v>
      </c>
      <c r="K1190">
        <v>15</v>
      </c>
      <c r="L1190">
        <v>41.72</v>
      </c>
      <c r="M1190">
        <v>10.57</v>
      </c>
      <c r="N1190">
        <v>4.16</v>
      </c>
      <c r="O1190" t="s">
        <v>39</v>
      </c>
      <c r="P1190">
        <v>2024</v>
      </c>
      <c r="Q1190" t="s">
        <v>3645</v>
      </c>
      <c r="R1190">
        <v>35.462000000000003</v>
      </c>
      <c r="S1190">
        <v>0.117308668433816</v>
      </c>
      <c r="T1190" t="s">
        <v>3634</v>
      </c>
      <c r="U1190" t="s">
        <v>3633</v>
      </c>
    </row>
    <row r="1191" spans="1:21" x14ac:dyDescent="0.25">
      <c r="A1191" t="s">
        <v>2291</v>
      </c>
      <c r="B1191" s="1">
        <v>45590</v>
      </c>
      <c r="C1191" t="s">
        <v>2292</v>
      </c>
      <c r="D1191" t="s">
        <v>17</v>
      </c>
      <c r="E1191" t="s">
        <v>135</v>
      </c>
      <c r="F1191" t="s">
        <v>26</v>
      </c>
      <c r="G1191" t="s">
        <v>20</v>
      </c>
      <c r="H1191" t="s">
        <v>122</v>
      </c>
      <c r="I1191">
        <v>2</v>
      </c>
      <c r="J1191">
        <v>96.97</v>
      </c>
      <c r="K1191">
        <v>15</v>
      </c>
      <c r="L1191">
        <v>164.85</v>
      </c>
      <c r="M1191">
        <v>8.99</v>
      </c>
      <c r="N1191">
        <v>49.19</v>
      </c>
      <c r="O1191" t="s">
        <v>39</v>
      </c>
      <c r="P1191">
        <v>2024</v>
      </c>
      <c r="Q1191" t="s">
        <v>3645</v>
      </c>
      <c r="R1191">
        <v>140.1225</v>
      </c>
      <c r="S1191">
        <v>0.35104997412977901</v>
      </c>
      <c r="T1191" t="s">
        <v>3632</v>
      </c>
      <c r="U1191" t="s">
        <v>3633</v>
      </c>
    </row>
    <row r="1192" spans="1:21" x14ac:dyDescent="0.25">
      <c r="A1192" t="s">
        <v>2293</v>
      </c>
      <c r="B1192" s="1">
        <v>45590</v>
      </c>
      <c r="C1192" t="s">
        <v>2294</v>
      </c>
      <c r="D1192" t="s">
        <v>49</v>
      </c>
      <c r="E1192" t="s">
        <v>76</v>
      </c>
      <c r="F1192" t="s">
        <v>26</v>
      </c>
      <c r="G1192" t="s">
        <v>32</v>
      </c>
      <c r="H1192" t="s">
        <v>149</v>
      </c>
      <c r="I1192">
        <v>7</v>
      </c>
      <c r="J1192">
        <v>16.12</v>
      </c>
      <c r="K1192">
        <v>15</v>
      </c>
      <c r="L1192">
        <v>95.91</v>
      </c>
      <c r="M1192">
        <v>12.12</v>
      </c>
      <c r="N1192">
        <v>33.01</v>
      </c>
      <c r="O1192" t="s">
        <v>22</v>
      </c>
      <c r="P1192">
        <v>2024</v>
      </c>
      <c r="Q1192" t="s">
        <v>3645</v>
      </c>
      <c r="R1192">
        <v>81.523499999999999</v>
      </c>
      <c r="S1192">
        <v>0.40491392052598302</v>
      </c>
      <c r="T1192" t="s">
        <v>3634</v>
      </c>
      <c r="U1192" t="s">
        <v>3633</v>
      </c>
    </row>
    <row r="1193" spans="1:21" x14ac:dyDescent="0.25">
      <c r="A1193" t="s">
        <v>2295</v>
      </c>
      <c r="B1193" s="1">
        <v>45591</v>
      </c>
      <c r="C1193" t="s">
        <v>1626</v>
      </c>
      <c r="D1193" t="s">
        <v>49</v>
      </c>
      <c r="E1193" t="s">
        <v>92</v>
      </c>
      <c r="F1193" t="s">
        <v>60</v>
      </c>
      <c r="G1193" t="s">
        <v>20</v>
      </c>
      <c r="H1193" t="s">
        <v>175</v>
      </c>
      <c r="I1193">
        <v>2</v>
      </c>
      <c r="J1193">
        <v>36.840000000000003</v>
      </c>
      <c r="K1193">
        <v>20</v>
      </c>
      <c r="L1193">
        <v>58.94</v>
      </c>
      <c r="M1193">
        <v>10.85</v>
      </c>
      <c r="N1193">
        <v>7.57</v>
      </c>
      <c r="O1193" t="s">
        <v>34</v>
      </c>
      <c r="P1193">
        <v>2024</v>
      </c>
      <c r="Q1193" t="s">
        <v>3645</v>
      </c>
      <c r="R1193">
        <v>47.152000000000001</v>
      </c>
      <c r="S1193">
        <v>0.16054462164913499</v>
      </c>
      <c r="T1193" t="s">
        <v>3634</v>
      </c>
      <c r="U1193" t="s">
        <v>3633</v>
      </c>
    </row>
    <row r="1194" spans="1:21" x14ac:dyDescent="0.25">
      <c r="A1194" t="s">
        <v>2296</v>
      </c>
      <c r="B1194" s="1">
        <v>45591</v>
      </c>
      <c r="C1194" t="s">
        <v>2297</v>
      </c>
      <c r="D1194" t="s">
        <v>30</v>
      </c>
      <c r="E1194" t="s">
        <v>138</v>
      </c>
      <c r="F1194" t="s">
        <v>54</v>
      </c>
      <c r="G1194" t="s">
        <v>69</v>
      </c>
      <c r="H1194" t="s">
        <v>86</v>
      </c>
      <c r="I1194">
        <v>1</v>
      </c>
      <c r="J1194">
        <v>130.63</v>
      </c>
      <c r="K1194">
        <v>20</v>
      </c>
      <c r="L1194">
        <v>104.5</v>
      </c>
      <c r="M1194">
        <v>11.85</v>
      </c>
      <c r="N1194">
        <v>27.34</v>
      </c>
      <c r="O1194" t="s">
        <v>22</v>
      </c>
      <c r="P1194">
        <v>2024</v>
      </c>
      <c r="Q1194" t="s">
        <v>3645</v>
      </c>
      <c r="R1194">
        <v>83.6</v>
      </c>
      <c r="S1194">
        <v>0.32703349282296601</v>
      </c>
      <c r="T1194" t="s">
        <v>3632</v>
      </c>
      <c r="U1194" t="s">
        <v>3633</v>
      </c>
    </row>
    <row r="1195" spans="1:21" x14ac:dyDescent="0.25">
      <c r="A1195" t="s">
        <v>2298</v>
      </c>
      <c r="B1195" s="1">
        <v>45591</v>
      </c>
      <c r="C1195" t="s">
        <v>1133</v>
      </c>
      <c r="D1195" t="s">
        <v>17</v>
      </c>
      <c r="E1195" t="s">
        <v>37</v>
      </c>
      <c r="F1195" t="s">
        <v>26</v>
      </c>
      <c r="G1195" t="s">
        <v>69</v>
      </c>
      <c r="H1195" t="s">
        <v>305</v>
      </c>
      <c r="I1195">
        <v>7</v>
      </c>
      <c r="J1195">
        <v>46.74</v>
      </c>
      <c r="K1195">
        <v>10</v>
      </c>
      <c r="L1195">
        <v>294.45999999999998</v>
      </c>
      <c r="M1195">
        <v>12.49</v>
      </c>
      <c r="N1195">
        <v>118.38</v>
      </c>
      <c r="O1195" t="s">
        <v>56</v>
      </c>
      <c r="P1195">
        <v>2024</v>
      </c>
      <c r="Q1195" t="s">
        <v>3645</v>
      </c>
      <c r="R1195">
        <v>265.01400000000001</v>
      </c>
      <c r="S1195">
        <v>0.44669338223640997</v>
      </c>
      <c r="T1195" t="s">
        <v>3632</v>
      </c>
      <c r="U1195" t="s">
        <v>3633</v>
      </c>
    </row>
    <row r="1196" spans="1:21" x14ac:dyDescent="0.25">
      <c r="A1196" t="s">
        <v>2299</v>
      </c>
      <c r="B1196" s="1">
        <v>45591</v>
      </c>
      <c r="C1196" t="s">
        <v>1733</v>
      </c>
      <c r="D1196" t="s">
        <v>30</v>
      </c>
      <c r="E1196" t="s">
        <v>18</v>
      </c>
      <c r="F1196" t="s">
        <v>19</v>
      </c>
      <c r="G1196" t="s">
        <v>20</v>
      </c>
      <c r="H1196" t="s">
        <v>55</v>
      </c>
      <c r="I1196">
        <v>2</v>
      </c>
      <c r="J1196">
        <v>38.76</v>
      </c>
      <c r="K1196">
        <v>5</v>
      </c>
      <c r="L1196">
        <v>73.64</v>
      </c>
      <c r="M1196">
        <v>6.68</v>
      </c>
      <c r="N1196">
        <v>24.32</v>
      </c>
      <c r="O1196" t="s">
        <v>34</v>
      </c>
      <c r="P1196">
        <v>2024</v>
      </c>
      <c r="Q1196" t="s">
        <v>3645</v>
      </c>
      <c r="R1196">
        <v>69.957999999999998</v>
      </c>
      <c r="S1196">
        <v>0.347637153720804</v>
      </c>
      <c r="T1196" t="s">
        <v>3634</v>
      </c>
      <c r="U1196" t="s">
        <v>3633</v>
      </c>
    </row>
    <row r="1197" spans="1:21" x14ac:dyDescent="0.25">
      <c r="A1197" t="s">
        <v>2300</v>
      </c>
      <c r="B1197" s="1">
        <v>45592</v>
      </c>
      <c r="C1197" t="s">
        <v>2301</v>
      </c>
      <c r="D1197" t="s">
        <v>30</v>
      </c>
      <c r="E1197" t="s">
        <v>148</v>
      </c>
      <c r="F1197" t="s">
        <v>60</v>
      </c>
      <c r="G1197" t="s">
        <v>42</v>
      </c>
      <c r="H1197" t="s">
        <v>64</v>
      </c>
      <c r="I1197">
        <v>3</v>
      </c>
      <c r="J1197">
        <v>87.75</v>
      </c>
      <c r="K1197">
        <v>10</v>
      </c>
      <c r="L1197">
        <v>236.93</v>
      </c>
      <c r="M1197">
        <v>11.1</v>
      </c>
      <c r="N1197">
        <v>67.88</v>
      </c>
      <c r="O1197" t="s">
        <v>56</v>
      </c>
      <c r="P1197">
        <v>2024</v>
      </c>
      <c r="Q1197" t="s">
        <v>3645</v>
      </c>
      <c r="R1197">
        <v>213.23699999999999</v>
      </c>
      <c r="S1197">
        <v>0.31833124645347699</v>
      </c>
      <c r="T1197" t="s">
        <v>3632</v>
      </c>
      <c r="U1197" t="s">
        <v>3633</v>
      </c>
    </row>
    <row r="1198" spans="1:21" x14ac:dyDescent="0.25">
      <c r="A1198" t="s">
        <v>2302</v>
      </c>
      <c r="B1198" s="1">
        <v>45592</v>
      </c>
      <c r="C1198" t="s">
        <v>2303</v>
      </c>
      <c r="D1198" t="s">
        <v>17</v>
      </c>
      <c r="E1198" t="s">
        <v>59</v>
      </c>
      <c r="F1198" t="s">
        <v>60</v>
      </c>
      <c r="G1198" t="s">
        <v>32</v>
      </c>
      <c r="H1198" t="s">
        <v>33</v>
      </c>
      <c r="I1198">
        <v>8</v>
      </c>
      <c r="J1198">
        <v>10.52</v>
      </c>
      <c r="K1198">
        <v>20</v>
      </c>
      <c r="L1198">
        <v>67.33</v>
      </c>
      <c r="M1198">
        <v>19.22</v>
      </c>
      <c r="N1198">
        <v>10.24</v>
      </c>
      <c r="O1198" t="s">
        <v>34</v>
      </c>
      <c r="P1198">
        <v>2024</v>
      </c>
      <c r="Q1198" t="s">
        <v>3645</v>
      </c>
      <c r="R1198">
        <v>53.863999999999997</v>
      </c>
      <c r="S1198">
        <v>0.19010842120897101</v>
      </c>
      <c r="T1198" t="s">
        <v>3634</v>
      </c>
      <c r="U1198" t="s">
        <v>3633</v>
      </c>
    </row>
    <row r="1199" spans="1:21" x14ac:dyDescent="0.25">
      <c r="A1199" t="s">
        <v>2304</v>
      </c>
      <c r="B1199" s="1">
        <v>45592</v>
      </c>
      <c r="C1199" t="s">
        <v>1807</v>
      </c>
      <c r="D1199" t="s">
        <v>17</v>
      </c>
      <c r="E1199" t="s">
        <v>76</v>
      </c>
      <c r="F1199" t="s">
        <v>26</v>
      </c>
      <c r="G1199" t="s">
        <v>32</v>
      </c>
      <c r="H1199" t="s">
        <v>115</v>
      </c>
      <c r="I1199">
        <v>3</v>
      </c>
      <c r="J1199">
        <v>13.97</v>
      </c>
      <c r="K1199">
        <v>0</v>
      </c>
      <c r="L1199">
        <v>41.91</v>
      </c>
      <c r="M1199">
        <v>10.72</v>
      </c>
      <c r="N1199">
        <v>12.33</v>
      </c>
      <c r="O1199" t="s">
        <v>56</v>
      </c>
      <c r="P1199">
        <v>2024</v>
      </c>
      <c r="Q1199" t="s">
        <v>3645</v>
      </c>
      <c r="R1199">
        <v>41.91</v>
      </c>
      <c r="S1199">
        <v>0.294201861130995</v>
      </c>
      <c r="T1199" t="s">
        <v>3634</v>
      </c>
      <c r="U1199" t="s">
        <v>3633</v>
      </c>
    </row>
    <row r="1200" spans="1:21" x14ac:dyDescent="0.25">
      <c r="A1200" t="s">
        <v>2305</v>
      </c>
      <c r="B1200" s="1">
        <v>45592</v>
      </c>
      <c r="C1200" t="s">
        <v>2306</v>
      </c>
      <c r="D1200" t="s">
        <v>30</v>
      </c>
      <c r="E1200" t="s">
        <v>59</v>
      </c>
      <c r="F1200" t="s">
        <v>60</v>
      </c>
      <c r="G1200" t="s">
        <v>20</v>
      </c>
      <c r="H1200" t="s">
        <v>38</v>
      </c>
      <c r="I1200">
        <v>5</v>
      </c>
      <c r="J1200">
        <v>51.41</v>
      </c>
      <c r="K1200">
        <v>5</v>
      </c>
      <c r="L1200">
        <v>244.2</v>
      </c>
      <c r="M1200">
        <v>16.43</v>
      </c>
      <c r="N1200">
        <v>86.39</v>
      </c>
      <c r="O1200" t="s">
        <v>39</v>
      </c>
      <c r="P1200">
        <v>2024</v>
      </c>
      <c r="Q1200" t="s">
        <v>3645</v>
      </c>
      <c r="R1200">
        <v>231.99</v>
      </c>
      <c r="S1200">
        <v>0.37238674080779299</v>
      </c>
      <c r="T1200" t="s">
        <v>3632</v>
      </c>
      <c r="U1200" t="s">
        <v>3633</v>
      </c>
    </row>
    <row r="1201" spans="1:21" x14ac:dyDescent="0.25">
      <c r="A1201" t="s">
        <v>2307</v>
      </c>
      <c r="B1201" s="1">
        <v>45592</v>
      </c>
      <c r="C1201" t="s">
        <v>447</v>
      </c>
      <c r="D1201" t="s">
        <v>30</v>
      </c>
      <c r="E1201" t="s">
        <v>25</v>
      </c>
      <c r="F1201" t="s">
        <v>26</v>
      </c>
      <c r="G1201" t="s">
        <v>20</v>
      </c>
      <c r="H1201" t="s">
        <v>175</v>
      </c>
      <c r="I1201">
        <v>4</v>
      </c>
      <c r="J1201">
        <v>23.76</v>
      </c>
      <c r="K1201">
        <v>0</v>
      </c>
      <c r="L1201">
        <v>95.04</v>
      </c>
      <c r="M1201">
        <v>14.61</v>
      </c>
      <c r="N1201">
        <v>28.16</v>
      </c>
      <c r="O1201" t="s">
        <v>22</v>
      </c>
      <c r="P1201">
        <v>2024</v>
      </c>
      <c r="Q1201" t="s">
        <v>3645</v>
      </c>
      <c r="R1201">
        <v>95.04</v>
      </c>
      <c r="S1201">
        <v>0.296296296296296</v>
      </c>
      <c r="T1201" t="s">
        <v>3634</v>
      </c>
      <c r="U1201" t="s">
        <v>3633</v>
      </c>
    </row>
    <row r="1202" spans="1:21" x14ac:dyDescent="0.25">
      <c r="A1202" t="s">
        <v>2308</v>
      </c>
      <c r="B1202" s="1">
        <v>45593</v>
      </c>
      <c r="C1202" t="s">
        <v>2309</v>
      </c>
      <c r="D1202" t="s">
        <v>30</v>
      </c>
      <c r="E1202" t="s">
        <v>92</v>
      </c>
      <c r="F1202" t="s">
        <v>60</v>
      </c>
      <c r="G1202" t="s">
        <v>69</v>
      </c>
      <c r="H1202" t="s">
        <v>160</v>
      </c>
      <c r="I1202">
        <v>1</v>
      </c>
      <c r="J1202">
        <v>47.84</v>
      </c>
      <c r="K1202">
        <v>5</v>
      </c>
      <c r="L1202">
        <v>45.45</v>
      </c>
      <c r="M1202">
        <v>11.34</v>
      </c>
      <c r="N1202">
        <v>10.19</v>
      </c>
      <c r="O1202" t="s">
        <v>39</v>
      </c>
      <c r="P1202">
        <v>2024</v>
      </c>
      <c r="Q1202" t="s">
        <v>3645</v>
      </c>
      <c r="R1202">
        <v>43.177500000000002</v>
      </c>
      <c r="S1202">
        <v>0.23600254762318301</v>
      </c>
      <c r="T1202" t="s">
        <v>3634</v>
      </c>
      <c r="U1202" t="s">
        <v>3633</v>
      </c>
    </row>
    <row r="1203" spans="1:21" x14ac:dyDescent="0.25">
      <c r="A1203" t="s">
        <v>2310</v>
      </c>
      <c r="B1203" s="1">
        <v>45594</v>
      </c>
      <c r="C1203" t="s">
        <v>1935</v>
      </c>
      <c r="D1203" t="s">
        <v>17</v>
      </c>
      <c r="E1203" t="s">
        <v>169</v>
      </c>
      <c r="F1203" t="s">
        <v>68</v>
      </c>
      <c r="G1203" t="s">
        <v>20</v>
      </c>
      <c r="H1203" t="s">
        <v>170</v>
      </c>
      <c r="I1203">
        <v>3</v>
      </c>
      <c r="J1203">
        <v>45.95</v>
      </c>
      <c r="K1203">
        <v>15</v>
      </c>
      <c r="L1203">
        <v>117.17</v>
      </c>
      <c r="M1203">
        <v>15.95</v>
      </c>
      <c r="N1203">
        <v>25.4</v>
      </c>
      <c r="O1203" t="s">
        <v>22</v>
      </c>
      <c r="P1203">
        <v>2024</v>
      </c>
      <c r="Q1203" t="s">
        <v>3645</v>
      </c>
      <c r="R1203">
        <v>99.594499999999996</v>
      </c>
      <c r="S1203">
        <v>0.25503416353312702</v>
      </c>
      <c r="T1203" t="s">
        <v>3632</v>
      </c>
      <c r="U1203" t="s">
        <v>3633</v>
      </c>
    </row>
    <row r="1204" spans="1:21" x14ac:dyDescent="0.25">
      <c r="A1204" t="s">
        <v>2311</v>
      </c>
      <c r="B1204" s="1">
        <v>45594</v>
      </c>
      <c r="C1204" t="s">
        <v>2312</v>
      </c>
      <c r="D1204" t="s">
        <v>30</v>
      </c>
      <c r="E1204" t="s">
        <v>37</v>
      </c>
      <c r="F1204" t="s">
        <v>26</v>
      </c>
      <c r="G1204" t="s">
        <v>69</v>
      </c>
      <c r="H1204" t="s">
        <v>196</v>
      </c>
      <c r="I1204">
        <v>7</v>
      </c>
      <c r="J1204">
        <v>16.16</v>
      </c>
      <c r="K1204">
        <v>0</v>
      </c>
      <c r="L1204">
        <v>113.12</v>
      </c>
      <c r="M1204">
        <v>13.07</v>
      </c>
      <c r="N1204">
        <v>43.49</v>
      </c>
      <c r="O1204" t="s">
        <v>56</v>
      </c>
      <c r="P1204">
        <v>2024</v>
      </c>
      <c r="Q1204" t="s">
        <v>3645</v>
      </c>
      <c r="R1204">
        <v>113.12</v>
      </c>
      <c r="S1204">
        <v>0.38445898161244701</v>
      </c>
      <c r="T1204" t="s">
        <v>3632</v>
      </c>
      <c r="U1204" t="s">
        <v>3633</v>
      </c>
    </row>
    <row r="1205" spans="1:21" x14ac:dyDescent="0.25">
      <c r="A1205" t="s">
        <v>2313</v>
      </c>
      <c r="B1205" s="1">
        <v>45595</v>
      </c>
      <c r="C1205" t="s">
        <v>2314</v>
      </c>
      <c r="D1205" t="s">
        <v>30</v>
      </c>
      <c r="E1205" t="s">
        <v>59</v>
      </c>
      <c r="F1205" t="s">
        <v>60</v>
      </c>
      <c r="G1205" t="s">
        <v>69</v>
      </c>
      <c r="H1205" t="s">
        <v>139</v>
      </c>
      <c r="I1205">
        <v>2</v>
      </c>
      <c r="J1205">
        <v>39.32</v>
      </c>
      <c r="K1205">
        <v>5</v>
      </c>
      <c r="L1205">
        <v>74.709999999999994</v>
      </c>
      <c r="M1205">
        <v>13.59</v>
      </c>
      <c r="N1205">
        <v>21.8</v>
      </c>
      <c r="O1205" t="s">
        <v>34</v>
      </c>
      <c r="P1205">
        <v>2024</v>
      </c>
      <c r="Q1205" t="s">
        <v>3645</v>
      </c>
      <c r="R1205">
        <v>70.974500000000006</v>
      </c>
      <c r="S1205">
        <v>0.30715256888037201</v>
      </c>
      <c r="T1205" t="s">
        <v>3634</v>
      </c>
      <c r="U1205" t="s">
        <v>3633</v>
      </c>
    </row>
    <row r="1206" spans="1:21" x14ac:dyDescent="0.25">
      <c r="A1206" t="s">
        <v>2315</v>
      </c>
      <c r="B1206" s="1">
        <v>45595</v>
      </c>
      <c r="C1206" t="s">
        <v>2316</v>
      </c>
      <c r="D1206" t="s">
        <v>30</v>
      </c>
      <c r="E1206" t="s">
        <v>18</v>
      </c>
      <c r="F1206" t="s">
        <v>19</v>
      </c>
      <c r="G1206" t="s">
        <v>42</v>
      </c>
      <c r="H1206" t="s">
        <v>371</v>
      </c>
      <c r="I1206">
        <v>3</v>
      </c>
      <c r="J1206">
        <v>210.89</v>
      </c>
      <c r="K1206">
        <v>5</v>
      </c>
      <c r="L1206">
        <v>601.04</v>
      </c>
      <c r="M1206">
        <v>11.78</v>
      </c>
      <c r="N1206">
        <v>209.66</v>
      </c>
      <c r="O1206" t="s">
        <v>22</v>
      </c>
      <c r="P1206">
        <v>2024</v>
      </c>
      <c r="Q1206" t="s">
        <v>3645</v>
      </c>
      <c r="R1206">
        <v>570.98800000000006</v>
      </c>
      <c r="S1206">
        <v>0.36718810202666202</v>
      </c>
      <c r="T1206" t="s">
        <v>3635</v>
      </c>
      <c r="U1206" t="s">
        <v>3633</v>
      </c>
    </row>
    <row r="1207" spans="1:21" x14ac:dyDescent="0.25">
      <c r="A1207" t="s">
        <v>2317</v>
      </c>
      <c r="B1207" s="1">
        <v>45595</v>
      </c>
      <c r="C1207" t="s">
        <v>2318</v>
      </c>
      <c r="D1207" t="s">
        <v>17</v>
      </c>
      <c r="E1207" t="s">
        <v>169</v>
      </c>
      <c r="F1207" t="s">
        <v>68</v>
      </c>
      <c r="G1207" t="s">
        <v>32</v>
      </c>
      <c r="H1207" t="s">
        <v>33</v>
      </c>
      <c r="I1207">
        <v>9</v>
      </c>
      <c r="J1207">
        <v>11.89</v>
      </c>
      <c r="K1207">
        <v>10</v>
      </c>
      <c r="L1207">
        <v>96.31</v>
      </c>
      <c r="M1207">
        <v>25.6</v>
      </c>
      <c r="N1207">
        <v>22.56</v>
      </c>
      <c r="O1207" t="s">
        <v>39</v>
      </c>
      <c r="P1207">
        <v>2024</v>
      </c>
      <c r="Q1207" t="s">
        <v>3645</v>
      </c>
      <c r="R1207">
        <v>86.679000000000002</v>
      </c>
      <c r="S1207">
        <v>0.26027065379157599</v>
      </c>
      <c r="T1207" t="s">
        <v>3634</v>
      </c>
      <c r="U1207" t="s">
        <v>3633</v>
      </c>
    </row>
    <row r="1208" spans="1:21" x14ac:dyDescent="0.25">
      <c r="A1208" t="s">
        <v>2319</v>
      </c>
      <c r="B1208" s="1">
        <v>45596</v>
      </c>
      <c r="C1208" t="s">
        <v>2320</v>
      </c>
      <c r="D1208" t="s">
        <v>17</v>
      </c>
      <c r="E1208" t="s">
        <v>18</v>
      </c>
      <c r="F1208" t="s">
        <v>19</v>
      </c>
      <c r="G1208" t="s">
        <v>42</v>
      </c>
      <c r="H1208" t="s">
        <v>43</v>
      </c>
      <c r="I1208">
        <v>2</v>
      </c>
      <c r="J1208">
        <v>177.54</v>
      </c>
      <c r="K1208">
        <v>25</v>
      </c>
      <c r="L1208">
        <v>266.31</v>
      </c>
      <c r="M1208">
        <v>6.95</v>
      </c>
      <c r="N1208">
        <v>46.31</v>
      </c>
      <c r="O1208" t="s">
        <v>34</v>
      </c>
      <c r="P1208">
        <v>2024</v>
      </c>
      <c r="Q1208" t="s">
        <v>3645</v>
      </c>
      <c r="R1208">
        <v>199.73249999999999</v>
      </c>
      <c r="S1208">
        <v>0.231860112901005</v>
      </c>
      <c r="T1208" t="s">
        <v>3632</v>
      </c>
      <c r="U1208" t="s">
        <v>3633</v>
      </c>
    </row>
    <row r="1209" spans="1:21" x14ac:dyDescent="0.25">
      <c r="A1209" t="s">
        <v>2321</v>
      </c>
      <c r="B1209" s="1">
        <v>45596</v>
      </c>
      <c r="C1209" t="s">
        <v>2322</v>
      </c>
      <c r="D1209" t="s">
        <v>30</v>
      </c>
      <c r="E1209" t="s">
        <v>135</v>
      </c>
      <c r="F1209" t="s">
        <v>26</v>
      </c>
      <c r="G1209" t="s">
        <v>69</v>
      </c>
      <c r="H1209" t="s">
        <v>305</v>
      </c>
      <c r="I1209">
        <v>12</v>
      </c>
      <c r="J1209">
        <v>42.25</v>
      </c>
      <c r="K1209">
        <v>0</v>
      </c>
      <c r="L1209">
        <v>507</v>
      </c>
      <c r="M1209">
        <v>23.04</v>
      </c>
      <c r="N1209">
        <v>230.46</v>
      </c>
      <c r="O1209" t="s">
        <v>56</v>
      </c>
      <c r="P1209">
        <v>2024</v>
      </c>
      <c r="Q1209" t="s">
        <v>3645</v>
      </c>
      <c r="R1209">
        <v>507</v>
      </c>
      <c r="S1209">
        <v>0.45455621301775201</v>
      </c>
      <c r="T1209" t="s">
        <v>3635</v>
      </c>
      <c r="U1209" t="s">
        <v>3633</v>
      </c>
    </row>
    <row r="1210" spans="1:21" x14ac:dyDescent="0.25">
      <c r="A1210" t="s">
        <v>2323</v>
      </c>
      <c r="B1210" s="1">
        <v>45596</v>
      </c>
      <c r="C1210" t="s">
        <v>2324</v>
      </c>
      <c r="D1210" t="s">
        <v>30</v>
      </c>
      <c r="E1210" t="s">
        <v>25</v>
      </c>
      <c r="F1210" t="s">
        <v>26</v>
      </c>
      <c r="G1210" t="s">
        <v>32</v>
      </c>
      <c r="H1210" t="s">
        <v>110</v>
      </c>
      <c r="I1210">
        <v>2</v>
      </c>
      <c r="J1210">
        <v>10.34</v>
      </c>
      <c r="K1210">
        <v>10</v>
      </c>
      <c r="L1210">
        <v>18.61</v>
      </c>
      <c r="M1210">
        <v>11.42</v>
      </c>
      <c r="N1210">
        <v>-2.12</v>
      </c>
      <c r="O1210" t="s">
        <v>22</v>
      </c>
      <c r="P1210">
        <v>2024</v>
      </c>
      <c r="Q1210" t="s">
        <v>3645</v>
      </c>
      <c r="R1210">
        <v>16.748999999999999</v>
      </c>
      <c r="S1210">
        <v>-0.12657472087885799</v>
      </c>
      <c r="T1210" t="s">
        <v>3634</v>
      </c>
      <c r="U1210" t="s">
        <v>3636</v>
      </c>
    </row>
    <row r="1211" spans="1:21" x14ac:dyDescent="0.25">
      <c r="A1211" t="s">
        <v>2325</v>
      </c>
      <c r="B1211" s="1">
        <v>45596</v>
      </c>
      <c r="C1211" t="s">
        <v>2326</v>
      </c>
      <c r="D1211" t="s">
        <v>49</v>
      </c>
      <c r="E1211" t="s">
        <v>92</v>
      </c>
      <c r="F1211" t="s">
        <v>60</v>
      </c>
      <c r="G1211" t="s">
        <v>42</v>
      </c>
      <c r="H1211" t="s">
        <v>118</v>
      </c>
      <c r="I1211">
        <v>2</v>
      </c>
      <c r="J1211">
        <v>54.34</v>
      </c>
      <c r="K1211">
        <v>10</v>
      </c>
      <c r="L1211">
        <v>97.81</v>
      </c>
      <c r="M1211">
        <v>11.65</v>
      </c>
      <c r="N1211">
        <v>20.95</v>
      </c>
      <c r="O1211" t="s">
        <v>34</v>
      </c>
      <c r="P1211">
        <v>2024</v>
      </c>
      <c r="Q1211" t="s">
        <v>3645</v>
      </c>
      <c r="R1211">
        <v>88.028999999999996</v>
      </c>
      <c r="S1211">
        <v>0.23798975337672801</v>
      </c>
      <c r="T1211" t="s">
        <v>3634</v>
      </c>
      <c r="U1211" t="s">
        <v>3633</v>
      </c>
    </row>
    <row r="1212" spans="1:21" x14ac:dyDescent="0.25">
      <c r="A1212" t="s">
        <v>2327</v>
      </c>
      <c r="B1212" s="1">
        <v>45596</v>
      </c>
      <c r="C1212" t="s">
        <v>368</v>
      </c>
      <c r="D1212" t="s">
        <v>17</v>
      </c>
      <c r="E1212" t="s">
        <v>109</v>
      </c>
      <c r="F1212" t="s">
        <v>54</v>
      </c>
      <c r="G1212" t="s">
        <v>69</v>
      </c>
      <c r="H1212" t="s">
        <v>163</v>
      </c>
      <c r="I1212">
        <v>12</v>
      </c>
      <c r="J1212">
        <v>61.78</v>
      </c>
      <c r="K1212">
        <v>5</v>
      </c>
      <c r="L1212">
        <v>704.29</v>
      </c>
      <c r="M1212">
        <v>20.350000000000001</v>
      </c>
      <c r="N1212">
        <v>313.26</v>
      </c>
      <c r="O1212" t="s">
        <v>39</v>
      </c>
      <c r="P1212">
        <v>2024</v>
      </c>
      <c r="Q1212" t="s">
        <v>3645</v>
      </c>
      <c r="R1212">
        <v>669.07550000000003</v>
      </c>
      <c r="S1212">
        <v>0.46819828255555601</v>
      </c>
      <c r="T1212" t="s">
        <v>3635</v>
      </c>
      <c r="U1212" t="s">
        <v>3633</v>
      </c>
    </row>
    <row r="1213" spans="1:21" x14ac:dyDescent="0.25">
      <c r="A1213" t="s">
        <v>2328</v>
      </c>
      <c r="B1213" s="1">
        <v>45596</v>
      </c>
      <c r="C1213" t="s">
        <v>2329</v>
      </c>
      <c r="D1213" t="s">
        <v>49</v>
      </c>
      <c r="E1213" t="s">
        <v>138</v>
      </c>
      <c r="F1213" t="s">
        <v>54</v>
      </c>
      <c r="G1213" t="s">
        <v>32</v>
      </c>
      <c r="H1213" t="s">
        <v>115</v>
      </c>
      <c r="I1213">
        <v>2</v>
      </c>
      <c r="J1213">
        <v>17.350000000000001</v>
      </c>
      <c r="K1213">
        <v>0</v>
      </c>
      <c r="L1213">
        <v>34.700000000000003</v>
      </c>
      <c r="M1213">
        <v>14.15</v>
      </c>
      <c r="N1213">
        <v>4.9400000000000004</v>
      </c>
      <c r="O1213" t="s">
        <v>39</v>
      </c>
      <c r="P1213">
        <v>2024</v>
      </c>
      <c r="Q1213" t="s">
        <v>3645</v>
      </c>
      <c r="R1213">
        <v>34.700000000000003</v>
      </c>
      <c r="S1213">
        <v>0.142363112391931</v>
      </c>
      <c r="T1213" t="s">
        <v>3634</v>
      </c>
      <c r="U1213" t="s">
        <v>3633</v>
      </c>
    </row>
    <row r="1214" spans="1:21" x14ac:dyDescent="0.25">
      <c r="A1214" t="s">
        <v>2330</v>
      </c>
      <c r="B1214" s="1">
        <v>45597</v>
      </c>
      <c r="C1214" t="s">
        <v>2331</v>
      </c>
      <c r="D1214" t="s">
        <v>30</v>
      </c>
      <c r="E1214" t="s">
        <v>76</v>
      </c>
      <c r="F1214" t="s">
        <v>26</v>
      </c>
      <c r="G1214" t="s">
        <v>32</v>
      </c>
      <c r="H1214" t="s">
        <v>348</v>
      </c>
      <c r="I1214">
        <v>2</v>
      </c>
      <c r="J1214">
        <v>8.2899999999999991</v>
      </c>
      <c r="K1214">
        <v>0</v>
      </c>
      <c r="L1214">
        <v>16.579999999999998</v>
      </c>
      <c r="M1214">
        <v>8.77</v>
      </c>
      <c r="N1214">
        <v>0.35</v>
      </c>
      <c r="O1214" t="s">
        <v>39</v>
      </c>
      <c r="P1214">
        <v>2024</v>
      </c>
      <c r="Q1214" t="s">
        <v>3646</v>
      </c>
      <c r="R1214">
        <v>16.579999999999998</v>
      </c>
      <c r="S1214">
        <v>2.1109770808202699E-2</v>
      </c>
      <c r="T1214" t="s">
        <v>3634</v>
      </c>
      <c r="U1214" t="s">
        <v>3633</v>
      </c>
    </row>
    <row r="1215" spans="1:21" x14ac:dyDescent="0.25">
      <c r="A1215" t="s">
        <v>2332</v>
      </c>
      <c r="B1215" s="1">
        <v>45598</v>
      </c>
      <c r="C1215" t="s">
        <v>1084</v>
      </c>
      <c r="D1215" t="s">
        <v>30</v>
      </c>
      <c r="E1215" t="s">
        <v>166</v>
      </c>
      <c r="F1215" t="s">
        <v>60</v>
      </c>
      <c r="G1215" t="s">
        <v>42</v>
      </c>
      <c r="H1215" t="s">
        <v>118</v>
      </c>
      <c r="I1215">
        <v>5</v>
      </c>
      <c r="J1215">
        <v>83.62</v>
      </c>
      <c r="K1215">
        <v>5</v>
      </c>
      <c r="L1215">
        <v>397.19</v>
      </c>
      <c r="M1215">
        <v>12.72</v>
      </c>
      <c r="N1215">
        <v>133.61000000000001</v>
      </c>
      <c r="O1215" t="s">
        <v>39</v>
      </c>
      <c r="P1215">
        <v>2024</v>
      </c>
      <c r="Q1215" t="s">
        <v>3646</v>
      </c>
      <c r="R1215">
        <v>377.33049999999997</v>
      </c>
      <c r="S1215">
        <v>0.35409276483083102</v>
      </c>
      <c r="T1215" t="s">
        <v>3632</v>
      </c>
      <c r="U1215" t="s">
        <v>3633</v>
      </c>
    </row>
    <row r="1216" spans="1:21" x14ac:dyDescent="0.25">
      <c r="A1216" t="s">
        <v>2333</v>
      </c>
      <c r="B1216" s="1">
        <v>45598</v>
      </c>
      <c r="C1216" t="s">
        <v>2320</v>
      </c>
      <c r="D1216" t="s">
        <v>30</v>
      </c>
      <c r="E1216" t="s">
        <v>248</v>
      </c>
      <c r="F1216" t="s">
        <v>26</v>
      </c>
      <c r="G1216" t="s">
        <v>20</v>
      </c>
      <c r="H1216" t="s">
        <v>27</v>
      </c>
      <c r="I1216">
        <v>2</v>
      </c>
      <c r="J1216">
        <v>144.76</v>
      </c>
      <c r="K1216">
        <v>15</v>
      </c>
      <c r="L1216">
        <v>246.09</v>
      </c>
      <c r="M1216">
        <v>11.27</v>
      </c>
      <c r="N1216">
        <v>75.58</v>
      </c>
      <c r="O1216" t="s">
        <v>39</v>
      </c>
      <c r="P1216">
        <v>2024</v>
      </c>
      <c r="Q1216" t="s">
        <v>3646</v>
      </c>
      <c r="R1216">
        <v>209.1765</v>
      </c>
      <c r="S1216">
        <v>0.36132165898176899</v>
      </c>
      <c r="T1216" t="s">
        <v>3632</v>
      </c>
      <c r="U1216" t="s">
        <v>3633</v>
      </c>
    </row>
    <row r="1217" spans="1:21" x14ac:dyDescent="0.25">
      <c r="A1217" t="s">
        <v>2334</v>
      </c>
      <c r="B1217" s="1">
        <v>45601</v>
      </c>
      <c r="C1217" t="s">
        <v>2335</v>
      </c>
      <c r="D1217" t="s">
        <v>30</v>
      </c>
      <c r="E1217" t="s">
        <v>129</v>
      </c>
      <c r="F1217" t="s">
        <v>19</v>
      </c>
      <c r="G1217" t="s">
        <v>42</v>
      </c>
      <c r="H1217" t="s">
        <v>46</v>
      </c>
      <c r="I1217">
        <v>1</v>
      </c>
      <c r="J1217">
        <v>88.95</v>
      </c>
      <c r="K1217">
        <v>5</v>
      </c>
      <c r="L1217">
        <v>84.5</v>
      </c>
      <c r="M1217">
        <v>7.1</v>
      </c>
      <c r="N1217">
        <v>24.03</v>
      </c>
      <c r="O1217" t="s">
        <v>22</v>
      </c>
      <c r="P1217">
        <v>2024</v>
      </c>
      <c r="Q1217" t="s">
        <v>3646</v>
      </c>
      <c r="R1217">
        <v>80.275000000000006</v>
      </c>
      <c r="S1217">
        <v>0.29934599813142299</v>
      </c>
      <c r="T1217" t="s">
        <v>3634</v>
      </c>
      <c r="U1217" t="s">
        <v>3633</v>
      </c>
    </row>
    <row r="1218" spans="1:21" x14ac:dyDescent="0.25">
      <c r="A1218" t="s">
        <v>2336</v>
      </c>
      <c r="B1218" s="1">
        <v>45601</v>
      </c>
      <c r="C1218" t="s">
        <v>2337</v>
      </c>
      <c r="D1218" t="s">
        <v>30</v>
      </c>
      <c r="E1218" t="s">
        <v>166</v>
      </c>
      <c r="F1218" t="s">
        <v>60</v>
      </c>
      <c r="G1218" t="s">
        <v>42</v>
      </c>
      <c r="H1218" t="s">
        <v>118</v>
      </c>
      <c r="I1218">
        <v>1</v>
      </c>
      <c r="J1218">
        <v>44.69</v>
      </c>
      <c r="K1218">
        <v>0</v>
      </c>
      <c r="L1218">
        <v>44.69</v>
      </c>
      <c r="M1218">
        <v>10.64</v>
      </c>
      <c r="N1218">
        <v>7.24</v>
      </c>
      <c r="O1218" t="s">
        <v>22</v>
      </c>
      <c r="P1218">
        <v>2024</v>
      </c>
      <c r="Q1218" t="s">
        <v>3646</v>
      </c>
      <c r="R1218">
        <v>44.69</v>
      </c>
      <c r="S1218">
        <v>0.16200492280152201</v>
      </c>
      <c r="T1218" t="s">
        <v>3634</v>
      </c>
      <c r="U1218" t="s">
        <v>3633</v>
      </c>
    </row>
    <row r="1219" spans="1:21" x14ac:dyDescent="0.25">
      <c r="A1219" t="s">
        <v>2338</v>
      </c>
      <c r="B1219" s="1">
        <v>45601</v>
      </c>
      <c r="C1219" t="s">
        <v>946</v>
      </c>
      <c r="D1219" t="s">
        <v>49</v>
      </c>
      <c r="E1219" t="s">
        <v>85</v>
      </c>
      <c r="F1219" t="s">
        <v>60</v>
      </c>
      <c r="G1219" t="s">
        <v>69</v>
      </c>
      <c r="H1219" t="s">
        <v>79</v>
      </c>
      <c r="I1219">
        <v>2</v>
      </c>
      <c r="J1219">
        <v>106.07</v>
      </c>
      <c r="K1219">
        <v>10</v>
      </c>
      <c r="L1219">
        <v>190.93</v>
      </c>
      <c r="M1219">
        <v>12.94</v>
      </c>
      <c r="N1219">
        <v>71.92</v>
      </c>
      <c r="O1219" t="s">
        <v>22</v>
      </c>
      <c r="P1219">
        <v>2024</v>
      </c>
      <c r="Q1219" t="s">
        <v>3646</v>
      </c>
      <c r="R1219">
        <v>171.83699999999999</v>
      </c>
      <c r="S1219">
        <v>0.41853617090614997</v>
      </c>
      <c r="T1219" t="s">
        <v>3632</v>
      </c>
      <c r="U1219" t="s">
        <v>3633</v>
      </c>
    </row>
    <row r="1220" spans="1:21" x14ac:dyDescent="0.25">
      <c r="A1220" t="s">
        <v>2339</v>
      </c>
      <c r="B1220" s="1">
        <v>45601</v>
      </c>
      <c r="C1220" t="s">
        <v>2340</v>
      </c>
      <c r="D1220" t="s">
        <v>17</v>
      </c>
      <c r="E1220" t="s">
        <v>76</v>
      </c>
      <c r="F1220" t="s">
        <v>26</v>
      </c>
      <c r="G1220" t="s">
        <v>42</v>
      </c>
      <c r="H1220" t="s">
        <v>234</v>
      </c>
      <c r="I1220">
        <v>3</v>
      </c>
      <c r="J1220">
        <v>55.43</v>
      </c>
      <c r="K1220">
        <v>15</v>
      </c>
      <c r="L1220">
        <v>141.35</v>
      </c>
      <c r="M1220">
        <v>13.74</v>
      </c>
      <c r="N1220">
        <v>27.84</v>
      </c>
      <c r="O1220" t="s">
        <v>22</v>
      </c>
      <c r="P1220">
        <v>2024</v>
      </c>
      <c r="Q1220" t="s">
        <v>3646</v>
      </c>
      <c r="R1220">
        <v>120.14749999999999</v>
      </c>
      <c r="S1220">
        <v>0.231715183420379</v>
      </c>
      <c r="T1220" t="s">
        <v>3632</v>
      </c>
      <c r="U1220" t="s">
        <v>3633</v>
      </c>
    </row>
    <row r="1221" spans="1:21" x14ac:dyDescent="0.25">
      <c r="A1221" t="s">
        <v>2341</v>
      </c>
      <c r="B1221" s="1">
        <v>45601</v>
      </c>
      <c r="C1221" t="s">
        <v>2342</v>
      </c>
      <c r="D1221" t="s">
        <v>49</v>
      </c>
      <c r="E1221" t="s">
        <v>129</v>
      </c>
      <c r="F1221" t="s">
        <v>19</v>
      </c>
      <c r="G1221" t="s">
        <v>20</v>
      </c>
      <c r="H1221" t="s">
        <v>55</v>
      </c>
      <c r="I1221">
        <v>7</v>
      </c>
      <c r="J1221">
        <v>58.73</v>
      </c>
      <c r="K1221">
        <v>0</v>
      </c>
      <c r="L1221">
        <v>411.11</v>
      </c>
      <c r="M1221">
        <v>19.170000000000002</v>
      </c>
      <c r="N1221">
        <v>165.83</v>
      </c>
      <c r="O1221" t="s">
        <v>56</v>
      </c>
      <c r="P1221">
        <v>2024</v>
      </c>
      <c r="Q1221" t="s">
        <v>3646</v>
      </c>
      <c r="R1221">
        <v>411.11</v>
      </c>
      <c r="S1221">
        <v>0.40337136046313599</v>
      </c>
      <c r="T1221" t="s">
        <v>3632</v>
      </c>
      <c r="U1221" t="s">
        <v>3633</v>
      </c>
    </row>
    <row r="1222" spans="1:21" x14ac:dyDescent="0.25">
      <c r="A1222" t="s">
        <v>2343</v>
      </c>
      <c r="B1222" s="1">
        <v>45602</v>
      </c>
      <c r="C1222" t="s">
        <v>2344</v>
      </c>
      <c r="D1222" t="s">
        <v>30</v>
      </c>
      <c r="E1222" t="s">
        <v>59</v>
      </c>
      <c r="F1222" t="s">
        <v>60</v>
      </c>
      <c r="G1222" t="s">
        <v>42</v>
      </c>
      <c r="H1222" t="s">
        <v>89</v>
      </c>
      <c r="I1222">
        <v>9</v>
      </c>
      <c r="J1222">
        <v>215.11</v>
      </c>
      <c r="K1222">
        <v>15</v>
      </c>
      <c r="L1222">
        <v>1645.59</v>
      </c>
      <c r="M1222">
        <v>23.4</v>
      </c>
      <c r="N1222">
        <v>460.6</v>
      </c>
      <c r="O1222" t="s">
        <v>39</v>
      </c>
      <c r="P1222">
        <v>2024</v>
      </c>
      <c r="Q1222" t="s">
        <v>3646</v>
      </c>
      <c r="R1222">
        <v>1398.7515000000001</v>
      </c>
      <c r="S1222">
        <v>0.329293659381241</v>
      </c>
      <c r="T1222" t="s">
        <v>3635</v>
      </c>
      <c r="U1222" t="s">
        <v>3633</v>
      </c>
    </row>
    <row r="1223" spans="1:21" x14ac:dyDescent="0.25">
      <c r="A1223" t="s">
        <v>2345</v>
      </c>
      <c r="B1223" s="1">
        <v>45603</v>
      </c>
      <c r="C1223" t="s">
        <v>2346</v>
      </c>
      <c r="D1223" t="s">
        <v>17</v>
      </c>
      <c r="E1223" t="s">
        <v>18</v>
      </c>
      <c r="F1223" t="s">
        <v>19</v>
      </c>
      <c r="G1223" t="s">
        <v>20</v>
      </c>
      <c r="H1223" t="s">
        <v>27</v>
      </c>
      <c r="I1223">
        <v>3</v>
      </c>
      <c r="J1223">
        <v>86.2</v>
      </c>
      <c r="K1223">
        <v>10</v>
      </c>
      <c r="L1223">
        <v>232.74</v>
      </c>
      <c r="M1223">
        <v>10.84</v>
      </c>
      <c r="N1223">
        <v>79.67</v>
      </c>
      <c r="O1223" t="s">
        <v>22</v>
      </c>
      <c r="P1223">
        <v>2024</v>
      </c>
      <c r="Q1223" t="s">
        <v>3646</v>
      </c>
      <c r="R1223">
        <v>209.46600000000001</v>
      </c>
      <c r="S1223">
        <v>0.38034812332311702</v>
      </c>
      <c r="T1223" t="s">
        <v>3632</v>
      </c>
      <c r="U1223" t="s">
        <v>3633</v>
      </c>
    </row>
    <row r="1224" spans="1:21" x14ac:dyDescent="0.25">
      <c r="A1224" t="s">
        <v>2347</v>
      </c>
      <c r="B1224" s="1">
        <v>45603</v>
      </c>
      <c r="C1224" t="s">
        <v>2348</v>
      </c>
      <c r="D1224" t="s">
        <v>17</v>
      </c>
      <c r="E1224" t="s">
        <v>135</v>
      </c>
      <c r="F1224" t="s">
        <v>26</v>
      </c>
      <c r="G1224" t="s">
        <v>69</v>
      </c>
      <c r="H1224" t="s">
        <v>243</v>
      </c>
      <c r="I1224">
        <v>4</v>
      </c>
      <c r="J1224">
        <v>21.57</v>
      </c>
      <c r="K1224">
        <v>10</v>
      </c>
      <c r="L1224">
        <v>77.650000000000006</v>
      </c>
      <c r="M1224">
        <v>11.54</v>
      </c>
      <c r="N1224">
        <v>22.97</v>
      </c>
      <c r="O1224" t="s">
        <v>34</v>
      </c>
      <c r="P1224">
        <v>2024</v>
      </c>
      <c r="Q1224" t="s">
        <v>3646</v>
      </c>
      <c r="R1224">
        <v>69.885000000000005</v>
      </c>
      <c r="S1224">
        <v>0.32868283608785898</v>
      </c>
      <c r="T1224" t="s">
        <v>3634</v>
      </c>
      <c r="U1224" t="s">
        <v>3633</v>
      </c>
    </row>
    <row r="1225" spans="1:21" x14ac:dyDescent="0.25">
      <c r="A1225" t="s">
        <v>2349</v>
      </c>
      <c r="B1225" s="1">
        <v>45603</v>
      </c>
      <c r="C1225" t="s">
        <v>2350</v>
      </c>
      <c r="D1225" t="s">
        <v>30</v>
      </c>
      <c r="E1225" t="s">
        <v>248</v>
      </c>
      <c r="F1225" t="s">
        <v>26</v>
      </c>
      <c r="G1225" t="s">
        <v>32</v>
      </c>
      <c r="H1225" t="s">
        <v>50</v>
      </c>
      <c r="I1225">
        <v>5</v>
      </c>
      <c r="J1225">
        <v>20.84</v>
      </c>
      <c r="K1225">
        <v>0</v>
      </c>
      <c r="L1225">
        <v>104.2</v>
      </c>
      <c r="M1225">
        <v>15.39</v>
      </c>
      <c r="N1225">
        <v>41.92</v>
      </c>
      <c r="O1225" t="s">
        <v>39</v>
      </c>
      <c r="P1225">
        <v>2024</v>
      </c>
      <c r="Q1225" t="s">
        <v>3646</v>
      </c>
      <c r="R1225">
        <v>104.2</v>
      </c>
      <c r="S1225">
        <v>0.402303262955854</v>
      </c>
      <c r="T1225" t="s">
        <v>3632</v>
      </c>
      <c r="U1225" t="s">
        <v>3633</v>
      </c>
    </row>
    <row r="1226" spans="1:21" x14ac:dyDescent="0.25">
      <c r="A1226" t="s">
        <v>2351</v>
      </c>
      <c r="B1226" s="1">
        <v>45604</v>
      </c>
      <c r="C1226" t="s">
        <v>2352</v>
      </c>
      <c r="D1226" t="s">
        <v>30</v>
      </c>
      <c r="E1226" t="s">
        <v>18</v>
      </c>
      <c r="F1226" t="s">
        <v>19</v>
      </c>
      <c r="G1226" t="s">
        <v>32</v>
      </c>
      <c r="H1226" t="s">
        <v>348</v>
      </c>
      <c r="I1226">
        <v>2</v>
      </c>
      <c r="J1226">
        <v>6.32</v>
      </c>
      <c r="K1226">
        <v>0</v>
      </c>
      <c r="L1226">
        <v>12.64</v>
      </c>
      <c r="M1226">
        <v>8.56</v>
      </c>
      <c r="N1226">
        <v>-1.61</v>
      </c>
      <c r="O1226" t="s">
        <v>39</v>
      </c>
      <c r="P1226">
        <v>2024</v>
      </c>
      <c r="Q1226" t="s">
        <v>3646</v>
      </c>
      <c r="R1226">
        <v>12.64</v>
      </c>
      <c r="S1226">
        <v>-0.127373417721519</v>
      </c>
      <c r="T1226" t="s">
        <v>3634</v>
      </c>
      <c r="U1226" t="s">
        <v>3636</v>
      </c>
    </row>
    <row r="1227" spans="1:21" x14ac:dyDescent="0.25">
      <c r="A1227" t="s">
        <v>2353</v>
      </c>
      <c r="B1227" s="1">
        <v>45605</v>
      </c>
      <c r="C1227" t="s">
        <v>2354</v>
      </c>
      <c r="D1227" t="s">
        <v>30</v>
      </c>
      <c r="E1227" t="s">
        <v>67</v>
      </c>
      <c r="F1227" t="s">
        <v>68</v>
      </c>
      <c r="G1227" t="s">
        <v>42</v>
      </c>
      <c r="H1227" t="s">
        <v>234</v>
      </c>
      <c r="I1227">
        <v>1</v>
      </c>
      <c r="J1227">
        <v>40.909999999999997</v>
      </c>
      <c r="K1227">
        <v>20</v>
      </c>
      <c r="L1227">
        <v>32.729999999999997</v>
      </c>
      <c r="M1227">
        <v>12</v>
      </c>
      <c r="N1227">
        <v>-3.82</v>
      </c>
      <c r="O1227" t="s">
        <v>56</v>
      </c>
      <c r="P1227">
        <v>2024</v>
      </c>
      <c r="Q1227" t="s">
        <v>3646</v>
      </c>
      <c r="R1227">
        <v>26.184000000000001</v>
      </c>
      <c r="S1227">
        <v>-0.145890620226092</v>
      </c>
      <c r="T1227" t="s">
        <v>3634</v>
      </c>
      <c r="U1227" t="s">
        <v>3636</v>
      </c>
    </row>
    <row r="1228" spans="1:21" x14ac:dyDescent="0.25">
      <c r="A1228" t="s">
        <v>2355</v>
      </c>
      <c r="B1228" s="1">
        <v>45605</v>
      </c>
      <c r="C1228" t="s">
        <v>2356</v>
      </c>
      <c r="D1228" t="s">
        <v>49</v>
      </c>
      <c r="E1228" t="s">
        <v>59</v>
      </c>
      <c r="F1228" t="s">
        <v>60</v>
      </c>
      <c r="G1228" t="s">
        <v>42</v>
      </c>
      <c r="H1228" t="s">
        <v>371</v>
      </c>
      <c r="I1228">
        <v>8</v>
      </c>
      <c r="J1228">
        <v>171.68</v>
      </c>
      <c r="K1228">
        <v>10</v>
      </c>
      <c r="L1228">
        <v>1236.0999999999999</v>
      </c>
      <c r="M1228">
        <v>16.97</v>
      </c>
      <c r="N1228">
        <v>395.07</v>
      </c>
      <c r="O1228" t="s">
        <v>39</v>
      </c>
      <c r="P1228">
        <v>2024</v>
      </c>
      <c r="Q1228" t="s">
        <v>3646</v>
      </c>
      <c r="R1228">
        <v>1112.49</v>
      </c>
      <c r="S1228">
        <v>0.355122293234096</v>
      </c>
      <c r="T1228" t="s">
        <v>3635</v>
      </c>
      <c r="U1228" t="s">
        <v>3633</v>
      </c>
    </row>
    <row r="1229" spans="1:21" x14ac:dyDescent="0.25">
      <c r="A1229" t="s">
        <v>2357</v>
      </c>
      <c r="B1229" s="1">
        <v>45605</v>
      </c>
      <c r="C1229" t="s">
        <v>2358</v>
      </c>
      <c r="D1229" t="s">
        <v>30</v>
      </c>
      <c r="E1229" t="s">
        <v>121</v>
      </c>
      <c r="F1229" t="s">
        <v>68</v>
      </c>
      <c r="G1229" t="s">
        <v>42</v>
      </c>
      <c r="H1229" t="s">
        <v>294</v>
      </c>
      <c r="I1229">
        <v>2</v>
      </c>
      <c r="J1229">
        <v>288.51</v>
      </c>
      <c r="K1229">
        <v>0</v>
      </c>
      <c r="L1229">
        <v>577.02</v>
      </c>
      <c r="M1229">
        <v>13.32</v>
      </c>
      <c r="N1229">
        <v>217.49</v>
      </c>
      <c r="O1229" t="s">
        <v>56</v>
      </c>
      <c r="P1229">
        <v>2024</v>
      </c>
      <c r="Q1229" t="s">
        <v>3646</v>
      </c>
      <c r="R1229">
        <v>577.02</v>
      </c>
      <c r="S1229">
        <v>0.37691934421683798</v>
      </c>
      <c r="T1229" t="s">
        <v>3635</v>
      </c>
      <c r="U1229" t="s">
        <v>3633</v>
      </c>
    </row>
    <row r="1230" spans="1:21" x14ac:dyDescent="0.25">
      <c r="A1230" t="s">
        <v>2359</v>
      </c>
      <c r="B1230" s="1">
        <v>45605</v>
      </c>
      <c r="C1230" t="s">
        <v>2360</v>
      </c>
      <c r="D1230" t="s">
        <v>30</v>
      </c>
      <c r="E1230" t="s">
        <v>129</v>
      </c>
      <c r="F1230" t="s">
        <v>19</v>
      </c>
      <c r="G1230" t="s">
        <v>69</v>
      </c>
      <c r="H1230" t="s">
        <v>163</v>
      </c>
      <c r="I1230">
        <v>4</v>
      </c>
      <c r="J1230">
        <v>57.02</v>
      </c>
      <c r="K1230">
        <v>10</v>
      </c>
      <c r="L1230">
        <v>205.27</v>
      </c>
      <c r="M1230">
        <v>7.42</v>
      </c>
      <c r="N1230">
        <v>83.81</v>
      </c>
      <c r="O1230" t="s">
        <v>34</v>
      </c>
      <c r="P1230">
        <v>2024</v>
      </c>
      <c r="Q1230" t="s">
        <v>3646</v>
      </c>
      <c r="R1230">
        <v>184.74299999999999</v>
      </c>
      <c r="S1230">
        <v>0.45365724276427299</v>
      </c>
      <c r="T1230" t="s">
        <v>3632</v>
      </c>
      <c r="U1230" t="s">
        <v>3633</v>
      </c>
    </row>
    <row r="1231" spans="1:21" x14ac:dyDescent="0.25">
      <c r="A1231" t="s">
        <v>2361</v>
      </c>
      <c r="B1231" s="1">
        <v>45605</v>
      </c>
      <c r="C1231" t="s">
        <v>2362</v>
      </c>
      <c r="D1231" t="s">
        <v>30</v>
      </c>
      <c r="E1231" t="s">
        <v>37</v>
      </c>
      <c r="F1231" t="s">
        <v>26</v>
      </c>
      <c r="G1231" t="s">
        <v>69</v>
      </c>
      <c r="H1231" t="s">
        <v>70</v>
      </c>
      <c r="I1231">
        <v>3</v>
      </c>
      <c r="J1231">
        <v>58.15</v>
      </c>
      <c r="K1231">
        <v>5</v>
      </c>
      <c r="L1231">
        <v>165.73</v>
      </c>
      <c r="M1231">
        <v>14.36</v>
      </c>
      <c r="N1231">
        <v>64.14</v>
      </c>
      <c r="O1231" t="s">
        <v>39</v>
      </c>
      <c r="P1231">
        <v>2024</v>
      </c>
      <c r="Q1231" t="s">
        <v>3646</v>
      </c>
      <c r="R1231">
        <v>157.4435</v>
      </c>
      <c r="S1231">
        <v>0.407384236249829</v>
      </c>
      <c r="T1231" t="s">
        <v>3632</v>
      </c>
      <c r="U1231" t="s">
        <v>3633</v>
      </c>
    </row>
    <row r="1232" spans="1:21" x14ac:dyDescent="0.25">
      <c r="A1232" t="s">
        <v>2363</v>
      </c>
      <c r="B1232" s="1">
        <v>45605</v>
      </c>
      <c r="C1232" t="s">
        <v>2364</v>
      </c>
      <c r="D1232" t="s">
        <v>30</v>
      </c>
      <c r="E1232" t="s">
        <v>85</v>
      </c>
      <c r="F1232" t="s">
        <v>60</v>
      </c>
      <c r="G1232" t="s">
        <v>32</v>
      </c>
      <c r="H1232" t="s">
        <v>73</v>
      </c>
      <c r="I1232">
        <v>14</v>
      </c>
      <c r="J1232">
        <v>7.5</v>
      </c>
      <c r="K1232">
        <v>0</v>
      </c>
      <c r="L1232">
        <v>105</v>
      </c>
      <c r="M1232">
        <v>20.9</v>
      </c>
      <c r="N1232">
        <v>36.85</v>
      </c>
      <c r="O1232" t="s">
        <v>34</v>
      </c>
      <c r="P1232">
        <v>2024</v>
      </c>
      <c r="Q1232" t="s">
        <v>3646</v>
      </c>
      <c r="R1232">
        <v>105</v>
      </c>
      <c r="S1232">
        <v>0.35095238095238102</v>
      </c>
      <c r="T1232" t="s">
        <v>3632</v>
      </c>
      <c r="U1232" t="s">
        <v>3633</v>
      </c>
    </row>
    <row r="1233" spans="1:21" x14ac:dyDescent="0.25">
      <c r="A1233" t="s">
        <v>2365</v>
      </c>
      <c r="B1233" s="1">
        <v>45606</v>
      </c>
      <c r="C1233" t="s">
        <v>2366</v>
      </c>
      <c r="D1233" t="s">
        <v>49</v>
      </c>
      <c r="E1233" t="s">
        <v>31</v>
      </c>
      <c r="F1233" t="s">
        <v>19</v>
      </c>
      <c r="G1233" t="s">
        <v>20</v>
      </c>
      <c r="H1233" t="s">
        <v>38</v>
      </c>
      <c r="I1233">
        <v>2</v>
      </c>
      <c r="J1233">
        <v>56.22</v>
      </c>
      <c r="K1233">
        <v>5</v>
      </c>
      <c r="L1233">
        <v>106.82</v>
      </c>
      <c r="M1233">
        <v>9.83</v>
      </c>
      <c r="N1233">
        <v>35.15</v>
      </c>
      <c r="O1233" t="s">
        <v>34</v>
      </c>
      <c r="P1233">
        <v>2024</v>
      </c>
      <c r="Q1233" t="s">
        <v>3646</v>
      </c>
      <c r="R1233">
        <v>101.479</v>
      </c>
      <c r="S1233">
        <v>0.34637708294326902</v>
      </c>
      <c r="T1233" t="s">
        <v>3632</v>
      </c>
      <c r="U1233" t="s">
        <v>3633</v>
      </c>
    </row>
    <row r="1234" spans="1:21" x14ac:dyDescent="0.25">
      <c r="A1234" t="s">
        <v>2367</v>
      </c>
      <c r="B1234" s="1">
        <v>45609</v>
      </c>
      <c r="C1234" t="s">
        <v>2368</v>
      </c>
      <c r="D1234" t="s">
        <v>17</v>
      </c>
      <c r="E1234" t="s">
        <v>85</v>
      </c>
      <c r="F1234" t="s">
        <v>60</v>
      </c>
      <c r="G1234" t="s">
        <v>42</v>
      </c>
      <c r="H1234" t="s">
        <v>93</v>
      </c>
      <c r="I1234">
        <v>5</v>
      </c>
      <c r="J1234">
        <v>186.09</v>
      </c>
      <c r="K1234">
        <v>15</v>
      </c>
      <c r="L1234">
        <v>790.88</v>
      </c>
      <c r="M1234">
        <v>11.72</v>
      </c>
      <c r="N1234">
        <v>220.89</v>
      </c>
      <c r="O1234" t="s">
        <v>56</v>
      </c>
      <c r="P1234">
        <v>2024</v>
      </c>
      <c r="Q1234" t="s">
        <v>3646</v>
      </c>
      <c r="R1234">
        <v>672.24800000000005</v>
      </c>
      <c r="S1234">
        <v>0.32858409396532201</v>
      </c>
      <c r="T1234" t="s">
        <v>3635</v>
      </c>
      <c r="U1234" t="s">
        <v>3633</v>
      </c>
    </row>
    <row r="1235" spans="1:21" x14ac:dyDescent="0.25">
      <c r="A1235" t="s">
        <v>2369</v>
      </c>
      <c r="B1235" s="1">
        <v>45609</v>
      </c>
      <c r="C1235" t="s">
        <v>2370</v>
      </c>
      <c r="D1235" t="s">
        <v>30</v>
      </c>
      <c r="E1235" t="s">
        <v>135</v>
      </c>
      <c r="F1235" t="s">
        <v>26</v>
      </c>
      <c r="G1235" t="s">
        <v>20</v>
      </c>
      <c r="H1235" t="s">
        <v>106</v>
      </c>
      <c r="I1235">
        <v>1</v>
      </c>
      <c r="J1235">
        <v>57.7</v>
      </c>
      <c r="K1235">
        <v>0</v>
      </c>
      <c r="L1235">
        <v>57.7</v>
      </c>
      <c r="M1235">
        <v>7.94</v>
      </c>
      <c r="N1235">
        <v>18.02</v>
      </c>
      <c r="O1235" t="s">
        <v>39</v>
      </c>
      <c r="P1235">
        <v>2024</v>
      </c>
      <c r="Q1235" t="s">
        <v>3646</v>
      </c>
      <c r="R1235">
        <v>57.7</v>
      </c>
      <c r="S1235">
        <v>0.31230502599653398</v>
      </c>
      <c r="T1235" t="s">
        <v>3634</v>
      </c>
      <c r="U1235" t="s">
        <v>3633</v>
      </c>
    </row>
    <row r="1236" spans="1:21" x14ac:dyDescent="0.25">
      <c r="A1236" t="s">
        <v>2371</v>
      </c>
      <c r="B1236" s="1">
        <v>45610</v>
      </c>
      <c r="C1236" t="s">
        <v>2230</v>
      </c>
      <c r="D1236" t="s">
        <v>49</v>
      </c>
      <c r="E1236" t="s">
        <v>18</v>
      </c>
      <c r="F1236" t="s">
        <v>19</v>
      </c>
      <c r="G1236" t="s">
        <v>20</v>
      </c>
      <c r="H1236" t="s">
        <v>55</v>
      </c>
      <c r="I1236">
        <v>4</v>
      </c>
      <c r="J1236">
        <v>74.260000000000005</v>
      </c>
      <c r="K1236">
        <v>0</v>
      </c>
      <c r="L1236">
        <v>297.04000000000002</v>
      </c>
      <c r="M1236">
        <v>11.24</v>
      </c>
      <c r="N1236">
        <v>122.43</v>
      </c>
      <c r="O1236" t="s">
        <v>39</v>
      </c>
      <c r="P1236">
        <v>2024</v>
      </c>
      <c r="Q1236" t="s">
        <v>3646</v>
      </c>
      <c r="R1236">
        <v>297.04000000000002</v>
      </c>
      <c r="S1236">
        <v>0.41216671155399998</v>
      </c>
      <c r="T1236" t="s">
        <v>3632</v>
      </c>
      <c r="U1236" t="s">
        <v>3633</v>
      </c>
    </row>
    <row r="1237" spans="1:21" x14ac:dyDescent="0.25">
      <c r="A1237" t="s">
        <v>2372</v>
      </c>
      <c r="B1237" s="1">
        <v>45611</v>
      </c>
      <c r="C1237" t="s">
        <v>2373</v>
      </c>
      <c r="D1237" t="s">
        <v>49</v>
      </c>
      <c r="E1237" t="s">
        <v>248</v>
      </c>
      <c r="F1237" t="s">
        <v>26</v>
      </c>
      <c r="G1237" t="s">
        <v>20</v>
      </c>
      <c r="H1237" t="s">
        <v>264</v>
      </c>
      <c r="I1237">
        <v>4</v>
      </c>
      <c r="J1237">
        <v>66.349999999999994</v>
      </c>
      <c r="K1237">
        <v>5</v>
      </c>
      <c r="L1237">
        <v>252.13</v>
      </c>
      <c r="M1237">
        <v>12.59</v>
      </c>
      <c r="N1237">
        <v>93.57</v>
      </c>
      <c r="O1237" t="s">
        <v>34</v>
      </c>
      <c r="P1237">
        <v>2024</v>
      </c>
      <c r="Q1237" t="s">
        <v>3646</v>
      </c>
      <c r="R1237">
        <v>239.52350000000001</v>
      </c>
      <c r="S1237">
        <v>0.39065060422046299</v>
      </c>
      <c r="T1237" t="s">
        <v>3632</v>
      </c>
      <c r="U1237" t="s">
        <v>3633</v>
      </c>
    </row>
    <row r="1238" spans="1:21" x14ac:dyDescent="0.25">
      <c r="A1238" t="s">
        <v>2374</v>
      </c>
      <c r="B1238" s="1">
        <v>45612</v>
      </c>
      <c r="C1238" t="s">
        <v>2375</v>
      </c>
      <c r="D1238" t="s">
        <v>30</v>
      </c>
      <c r="E1238" t="s">
        <v>18</v>
      </c>
      <c r="F1238" t="s">
        <v>19</v>
      </c>
      <c r="G1238" t="s">
        <v>69</v>
      </c>
      <c r="H1238" t="s">
        <v>86</v>
      </c>
      <c r="I1238">
        <v>1</v>
      </c>
      <c r="J1238">
        <v>45.27</v>
      </c>
      <c r="K1238">
        <v>5</v>
      </c>
      <c r="L1238">
        <v>43.01</v>
      </c>
      <c r="M1238">
        <v>6.72</v>
      </c>
      <c r="N1238">
        <v>13.65</v>
      </c>
      <c r="O1238" t="s">
        <v>34</v>
      </c>
      <c r="P1238">
        <v>2024</v>
      </c>
      <c r="Q1238" t="s">
        <v>3646</v>
      </c>
      <c r="R1238">
        <v>40.859499999999997</v>
      </c>
      <c r="S1238">
        <v>0.33407163572730902</v>
      </c>
      <c r="T1238" t="s">
        <v>3634</v>
      </c>
      <c r="U1238" t="s">
        <v>3633</v>
      </c>
    </row>
    <row r="1239" spans="1:21" x14ac:dyDescent="0.25">
      <c r="A1239" t="s">
        <v>2376</v>
      </c>
      <c r="B1239" s="1">
        <v>45612</v>
      </c>
      <c r="C1239" t="s">
        <v>1993</v>
      </c>
      <c r="D1239" t="s">
        <v>17</v>
      </c>
      <c r="E1239" t="s">
        <v>31</v>
      </c>
      <c r="F1239" t="s">
        <v>19</v>
      </c>
      <c r="G1239" t="s">
        <v>32</v>
      </c>
      <c r="H1239" t="s">
        <v>110</v>
      </c>
      <c r="I1239">
        <v>2</v>
      </c>
      <c r="J1239">
        <v>6.86</v>
      </c>
      <c r="K1239">
        <v>0</v>
      </c>
      <c r="L1239">
        <v>13.72</v>
      </c>
      <c r="M1239">
        <v>8.1</v>
      </c>
      <c r="N1239">
        <v>-0.55000000000000004</v>
      </c>
      <c r="O1239" t="s">
        <v>56</v>
      </c>
      <c r="P1239">
        <v>2024</v>
      </c>
      <c r="Q1239" t="s">
        <v>3646</v>
      </c>
      <c r="R1239">
        <v>13.72</v>
      </c>
      <c r="S1239">
        <v>-4.0087463556851298E-2</v>
      </c>
      <c r="T1239" t="s">
        <v>3634</v>
      </c>
      <c r="U1239" t="s">
        <v>3636</v>
      </c>
    </row>
    <row r="1240" spans="1:21" x14ac:dyDescent="0.25">
      <c r="A1240" t="s">
        <v>2377</v>
      </c>
      <c r="B1240" s="1">
        <v>45613</v>
      </c>
      <c r="C1240" t="s">
        <v>2378</v>
      </c>
      <c r="D1240" t="s">
        <v>30</v>
      </c>
      <c r="E1240" t="s">
        <v>85</v>
      </c>
      <c r="F1240" t="s">
        <v>60</v>
      </c>
      <c r="G1240" t="s">
        <v>20</v>
      </c>
      <c r="H1240" t="s">
        <v>199</v>
      </c>
      <c r="I1240">
        <v>7</v>
      </c>
      <c r="J1240">
        <v>123.89</v>
      </c>
      <c r="K1240">
        <v>0</v>
      </c>
      <c r="L1240">
        <v>867.23</v>
      </c>
      <c r="M1240">
        <v>19.559999999999999</v>
      </c>
      <c r="N1240">
        <v>370.69</v>
      </c>
      <c r="O1240" t="s">
        <v>34</v>
      </c>
      <c r="P1240">
        <v>2024</v>
      </c>
      <c r="Q1240" t="s">
        <v>3646</v>
      </c>
      <c r="R1240">
        <v>867.23</v>
      </c>
      <c r="S1240">
        <v>0.42744139386322</v>
      </c>
      <c r="T1240" t="s">
        <v>3635</v>
      </c>
      <c r="U1240" t="s">
        <v>3633</v>
      </c>
    </row>
    <row r="1241" spans="1:21" x14ac:dyDescent="0.25">
      <c r="A1241" t="s">
        <v>2379</v>
      </c>
      <c r="B1241" s="1">
        <v>45613</v>
      </c>
      <c r="C1241" t="s">
        <v>2380</v>
      </c>
      <c r="D1241" t="s">
        <v>30</v>
      </c>
      <c r="E1241" t="s">
        <v>248</v>
      </c>
      <c r="F1241" t="s">
        <v>26</v>
      </c>
      <c r="G1241" t="s">
        <v>32</v>
      </c>
      <c r="H1241" t="s">
        <v>132</v>
      </c>
      <c r="I1241">
        <v>1</v>
      </c>
      <c r="J1241">
        <v>15.77</v>
      </c>
      <c r="K1241">
        <v>10</v>
      </c>
      <c r="L1241">
        <v>14.19</v>
      </c>
      <c r="M1241">
        <v>8.7799999999999994</v>
      </c>
      <c r="N1241">
        <v>-1.69</v>
      </c>
      <c r="O1241" t="s">
        <v>39</v>
      </c>
      <c r="P1241">
        <v>2024</v>
      </c>
      <c r="Q1241" t="s">
        <v>3646</v>
      </c>
      <c r="R1241">
        <v>12.771000000000001</v>
      </c>
      <c r="S1241">
        <v>-0.13233106256362101</v>
      </c>
      <c r="T1241" t="s">
        <v>3634</v>
      </c>
      <c r="U1241" t="s">
        <v>3636</v>
      </c>
    </row>
    <row r="1242" spans="1:21" x14ac:dyDescent="0.25">
      <c r="A1242" t="s">
        <v>2381</v>
      </c>
      <c r="B1242" s="1">
        <v>45613</v>
      </c>
      <c r="C1242" t="s">
        <v>2382</v>
      </c>
      <c r="D1242" t="s">
        <v>17</v>
      </c>
      <c r="E1242" t="s">
        <v>18</v>
      </c>
      <c r="F1242" t="s">
        <v>19</v>
      </c>
      <c r="G1242" t="s">
        <v>32</v>
      </c>
      <c r="H1242" t="s">
        <v>115</v>
      </c>
      <c r="I1242">
        <v>1</v>
      </c>
      <c r="J1242">
        <v>8.27</v>
      </c>
      <c r="K1242">
        <v>15</v>
      </c>
      <c r="L1242">
        <v>7.03</v>
      </c>
      <c r="M1242">
        <v>5.6</v>
      </c>
      <c r="N1242">
        <v>-2.29</v>
      </c>
      <c r="O1242" t="s">
        <v>34</v>
      </c>
      <c r="P1242">
        <v>2024</v>
      </c>
      <c r="Q1242" t="s">
        <v>3646</v>
      </c>
      <c r="R1242">
        <v>5.9755000000000003</v>
      </c>
      <c r="S1242">
        <v>-0.38323152874236499</v>
      </c>
      <c r="T1242" t="s">
        <v>3634</v>
      </c>
      <c r="U1242" t="s">
        <v>3636</v>
      </c>
    </row>
    <row r="1243" spans="1:21" x14ac:dyDescent="0.25">
      <c r="A1243" t="s">
        <v>2383</v>
      </c>
      <c r="B1243" s="1">
        <v>45613</v>
      </c>
      <c r="C1243" t="s">
        <v>2384</v>
      </c>
      <c r="D1243" t="s">
        <v>30</v>
      </c>
      <c r="E1243" t="s">
        <v>248</v>
      </c>
      <c r="F1243" t="s">
        <v>26</v>
      </c>
      <c r="G1243" t="s">
        <v>69</v>
      </c>
      <c r="H1243" t="s">
        <v>98</v>
      </c>
      <c r="I1243">
        <v>11</v>
      </c>
      <c r="J1243">
        <v>36.18</v>
      </c>
      <c r="K1243">
        <v>10</v>
      </c>
      <c r="L1243">
        <v>358.18</v>
      </c>
      <c r="M1243">
        <v>16.03</v>
      </c>
      <c r="N1243">
        <v>143.16</v>
      </c>
      <c r="O1243" t="s">
        <v>34</v>
      </c>
      <c r="P1243">
        <v>2024</v>
      </c>
      <c r="Q1243" t="s">
        <v>3646</v>
      </c>
      <c r="R1243">
        <v>322.36200000000002</v>
      </c>
      <c r="S1243">
        <v>0.44409700895266802</v>
      </c>
      <c r="T1243" t="s">
        <v>3632</v>
      </c>
      <c r="U1243" t="s">
        <v>3633</v>
      </c>
    </row>
    <row r="1244" spans="1:21" x14ac:dyDescent="0.25">
      <c r="A1244" t="s">
        <v>2385</v>
      </c>
      <c r="B1244" s="1">
        <v>45613</v>
      </c>
      <c r="C1244" t="s">
        <v>2386</v>
      </c>
      <c r="D1244" t="s">
        <v>30</v>
      </c>
      <c r="E1244" t="s">
        <v>92</v>
      </c>
      <c r="F1244" t="s">
        <v>60</v>
      </c>
      <c r="G1244" t="s">
        <v>32</v>
      </c>
      <c r="H1244" t="s">
        <v>149</v>
      </c>
      <c r="I1244">
        <v>3</v>
      </c>
      <c r="J1244">
        <v>13.86</v>
      </c>
      <c r="K1244">
        <v>0</v>
      </c>
      <c r="L1244">
        <v>41.58</v>
      </c>
      <c r="M1244">
        <v>13.05</v>
      </c>
      <c r="N1244">
        <v>9.82</v>
      </c>
      <c r="O1244" t="s">
        <v>39</v>
      </c>
      <c r="P1244">
        <v>2024</v>
      </c>
      <c r="Q1244" t="s">
        <v>3646</v>
      </c>
      <c r="R1244">
        <v>41.58</v>
      </c>
      <c r="S1244">
        <v>0.236171236171236</v>
      </c>
      <c r="T1244" t="s">
        <v>3634</v>
      </c>
      <c r="U1244" t="s">
        <v>3633</v>
      </c>
    </row>
    <row r="1245" spans="1:21" x14ac:dyDescent="0.25">
      <c r="A1245" t="s">
        <v>2387</v>
      </c>
      <c r="B1245" s="1">
        <v>45614</v>
      </c>
      <c r="C1245" t="s">
        <v>2388</v>
      </c>
      <c r="D1245" t="s">
        <v>49</v>
      </c>
      <c r="E1245" t="s">
        <v>18</v>
      </c>
      <c r="F1245" t="s">
        <v>19</v>
      </c>
      <c r="G1245" t="s">
        <v>42</v>
      </c>
      <c r="H1245" t="s">
        <v>234</v>
      </c>
      <c r="I1245">
        <v>4</v>
      </c>
      <c r="J1245">
        <v>36.53</v>
      </c>
      <c r="K1245">
        <v>5</v>
      </c>
      <c r="L1245">
        <v>138.81</v>
      </c>
      <c r="M1245">
        <v>13.3</v>
      </c>
      <c r="N1245">
        <v>37.840000000000003</v>
      </c>
      <c r="O1245" t="s">
        <v>56</v>
      </c>
      <c r="P1245">
        <v>2024</v>
      </c>
      <c r="Q1245" t="s">
        <v>3646</v>
      </c>
      <c r="R1245">
        <v>131.86949999999999</v>
      </c>
      <c r="S1245">
        <v>0.28695035622338799</v>
      </c>
      <c r="T1245" t="s">
        <v>3632</v>
      </c>
      <c r="U1245" t="s">
        <v>3633</v>
      </c>
    </row>
    <row r="1246" spans="1:21" x14ac:dyDescent="0.25">
      <c r="A1246" t="s">
        <v>2389</v>
      </c>
      <c r="B1246" s="1">
        <v>45615</v>
      </c>
      <c r="C1246" t="s">
        <v>2390</v>
      </c>
      <c r="D1246" t="s">
        <v>30</v>
      </c>
      <c r="E1246" t="s">
        <v>92</v>
      </c>
      <c r="F1246" t="s">
        <v>60</v>
      </c>
      <c r="G1246" t="s">
        <v>20</v>
      </c>
      <c r="H1246" t="s">
        <v>38</v>
      </c>
      <c r="I1246">
        <v>1</v>
      </c>
      <c r="J1246">
        <v>40.909999999999997</v>
      </c>
      <c r="K1246">
        <v>15</v>
      </c>
      <c r="L1246">
        <v>34.770000000000003</v>
      </c>
      <c r="M1246">
        <v>10.18</v>
      </c>
      <c r="N1246">
        <v>2.09</v>
      </c>
      <c r="O1246" t="s">
        <v>22</v>
      </c>
      <c r="P1246">
        <v>2024</v>
      </c>
      <c r="Q1246" t="s">
        <v>3646</v>
      </c>
      <c r="R1246">
        <v>29.554500000000001</v>
      </c>
      <c r="S1246">
        <v>7.0716811314689806E-2</v>
      </c>
      <c r="T1246" t="s">
        <v>3634</v>
      </c>
      <c r="U1246" t="s">
        <v>3633</v>
      </c>
    </row>
    <row r="1247" spans="1:21" x14ac:dyDescent="0.25">
      <c r="A1247" t="s">
        <v>2391</v>
      </c>
      <c r="B1247" s="1">
        <v>45616</v>
      </c>
      <c r="C1247" t="s">
        <v>655</v>
      </c>
      <c r="D1247" t="s">
        <v>17</v>
      </c>
      <c r="E1247" t="s">
        <v>18</v>
      </c>
      <c r="F1247" t="s">
        <v>19</v>
      </c>
      <c r="G1247" t="s">
        <v>20</v>
      </c>
      <c r="H1247" t="s">
        <v>264</v>
      </c>
      <c r="I1247">
        <v>3</v>
      </c>
      <c r="J1247">
        <v>62.77</v>
      </c>
      <c r="K1247">
        <v>0</v>
      </c>
      <c r="L1247">
        <v>188.31</v>
      </c>
      <c r="M1247">
        <v>11.8</v>
      </c>
      <c r="N1247">
        <v>72.94</v>
      </c>
      <c r="O1247" t="s">
        <v>34</v>
      </c>
      <c r="P1247">
        <v>2024</v>
      </c>
      <c r="Q1247" t="s">
        <v>3646</v>
      </c>
      <c r="R1247">
        <v>188.31</v>
      </c>
      <c r="S1247">
        <v>0.38734002442780502</v>
      </c>
      <c r="T1247" t="s">
        <v>3632</v>
      </c>
      <c r="U1247" t="s">
        <v>3633</v>
      </c>
    </row>
    <row r="1248" spans="1:21" x14ac:dyDescent="0.25">
      <c r="A1248" t="s">
        <v>2392</v>
      </c>
      <c r="B1248" s="1">
        <v>45616</v>
      </c>
      <c r="C1248" t="s">
        <v>2393</v>
      </c>
      <c r="D1248" t="s">
        <v>30</v>
      </c>
      <c r="E1248" t="s">
        <v>92</v>
      </c>
      <c r="F1248" t="s">
        <v>60</v>
      </c>
      <c r="G1248" t="s">
        <v>32</v>
      </c>
      <c r="H1248" t="s">
        <v>50</v>
      </c>
      <c r="I1248">
        <v>4</v>
      </c>
      <c r="J1248">
        <v>9.84</v>
      </c>
      <c r="K1248">
        <v>10</v>
      </c>
      <c r="L1248">
        <v>35.42</v>
      </c>
      <c r="M1248">
        <v>13.78</v>
      </c>
      <c r="N1248">
        <v>3.93</v>
      </c>
      <c r="O1248" t="s">
        <v>22</v>
      </c>
      <c r="P1248">
        <v>2024</v>
      </c>
      <c r="Q1248" t="s">
        <v>3646</v>
      </c>
      <c r="R1248">
        <v>31.878</v>
      </c>
      <c r="S1248">
        <v>0.123282514586862</v>
      </c>
      <c r="T1248" t="s">
        <v>3634</v>
      </c>
      <c r="U1248" t="s">
        <v>3633</v>
      </c>
    </row>
    <row r="1249" spans="1:21" x14ac:dyDescent="0.25">
      <c r="A1249" t="s">
        <v>2394</v>
      </c>
      <c r="B1249" s="1">
        <v>45617</v>
      </c>
      <c r="C1249" t="s">
        <v>2254</v>
      </c>
      <c r="D1249" t="s">
        <v>30</v>
      </c>
      <c r="E1249" t="s">
        <v>248</v>
      </c>
      <c r="F1249" t="s">
        <v>26</v>
      </c>
      <c r="G1249" t="s">
        <v>20</v>
      </c>
      <c r="H1249" t="s">
        <v>264</v>
      </c>
      <c r="I1249">
        <v>2</v>
      </c>
      <c r="J1249">
        <v>39.61</v>
      </c>
      <c r="K1249">
        <v>20</v>
      </c>
      <c r="L1249">
        <v>63.38</v>
      </c>
      <c r="M1249">
        <v>10.199999999999999</v>
      </c>
      <c r="N1249">
        <v>9.61</v>
      </c>
      <c r="O1249" t="s">
        <v>34</v>
      </c>
      <c r="P1249">
        <v>2024</v>
      </c>
      <c r="Q1249" t="s">
        <v>3646</v>
      </c>
      <c r="R1249">
        <v>50.704000000000001</v>
      </c>
      <c r="S1249">
        <v>0.18953139791732401</v>
      </c>
      <c r="T1249" t="s">
        <v>3634</v>
      </c>
      <c r="U1249" t="s">
        <v>3633</v>
      </c>
    </row>
    <row r="1250" spans="1:21" x14ac:dyDescent="0.25">
      <c r="A1250" t="s">
        <v>2395</v>
      </c>
      <c r="B1250" s="1">
        <v>45617</v>
      </c>
      <c r="C1250" t="s">
        <v>2396</v>
      </c>
      <c r="D1250" t="s">
        <v>30</v>
      </c>
      <c r="E1250" t="s">
        <v>59</v>
      </c>
      <c r="F1250" t="s">
        <v>60</v>
      </c>
      <c r="G1250" t="s">
        <v>69</v>
      </c>
      <c r="H1250" t="s">
        <v>243</v>
      </c>
      <c r="I1250">
        <v>1</v>
      </c>
      <c r="J1250">
        <v>31.83</v>
      </c>
      <c r="K1250">
        <v>15</v>
      </c>
      <c r="L1250">
        <v>27.06</v>
      </c>
      <c r="M1250">
        <v>11.46</v>
      </c>
      <c r="N1250">
        <v>-0.32</v>
      </c>
      <c r="O1250" t="s">
        <v>39</v>
      </c>
      <c r="P1250">
        <v>2024</v>
      </c>
      <c r="Q1250" t="s">
        <v>3646</v>
      </c>
      <c r="R1250">
        <v>23.001000000000001</v>
      </c>
      <c r="S1250">
        <v>-1.39124385896265E-2</v>
      </c>
      <c r="T1250" t="s">
        <v>3634</v>
      </c>
      <c r="U1250" t="s">
        <v>3636</v>
      </c>
    </row>
    <row r="1251" spans="1:21" x14ac:dyDescent="0.25">
      <c r="A1251" t="s">
        <v>2397</v>
      </c>
      <c r="B1251" s="1">
        <v>45617</v>
      </c>
      <c r="C1251" t="s">
        <v>309</v>
      </c>
      <c r="D1251" t="s">
        <v>17</v>
      </c>
      <c r="E1251" t="s">
        <v>138</v>
      </c>
      <c r="F1251" t="s">
        <v>54</v>
      </c>
      <c r="G1251" t="s">
        <v>42</v>
      </c>
      <c r="H1251" t="s">
        <v>43</v>
      </c>
      <c r="I1251">
        <v>5</v>
      </c>
      <c r="J1251">
        <v>239.49</v>
      </c>
      <c r="K1251">
        <v>5</v>
      </c>
      <c r="L1251">
        <v>1137.58</v>
      </c>
      <c r="M1251">
        <v>17.88</v>
      </c>
      <c r="N1251">
        <v>401.23</v>
      </c>
      <c r="O1251" t="s">
        <v>39</v>
      </c>
      <c r="P1251">
        <v>2024</v>
      </c>
      <c r="Q1251" t="s">
        <v>3646</v>
      </c>
      <c r="R1251">
        <v>1080.701</v>
      </c>
      <c r="S1251">
        <v>0.37126827864506501</v>
      </c>
      <c r="T1251" t="s">
        <v>3635</v>
      </c>
      <c r="U1251" t="s">
        <v>3633</v>
      </c>
    </row>
    <row r="1252" spans="1:21" x14ac:dyDescent="0.25">
      <c r="A1252" t="s">
        <v>2398</v>
      </c>
      <c r="B1252" s="1">
        <v>45617</v>
      </c>
      <c r="C1252" t="s">
        <v>2399</v>
      </c>
      <c r="D1252" t="s">
        <v>17</v>
      </c>
      <c r="E1252" t="s">
        <v>18</v>
      </c>
      <c r="F1252" t="s">
        <v>19</v>
      </c>
      <c r="G1252" t="s">
        <v>32</v>
      </c>
      <c r="H1252" t="s">
        <v>73</v>
      </c>
      <c r="I1252">
        <v>6</v>
      </c>
      <c r="J1252">
        <v>6.5</v>
      </c>
      <c r="K1252">
        <v>20</v>
      </c>
      <c r="L1252">
        <v>31.2</v>
      </c>
      <c r="M1252">
        <v>16.690000000000001</v>
      </c>
      <c r="N1252">
        <v>-3.04</v>
      </c>
      <c r="O1252" t="s">
        <v>39</v>
      </c>
      <c r="P1252">
        <v>2024</v>
      </c>
      <c r="Q1252" t="s">
        <v>3646</v>
      </c>
      <c r="R1252">
        <v>24.96</v>
      </c>
      <c r="S1252">
        <v>-0.121794871794872</v>
      </c>
      <c r="T1252" t="s">
        <v>3634</v>
      </c>
      <c r="U1252" t="s">
        <v>3636</v>
      </c>
    </row>
    <row r="1253" spans="1:21" x14ac:dyDescent="0.25">
      <c r="A1253" t="s">
        <v>2400</v>
      </c>
      <c r="B1253" s="1">
        <v>45617</v>
      </c>
      <c r="C1253" t="s">
        <v>2401</v>
      </c>
      <c r="D1253" t="s">
        <v>49</v>
      </c>
      <c r="E1253" t="s">
        <v>25</v>
      </c>
      <c r="F1253" t="s">
        <v>26</v>
      </c>
      <c r="G1253" t="s">
        <v>69</v>
      </c>
      <c r="H1253" t="s">
        <v>86</v>
      </c>
      <c r="I1253">
        <v>5</v>
      </c>
      <c r="J1253">
        <v>79.16</v>
      </c>
      <c r="K1253">
        <v>15</v>
      </c>
      <c r="L1253">
        <v>336.43</v>
      </c>
      <c r="M1253">
        <v>12.69</v>
      </c>
      <c r="N1253">
        <v>125.84</v>
      </c>
      <c r="O1253" t="s">
        <v>34</v>
      </c>
      <c r="P1253">
        <v>2024</v>
      </c>
      <c r="Q1253" t="s">
        <v>3646</v>
      </c>
      <c r="R1253">
        <v>285.96550000000002</v>
      </c>
      <c r="S1253">
        <v>0.44005308332648502</v>
      </c>
      <c r="T1253" t="s">
        <v>3632</v>
      </c>
      <c r="U1253" t="s">
        <v>3633</v>
      </c>
    </row>
    <row r="1254" spans="1:21" x14ac:dyDescent="0.25">
      <c r="A1254" t="s">
        <v>2402</v>
      </c>
      <c r="B1254" s="1">
        <v>45618</v>
      </c>
      <c r="C1254" t="s">
        <v>2403</v>
      </c>
      <c r="D1254" t="s">
        <v>30</v>
      </c>
      <c r="E1254" t="s">
        <v>76</v>
      </c>
      <c r="F1254" t="s">
        <v>26</v>
      </c>
      <c r="G1254" t="s">
        <v>20</v>
      </c>
      <c r="H1254" t="s">
        <v>106</v>
      </c>
      <c r="I1254">
        <v>10</v>
      </c>
      <c r="J1254">
        <v>46.43</v>
      </c>
      <c r="K1254">
        <v>10</v>
      </c>
      <c r="L1254">
        <v>417.87</v>
      </c>
      <c r="M1254">
        <v>22.39</v>
      </c>
      <c r="N1254">
        <v>140.11000000000001</v>
      </c>
      <c r="O1254" t="s">
        <v>34</v>
      </c>
      <c r="P1254">
        <v>2024</v>
      </c>
      <c r="Q1254" t="s">
        <v>3646</v>
      </c>
      <c r="R1254">
        <v>376.08300000000003</v>
      </c>
      <c r="S1254">
        <v>0.372550740129174</v>
      </c>
      <c r="T1254" t="s">
        <v>3632</v>
      </c>
      <c r="U1254" t="s">
        <v>3633</v>
      </c>
    </row>
    <row r="1255" spans="1:21" x14ac:dyDescent="0.25">
      <c r="A1255" t="s">
        <v>2404</v>
      </c>
      <c r="B1255" s="1">
        <v>45618</v>
      </c>
      <c r="C1255" t="s">
        <v>1404</v>
      </c>
      <c r="D1255" t="s">
        <v>30</v>
      </c>
      <c r="E1255" t="s">
        <v>37</v>
      </c>
      <c r="F1255" t="s">
        <v>26</v>
      </c>
      <c r="G1255" t="s">
        <v>42</v>
      </c>
      <c r="H1255" t="s">
        <v>294</v>
      </c>
      <c r="I1255">
        <v>6</v>
      </c>
      <c r="J1255">
        <v>259.75</v>
      </c>
      <c r="K1255">
        <v>0</v>
      </c>
      <c r="L1255">
        <v>1558.5</v>
      </c>
      <c r="M1255">
        <v>10.69</v>
      </c>
      <c r="N1255">
        <v>612.71</v>
      </c>
      <c r="O1255" t="s">
        <v>34</v>
      </c>
      <c r="P1255">
        <v>2024</v>
      </c>
      <c r="Q1255" t="s">
        <v>3646</v>
      </c>
      <c r="R1255">
        <v>1558.5</v>
      </c>
      <c r="S1255">
        <v>0.39314084055181298</v>
      </c>
      <c r="T1255" t="s">
        <v>3635</v>
      </c>
      <c r="U1255" t="s">
        <v>3633</v>
      </c>
    </row>
    <row r="1256" spans="1:21" x14ac:dyDescent="0.25">
      <c r="A1256" t="s">
        <v>2405</v>
      </c>
      <c r="B1256" s="1">
        <v>45620</v>
      </c>
      <c r="C1256" t="s">
        <v>2406</v>
      </c>
      <c r="D1256" t="s">
        <v>17</v>
      </c>
      <c r="E1256" t="s">
        <v>31</v>
      </c>
      <c r="F1256" t="s">
        <v>19</v>
      </c>
      <c r="G1256" t="s">
        <v>20</v>
      </c>
      <c r="H1256" t="s">
        <v>55</v>
      </c>
      <c r="I1256">
        <v>5</v>
      </c>
      <c r="J1256">
        <v>60.7</v>
      </c>
      <c r="K1256">
        <v>15</v>
      </c>
      <c r="L1256">
        <v>257.97000000000003</v>
      </c>
      <c r="M1256">
        <v>16.21</v>
      </c>
      <c r="N1256">
        <v>74.84</v>
      </c>
      <c r="O1256" t="s">
        <v>56</v>
      </c>
      <c r="P1256">
        <v>2024</v>
      </c>
      <c r="Q1256" t="s">
        <v>3646</v>
      </c>
      <c r="R1256">
        <v>219.27449999999999</v>
      </c>
      <c r="S1256">
        <v>0.34130735676058999</v>
      </c>
      <c r="T1256" t="s">
        <v>3632</v>
      </c>
      <c r="U1256" t="s">
        <v>3633</v>
      </c>
    </row>
    <row r="1257" spans="1:21" x14ac:dyDescent="0.25">
      <c r="A1257" t="s">
        <v>2407</v>
      </c>
      <c r="B1257" s="1">
        <v>45620</v>
      </c>
      <c r="C1257" t="s">
        <v>485</v>
      </c>
      <c r="D1257" t="s">
        <v>30</v>
      </c>
      <c r="E1257" t="s">
        <v>31</v>
      </c>
      <c r="F1257" t="s">
        <v>19</v>
      </c>
      <c r="G1257" t="s">
        <v>32</v>
      </c>
      <c r="H1257" t="s">
        <v>115</v>
      </c>
      <c r="I1257">
        <v>2</v>
      </c>
      <c r="J1257">
        <v>14.78</v>
      </c>
      <c r="K1257">
        <v>0</v>
      </c>
      <c r="L1257">
        <v>29.56</v>
      </c>
      <c r="M1257">
        <v>6.96</v>
      </c>
      <c r="N1257">
        <v>9.3000000000000007</v>
      </c>
      <c r="O1257" t="s">
        <v>39</v>
      </c>
      <c r="P1257">
        <v>2024</v>
      </c>
      <c r="Q1257" t="s">
        <v>3646</v>
      </c>
      <c r="R1257">
        <v>29.56</v>
      </c>
      <c r="S1257">
        <v>0.31461434370771302</v>
      </c>
      <c r="T1257" t="s">
        <v>3634</v>
      </c>
      <c r="U1257" t="s">
        <v>3633</v>
      </c>
    </row>
    <row r="1258" spans="1:21" x14ac:dyDescent="0.25">
      <c r="A1258" t="s">
        <v>2408</v>
      </c>
      <c r="B1258" s="1">
        <v>45620</v>
      </c>
      <c r="C1258" t="s">
        <v>2409</v>
      </c>
      <c r="D1258" t="s">
        <v>30</v>
      </c>
      <c r="E1258" t="s">
        <v>37</v>
      </c>
      <c r="F1258" t="s">
        <v>26</v>
      </c>
      <c r="G1258" t="s">
        <v>32</v>
      </c>
      <c r="H1258" t="s">
        <v>110</v>
      </c>
      <c r="I1258">
        <v>1</v>
      </c>
      <c r="J1258">
        <v>13.3</v>
      </c>
      <c r="K1258">
        <v>0</v>
      </c>
      <c r="L1258">
        <v>13.3</v>
      </c>
      <c r="M1258">
        <v>7.89</v>
      </c>
      <c r="N1258">
        <v>-0.56999999999999995</v>
      </c>
      <c r="O1258" t="s">
        <v>22</v>
      </c>
      <c r="P1258">
        <v>2024</v>
      </c>
      <c r="Q1258" t="s">
        <v>3646</v>
      </c>
      <c r="R1258">
        <v>13.3</v>
      </c>
      <c r="S1258">
        <v>-4.2857142857142802E-2</v>
      </c>
      <c r="T1258" t="s">
        <v>3634</v>
      </c>
      <c r="U1258" t="s">
        <v>3636</v>
      </c>
    </row>
    <row r="1259" spans="1:21" x14ac:dyDescent="0.25">
      <c r="A1259" t="s">
        <v>2410</v>
      </c>
      <c r="B1259" s="1">
        <v>45621</v>
      </c>
      <c r="C1259" t="s">
        <v>1188</v>
      </c>
      <c r="D1259" t="s">
        <v>30</v>
      </c>
      <c r="E1259" t="s">
        <v>129</v>
      </c>
      <c r="F1259" t="s">
        <v>19</v>
      </c>
      <c r="G1259" t="s">
        <v>69</v>
      </c>
      <c r="H1259" t="s">
        <v>243</v>
      </c>
      <c r="I1259">
        <v>4</v>
      </c>
      <c r="J1259">
        <v>18.59</v>
      </c>
      <c r="K1259">
        <v>5</v>
      </c>
      <c r="L1259">
        <v>70.64</v>
      </c>
      <c r="M1259">
        <v>9.08</v>
      </c>
      <c r="N1259">
        <v>24.38</v>
      </c>
      <c r="O1259" t="s">
        <v>34</v>
      </c>
      <c r="P1259">
        <v>2024</v>
      </c>
      <c r="Q1259" t="s">
        <v>3646</v>
      </c>
      <c r="R1259">
        <v>67.108000000000004</v>
      </c>
      <c r="S1259">
        <v>0.36329498718483599</v>
      </c>
      <c r="T1259" t="s">
        <v>3634</v>
      </c>
      <c r="U1259" t="s">
        <v>3633</v>
      </c>
    </row>
    <row r="1260" spans="1:21" x14ac:dyDescent="0.25">
      <c r="A1260" t="s">
        <v>2411</v>
      </c>
      <c r="B1260" s="1">
        <v>45621</v>
      </c>
      <c r="C1260" t="s">
        <v>1066</v>
      </c>
      <c r="D1260" t="s">
        <v>30</v>
      </c>
      <c r="E1260" t="s">
        <v>92</v>
      </c>
      <c r="F1260" t="s">
        <v>60</v>
      </c>
      <c r="G1260" t="s">
        <v>69</v>
      </c>
      <c r="H1260" t="s">
        <v>79</v>
      </c>
      <c r="I1260">
        <v>7</v>
      </c>
      <c r="J1260">
        <v>75.25</v>
      </c>
      <c r="K1260">
        <v>10</v>
      </c>
      <c r="L1260">
        <v>474.07</v>
      </c>
      <c r="M1260">
        <v>19.97</v>
      </c>
      <c r="N1260">
        <v>190.72</v>
      </c>
      <c r="O1260" t="s">
        <v>39</v>
      </c>
      <c r="P1260">
        <v>2024</v>
      </c>
      <c r="Q1260" t="s">
        <v>3646</v>
      </c>
      <c r="R1260">
        <v>426.66300000000001</v>
      </c>
      <c r="S1260">
        <v>0.44700384143926197</v>
      </c>
      <c r="T1260" t="s">
        <v>3632</v>
      </c>
      <c r="U1260" t="s">
        <v>3633</v>
      </c>
    </row>
    <row r="1261" spans="1:21" x14ac:dyDescent="0.25">
      <c r="A1261" t="s">
        <v>2412</v>
      </c>
      <c r="B1261" s="1">
        <v>45622</v>
      </c>
      <c r="C1261" t="s">
        <v>2413</v>
      </c>
      <c r="D1261" t="s">
        <v>30</v>
      </c>
      <c r="E1261" t="s">
        <v>166</v>
      </c>
      <c r="F1261" t="s">
        <v>60</v>
      </c>
      <c r="G1261" t="s">
        <v>42</v>
      </c>
      <c r="H1261" t="s">
        <v>46</v>
      </c>
      <c r="I1261">
        <v>3</v>
      </c>
      <c r="J1261">
        <v>181.78</v>
      </c>
      <c r="K1261">
        <v>5</v>
      </c>
      <c r="L1261">
        <v>518.07000000000005</v>
      </c>
      <c r="M1261">
        <v>11.35</v>
      </c>
      <c r="N1261">
        <v>179.52</v>
      </c>
      <c r="O1261" t="s">
        <v>39</v>
      </c>
      <c r="P1261">
        <v>2024</v>
      </c>
      <c r="Q1261" t="s">
        <v>3646</v>
      </c>
      <c r="R1261">
        <v>492.16649999999998</v>
      </c>
      <c r="S1261">
        <v>0.36475461048242802</v>
      </c>
      <c r="T1261" t="s">
        <v>3635</v>
      </c>
      <c r="U1261" t="s">
        <v>3633</v>
      </c>
    </row>
    <row r="1262" spans="1:21" x14ac:dyDescent="0.25">
      <c r="A1262" t="s">
        <v>2414</v>
      </c>
      <c r="B1262" s="1">
        <v>45622</v>
      </c>
      <c r="C1262" t="s">
        <v>2415</v>
      </c>
      <c r="D1262" t="s">
        <v>49</v>
      </c>
      <c r="E1262" t="s">
        <v>31</v>
      </c>
      <c r="F1262" t="s">
        <v>19</v>
      </c>
      <c r="G1262" t="s">
        <v>32</v>
      </c>
      <c r="H1262" t="s">
        <v>33</v>
      </c>
      <c r="I1262">
        <v>5</v>
      </c>
      <c r="J1262">
        <v>15.61</v>
      </c>
      <c r="K1262">
        <v>5</v>
      </c>
      <c r="L1262">
        <v>74.150000000000006</v>
      </c>
      <c r="M1262">
        <v>14.63</v>
      </c>
      <c r="N1262">
        <v>24.4</v>
      </c>
      <c r="O1262" t="s">
        <v>39</v>
      </c>
      <c r="P1262">
        <v>2024</v>
      </c>
      <c r="Q1262" t="s">
        <v>3646</v>
      </c>
      <c r="R1262">
        <v>70.442499999999995</v>
      </c>
      <c r="S1262">
        <v>0.34638180075948499</v>
      </c>
      <c r="T1262" t="s">
        <v>3634</v>
      </c>
      <c r="U1262" t="s">
        <v>3633</v>
      </c>
    </row>
    <row r="1263" spans="1:21" x14ac:dyDescent="0.25">
      <c r="A1263" t="s">
        <v>2416</v>
      </c>
      <c r="B1263" s="1">
        <v>45622</v>
      </c>
      <c r="C1263" t="s">
        <v>2417</v>
      </c>
      <c r="D1263" t="s">
        <v>17</v>
      </c>
      <c r="E1263" t="s">
        <v>248</v>
      </c>
      <c r="F1263" t="s">
        <v>26</v>
      </c>
      <c r="G1263" t="s">
        <v>32</v>
      </c>
      <c r="H1263" t="s">
        <v>50</v>
      </c>
      <c r="I1263">
        <v>2</v>
      </c>
      <c r="J1263">
        <v>11.05</v>
      </c>
      <c r="K1263">
        <v>5</v>
      </c>
      <c r="L1263">
        <v>21</v>
      </c>
      <c r="M1263">
        <v>8.64</v>
      </c>
      <c r="N1263">
        <v>2.41</v>
      </c>
      <c r="O1263" t="s">
        <v>39</v>
      </c>
      <c r="P1263">
        <v>2024</v>
      </c>
      <c r="Q1263" t="s">
        <v>3646</v>
      </c>
      <c r="R1263">
        <v>19.95</v>
      </c>
      <c r="S1263">
        <v>0.12080200501253099</v>
      </c>
      <c r="T1263" t="s">
        <v>3634</v>
      </c>
      <c r="U1263" t="s">
        <v>3633</v>
      </c>
    </row>
    <row r="1264" spans="1:21" x14ac:dyDescent="0.25">
      <c r="A1264" t="s">
        <v>2418</v>
      </c>
      <c r="B1264" s="1">
        <v>45624</v>
      </c>
      <c r="C1264" t="s">
        <v>2419</v>
      </c>
      <c r="D1264" t="s">
        <v>49</v>
      </c>
      <c r="E1264" t="s">
        <v>18</v>
      </c>
      <c r="F1264" t="s">
        <v>19</v>
      </c>
      <c r="G1264" t="s">
        <v>32</v>
      </c>
      <c r="H1264" t="s">
        <v>101</v>
      </c>
      <c r="I1264">
        <v>1</v>
      </c>
      <c r="J1264">
        <v>6.95</v>
      </c>
      <c r="K1264">
        <v>10</v>
      </c>
      <c r="L1264">
        <v>6.25</v>
      </c>
      <c r="M1264">
        <v>5.78</v>
      </c>
      <c r="N1264">
        <v>-2.66</v>
      </c>
      <c r="O1264" t="s">
        <v>34</v>
      </c>
      <c r="P1264">
        <v>2024</v>
      </c>
      <c r="Q1264" t="s">
        <v>3646</v>
      </c>
      <c r="R1264">
        <v>5.625</v>
      </c>
      <c r="S1264">
        <v>-0.47288888888888903</v>
      </c>
      <c r="T1264" t="s">
        <v>3634</v>
      </c>
      <c r="U1264" t="s">
        <v>3636</v>
      </c>
    </row>
    <row r="1265" spans="1:21" x14ac:dyDescent="0.25">
      <c r="A1265" t="s">
        <v>2420</v>
      </c>
      <c r="B1265" s="1">
        <v>45624</v>
      </c>
      <c r="C1265" t="s">
        <v>2421</v>
      </c>
      <c r="D1265" t="s">
        <v>49</v>
      </c>
      <c r="E1265" t="s">
        <v>121</v>
      </c>
      <c r="F1265" t="s">
        <v>68</v>
      </c>
      <c r="G1265" t="s">
        <v>32</v>
      </c>
      <c r="H1265" t="s">
        <v>101</v>
      </c>
      <c r="I1265">
        <v>7</v>
      </c>
      <c r="J1265">
        <v>17.170000000000002</v>
      </c>
      <c r="K1265">
        <v>20</v>
      </c>
      <c r="L1265">
        <v>96.15</v>
      </c>
      <c r="M1265">
        <v>24.44</v>
      </c>
      <c r="N1265">
        <v>17.62</v>
      </c>
      <c r="O1265" t="s">
        <v>39</v>
      </c>
      <c r="P1265">
        <v>2024</v>
      </c>
      <c r="Q1265" t="s">
        <v>3646</v>
      </c>
      <c r="R1265">
        <v>76.92</v>
      </c>
      <c r="S1265">
        <v>0.22906916276651099</v>
      </c>
      <c r="T1265" t="s">
        <v>3634</v>
      </c>
      <c r="U1265" t="s">
        <v>3633</v>
      </c>
    </row>
    <row r="1266" spans="1:21" x14ac:dyDescent="0.25">
      <c r="A1266" t="s">
        <v>2422</v>
      </c>
      <c r="B1266" s="1">
        <v>45624</v>
      </c>
      <c r="C1266" t="s">
        <v>1797</v>
      </c>
      <c r="D1266" t="s">
        <v>17</v>
      </c>
      <c r="E1266" t="s">
        <v>76</v>
      </c>
      <c r="F1266" t="s">
        <v>26</v>
      </c>
      <c r="G1266" t="s">
        <v>69</v>
      </c>
      <c r="H1266" t="s">
        <v>163</v>
      </c>
      <c r="I1266">
        <v>2</v>
      </c>
      <c r="J1266">
        <v>50.22</v>
      </c>
      <c r="K1266">
        <v>10</v>
      </c>
      <c r="L1266">
        <v>90.4</v>
      </c>
      <c r="M1266">
        <v>9.49</v>
      </c>
      <c r="N1266">
        <v>30.69</v>
      </c>
      <c r="O1266" t="s">
        <v>34</v>
      </c>
      <c r="P1266">
        <v>2024</v>
      </c>
      <c r="Q1266" t="s">
        <v>3646</v>
      </c>
      <c r="R1266">
        <v>81.36</v>
      </c>
      <c r="S1266">
        <v>0.37721238938053098</v>
      </c>
      <c r="T1266" t="s">
        <v>3634</v>
      </c>
      <c r="U1266" t="s">
        <v>3633</v>
      </c>
    </row>
    <row r="1267" spans="1:21" x14ac:dyDescent="0.25">
      <c r="A1267" t="s">
        <v>2423</v>
      </c>
      <c r="B1267" s="1">
        <v>45625</v>
      </c>
      <c r="C1267" t="s">
        <v>2424</v>
      </c>
      <c r="D1267" t="s">
        <v>30</v>
      </c>
      <c r="E1267" t="s">
        <v>25</v>
      </c>
      <c r="F1267" t="s">
        <v>26</v>
      </c>
      <c r="G1267" t="s">
        <v>20</v>
      </c>
      <c r="H1267" t="s">
        <v>106</v>
      </c>
      <c r="I1267">
        <v>1</v>
      </c>
      <c r="J1267">
        <v>66.12</v>
      </c>
      <c r="K1267">
        <v>20</v>
      </c>
      <c r="L1267">
        <v>52.9</v>
      </c>
      <c r="M1267">
        <v>8.77</v>
      </c>
      <c r="N1267">
        <v>7.76</v>
      </c>
      <c r="O1267" t="s">
        <v>56</v>
      </c>
      <c r="P1267">
        <v>2024</v>
      </c>
      <c r="Q1267" t="s">
        <v>3646</v>
      </c>
      <c r="R1267">
        <v>42.32</v>
      </c>
      <c r="S1267">
        <v>0.18336483931947101</v>
      </c>
      <c r="T1267" t="s">
        <v>3634</v>
      </c>
      <c r="U1267" t="s">
        <v>3633</v>
      </c>
    </row>
    <row r="1268" spans="1:21" x14ac:dyDescent="0.25">
      <c r="A1268" t="s">
        <v>2425</v>
      </c>
      <c r="B1268" s="1">
        <v>45626</v>
      </c>
      <c r="C1268" t="s">
        <v>2426</v>
      </c>
      <c r="D1268" t="s">
        <v>17</v>
      </c>
      <c r="E1268" t="s">
        <v>31</v>
      </c>
      <c r="F1268" t="s">
        <v>19</v>
      </c>
      <c r="G1268" t="s">
        <v>69</v>
      </c>
      <c r="H1268" t="s">
        <v>160</v>
      </c>
      <c r="I1268">
        <v>4</v>
      </c>
      <c r="J1268">
        <v>36.61</v>
      </c>
      <c r="K1268">
        <v>25</v>
      </c>
      <c r="L1268">
        <v>109.83</v>
      </c>
      <c r="M1268">
        <v>11.22</v>
      </c>
      <c r="N1268">
        <v>25.39</v>
      </c>
      <c r="O1268" t="s">
        <v>39</v>
      </c>
      <c r="P1268">
        <v>2024</v>
      </c>
      <c r="Q1268" t="s">
        <v>3646</v>
      </c>
      <c r="R1268">
        <v>82.372500000000002</v>
      </c>
      <c r="S1268">
        <v>0.30823393729703502</v>
      </c>
      <c r="T1268" t="s">
        <v>3632</v>
      </c>
      <c r="U1268" t="s">
        <v>3633</v>
      </c>
    </row>
    <row r="1269" spans="1:21" x14ac:dyDescent="0.25">
      <c r="A1269" t="s">
        <v>2427</v>
      </c>
      <c r="B1269" s="1">
        <v>45626</v>
      </c>
      <c r="C1269" t="s">
        <v>189</v>
      </c>
      <c r="D1269" t="s">
        <v>17</v>
      </c>
      <c r="E1269" t="s">
        <v>18</v>
      </c>
      <c r="F1269" t="s">
        <v>19</v>
      </c>
      <c r="G1269" t="s">
        <v>20</v>
      </c>
      <c r="H1269" t="s">
        <v>264</v>
      </c>
      <c r="I1269">
        <v>12</v>
      </c>
      <c r="J1269">
        <v>54.74</v>
      </c>
      <c r="K1269">
        <v>10</v>
      </c>
      <c r="L1269">
        <v>591.19000000000005</v>
      </c>
      <c r="M1269">
        <v>18.95</v>
      </c>
      <c r="N1269">
        <v>210.96</v>
      </c>
      <c r="O1269" t="s">
        <v>39</v>
      </c>
      <c r="P1269">
        <v>2024</v>
      </c>
      <c r="Q1269" t="s">
        <v>3646</v>
      </c>
      <c r="R1269">
        <v>532.07100000000003</v>
      </c>
      <c r="S1269">
        <v>0.396488438573048</v>
      </c>
      <c r="T1269" t="s">
        <v>3635</v>
      </c>
      <c r="U1269" t="s">
        <v>3633</v>
      </c>
    </row>
    <row r="1270" spans="1:21" x14ac:dyDescent="0.25">
      <c r="A1270" t="s">
        <v>2428</v>
      </c>
      <c r="B1270" s="1">
        <v>45626</v>
      </c>
      <c r="C1270" t="s">
        <v>2429</v>
      </c>
      <c r="D1270" t="s">
        <v>17</v>
      </c>
      <c r="E1270" t="s">
        <v>76</v>
      </c>
      <c r="F1270" t="s">
        <v>26</v>
      </c>
      <c r="G1270" t="s">
        <v>69</v>
      </c>
      <c r="H1270" t="s">
        <v>86</v>
      </c>
      <c r="I1270">
        <v>7</v>
      </c>
      <c r="J1270">
        <v>81.97</v>
      </c>
      <c r="K1270">
        <v>0</v>
      </c>
      <c r="L1270">
        <v>573.79</v>
      </c>
      <c r="M1270">
        <v>17.03</v>
      </c>
      <c r="N1270">
        <v>269.87</v>
      </c>
      <c r="O1270" t="s">
        <v>39</v>
      </c>
      <c r="P1270">
        <v>2024</v>
      </c>
      <c r="Q1270" t="s">
        <v>3646</v>
      </c>
      <c r="R1270">
        <v>573.79</v>
      </c>
      <c r="S1270">
        <v>0.47032886596141399</v>
      </c>
      <c r="T1270" t="s">
        <v>3635</v>
      </c>
      <c r="U1270" t="s">
        <v>3633</v>
      </c>
    </row>
    <row r="1271" spans="1:21" x14ac:dyDescent="0.25">
      <c r="A1271" t="s">
        <v>2430</v>
      </c>
      <c r="B1271" s="1">
        <v>45626</v>
      </c>
      <c r="C1271" t="s">
        <v>617</v>
      </c>
      <c r="D1271" t="s">
        <v>30</v>
      </c>
      <c r="E1271" t="s">
        <v>31</v>
      </c>
      <c r="F1271" t="s">
        <v>19</v>
      </c>
      <c r="G1271" t="s">
        <v>42</v>
      </c>
      <c r="H1271" t="s">
        <v>294</v>
      </c>
      <c r="I1271">
        <v>6</v>
      </c>
      <c r="J1271">
        <v>120.71</v>
      </c>
      <c r="K1271">
        <v>5</v>
      </c>
      <c r="L1271">
        <v>688.05</v>
      </c>
      <c r="M1271">
        <v>16.62</v>
      </c>
      <c r="N1271">
        <v>236.87</v>
      </c>
      <c r="O1271" t="s">
        <v>34</v>
      </c>
      <c r="P1271">
        <v>2024</v>
      </c>
      <c r="Q1271" t="s">
        <v>3646</v>
      </c>
      <c r="R1271">
        <v>653.64750000000004</v>
      </c>
      <c r="S1271">
        <v>0.36238186484305401</v>
      </c>
      <c r="T1271" t="s">
        <v>3635</v>
      </c>
      <c r="U1271" t="s">
        <v>3633</v>
      </c>
    </row>
    <row r="1272" spans="1:21" x14ac:dyDescent="0.25">
      <c r="A1272" t="s">
        <v>2431</v>
      </c>
      <c r="B1272" s="1">
        <v>45627</v>
      </c>
      <c r="C1272" t="s">
        <v>2432</v>
      </c>
      <c r="D1272" t="s">
        <v>30</v>
      </c>
      <c r="E1272" t="s">
        <v>67</v>
      </c>
      <c r="F1272" t="s">
        <v>68</v>
      </c>
      <c r="G1272" t="s">
        <v>20</v>
      </c>
      <c r="H1272" t="s">
        <v>122</v>
      </c>
      <c r="I1272">
        <v>6</v>
      </c>
      <c r="J1272">
        <v>62.59</v>
      </c>
      <c r="K1272">
        <v>0</v>
      </c>
      <c r="L1272">
        <v>375.54</v>
      </c>
      <c r="M1272">
        <v>23.28</v>
      </c>
      <c r="N1272">
        <v>145.71</v>
      </c>
      <c r="O1272" t="s">
        <v>34</v>
      </c>
      <c r="P1272">
        <v>2024</v>
      </c>
      <c r="Q1272" t="s">
        <v>3647</v>
      </c>
      <c r="R1272">
        <v>375.54</v>
      </c>
      <c r="S1272">
        <v>0.38800127815945001</v>
      </c>
      <c r="T1272" t="s">
        <v>3632</v>
      </c>
      <c r="U1272" t="s">
        <v>3633</v>
      </c>
    </row>
    <row r="1273" spans="1:21" x14ac:dyDescent="0.25">
      <c r="A1273" t="s">
        <v>2433</v>
      </c>
      <c r="B1273" s="1">
        <v>45628</v>
      </c>
      <c r="C1273" t="s">
        <v>2434</v>
      </c>
      <c r="D1273" t="s">
        <v>17</v>
      </c>
      <c r="E1273" t="s">
        <v>135</v>
      </c>
      <c r="F1273" t="s">
        <v>26</v>
      </c>
      <c r="G1273" t="s">
        <v>20</v>
      </c>
      <c r="H1273" t="s">
        <v>264</v>
      </c>
      <c r="I1273">
        <v>8</v>
      </c>
      <c r="J1273">
        <v>63.14</v>
      </c>
      <c r="K1273">
        <v>15</v>
      </c>
      <c r="L1273">
        <v>429.35</v>
      </c>
      <c r="M1273">
        <v>19.46</v>
      </c>
      <c r="N1273">
        <v>132.07</v>
      </c>
      <c r="O1273" t="s">
        <v>39</v>
      </c>
      <c r="P1273">
        <v>2024</v>
      </c>
      <c r="Q1273" t="s">
        <v>3647</v>
      </c>
      <c r="R1273">
        <v>364.94749999999999</v>
      </c>
      <c r="S1273">
        <v>0.36188766877427597</v>
      </c>
      <c r="T1273" t="s">
        <v>3632</v>
      </c>
      <c r="U1273" t="s">
        <v>3633</v>
      </c>
    </row>
    <row r="1274" spans="1:21" x14ac:dyDescent="0.25">
      <c r="A1274" t="s">
        <v>2435</v>
      </c>
      <c r="B1274" s="1">
        <v>45629</v>
      </c>
      <c r="C1274" t="s">
        <v>1928</v>
      </c>
      <c r="D1274" t="s">
        <v>30</v>
      </c>
      <c r="E1274" t="s">
        <v>76</v>
      </c>
      <c r="F1274" t="s">
        <v>26</v>
      </c>
      <c r="G1274" t="s">
        <v>69</v>
      </c>
      <c r="H1274" t="s">
        <v>243</v>
      </c>
      <c r="I1274">
        <v>6</v>
      </c>
      <c r="J1274">
        <v>38.82</v>
      </c>
      <c r="K1274">
        <v>15</v>
      </c>
      <c r="L1274">
        <v>197.98</v>
      </c>
      <c r="M1274">
        <v>19.03</v>
      </c>
      <c r="N1274">
        <v>62.49</v>
      </c>
      <c r="O1274" t="s">
        <v>39</v>
      </c>
      <c r="P1274">
        <v>2024</v>
      </c>
      <c r="Q1274" t="s">
        <v>3647</v>
      </c>
      <c r="R1274">
        <v>168.28299999999999</v>
      </c>
      <c r="S1274">
        <v>0.37133875673716299</v>
      </c>
      <c r="T1274" t="s">
        <v>3632</v>
      </c>
      <c r="U1274" t="s">
        <v>3633</v>
      </c>
    </row>
    <row r="1275" spans="1:21" x14ac:dyDescent="0.25">
      <c r="A1275" t="s">
        <v>2436</v>
      </c>
      <c r="B1275" s="1">
        <v>45629</v>
      </c>
      <c r="C1275" t="s">
        <v>2437</v>
      </c>
      <c r="D1275" t="s">
        <v>17</v>
      </c>
      <c r="E1275" t="s">
        <v>169</v>
      </c>
      <c r="F1275" t="s">
        <v>68</v>
      </c>
      <c r="G1275" t="s">
        <v>42</v>
      </c>
      <c r="H1275" t="s">
        <v>89</v>
      </c>
      <c r="I1275">
        <v>1</v>
      </c>
      <c r="J1275">
        <v>446.58</v>
      </c>
      <c r="K1275">
        <v>15</v>
      </c>
      <c r="L1275">
        <v>379.59</v>
      </c>
      <c r="M1275">
        <v>10.59</v>
      </c>
      <c r="N1275">
        <v>101.05</v>
      </c>
      <c r="O1275" t="s">
        <v>34</v>
      </c>
      <c r="P1275">
        <v>2024</v>
      </c>
      <c r="Q1275" t="s">
        <v>3647</v>
      </c>
      <c r="R1275">
        <v>322.6515</v>
      </c>
      <c r="S1275">
        <v>0.31318620864926999</v>
      </c>
      <c r="T1275" t="s">
        <v>3632</v>
      </c>
      <c r="U1275" t="s">
        <v>3633</v>
      </c>
    </row>
    <row r="1276" spans="1:21" x14ac:dyDescent="0.25">
      <c r="A1276" t="s">
        <v>2438</v>
      </c>
      <c r="B1276" s="1">
        <v>45629</v>
      </c>
      <c r="C1276" t="s">
        <v>1540</v>
      </c>
      <c r="D1276" t="s">
        <v>49</v>
      </c>
      <c r="E1276" t="s">
        <v>31</v>
      </c>
      <c r="F1276" t="s">
        <v>19</v>
      </c>
      <c r="G1276" t="s">
        <v>69</v>
      </c>
      <c r="H1276" t="s">
        <v>160</v>
      </c>
      <c r="I1276">
        <v>3</v>
      </c>
      <c r="J1276">
        <v>24.35</v>
      </c>
      <c r="K1276">
        <v>15</v>
      </c>
      <c r="L1276">
        <v>62.09</v>
      </c>
      <c r="M1276">
        <v>8.1</v>
      </c>
      <c r="N1276">
        <v>17.46</v>
      </c>
      <c r="O1276" t="s">
        <v>22</v>
      </c>
      <c r="P1276">
        <v>2024</v>
      </c>
      <c r="Q1276" t="s">
        <v>3647</v>
      </c>
      <c r="R1276">
        <v>52.776499999999999</v>
      </c>
      <c r="S1276">
        <v>0.33082906217729502</v>
      </c>
      <c r="T1276" t="s">
        <v>3634</v>
      </c>
      <c r="U1276" t="s">
        <v>3633</v>
      </c>
    </row>
    <row r="1277" spans="1:21" x14ac:dyDescent="0.25">
      <c r="A1277" t="s">
        <v>2439</v>
      </c>
      <c r="B1277" s="1">
        <v>45631</v>
      </c>
      <c r="C1277" t="s">
        <v>2440</v>
      </c>
      <c r="D1277" t="s">
        <v>30</v>
      </c>
      <c r="E1277" t="s">
        <v>85</v>
      </c>
      <c r="F1277" t="s">
        <v>60</v>
      </c>
      <c r="G1277" t="s">
        <v>32</v>
      </c>
      <c r="H1277" t="s">
        <v>132</v>
      </c>
      <c r="I1277">
        <v>6</v>
      </c>
      <c r="J1277">
        <v>7.36</v>
      </c>
      <c r="K1277">
        <v>10</v>
      </c>
      <c r="L1277">
        <v>39.74</v>
      </c>
      <c r="M1277">
        <v>18.57</v>
      </c>
      <c r="N1277">
        <v>1.3</v>
      </c>
      <c r="O1277" t="s">
        <v>56</v>
      </c>
      <c r="P1277">
        <v>2024</v>
      </c>
      <c r="Q1277" t="s">
        <v>3647</v>
      </c>
      <c r="R1277">
        <v>35.765999999999998</v>
      </c>
      <c r="S1277">
        <v>3.6347369009674002E-2</v>
      </c>
      <c r="T1277" t="s">
        <v>3634</v>
      </c>
      <c r="U1277" t="s">
        <v>3633</v>
      </c>
    </row>
    <row r="1278" spans="1:21" x14ac:dyDescent="0.25">
      <c r="A1278" t="s">
        <v>2441</v>
      </c>
      <c r="B1278" s="1">
        <v>45631</v>
      </c>
      <c r="C1278" t="s">
        <v>2442</v>
      </c>
      <c r="D1278" t="s">
        <v>17</v>
      </c>
      <c r="E1278" t="s">
        <v>129</v>
      </c>
      <c r="F1278" t="s">
        <v>19</v>
      </c>
      <c r="G1278" t="s">
        <v>42</v>
      </c>
      <c r="H1278" t="s">
        <v>43</v>
      </c>
      <c r="I1278">
        <v>3</v>
      </c>
      <c r="J1278">
        <v>250.01</v>
      </c>
      <c r="K1278">
        <v>10</v>
      </c>
      <c r="L1278">
        <v>675.03</v>
      </c>
      <c r="M1278">
        <v>7.92</v>
      </c>
      <c r="N1278">
        <v>217.09</v>
      </c>
      <c r="O1278" t="s">
        <v>39</v>
      </c>
      <c r="P1278">
        <v>2024</v>
      </c>
      <c r="Q1278" t="s">
        <v>3647</v>
      </c>
      <c r="R1278">
        <v>607.52700000000004</v>
      </c>
      <c r="S1278">
        <v>0.35733391273145099</v>
      </c>
      <c r="T1278" t="s">
        <v>3635</v>
      </c>
      <c r="U1278" t="s">
        <v>3633</v>
      </c>
    </row>
    <row r="1279" spans="1:21" x14ac:dyDescent="0.25">
      <c r="A1279" t="s">
        <v>2443</v>
      </c>
      <c r="B1279" s="1">
        <v>45632</v>
      </c>
      <c r="C1279" t="s">
        <v>2444</v>
      </c>
      <c r="D1279" t="s">
        <v>17</v>
      </c>
      <c r="E1279" t="s">
        <v>85</v>
      </c>
      <c r="F1279" t="s">
        <v>60</v>
      </c>
      <c r="G1279" t="s">
        <v>32</v>
      </c>
      <c r="H1279" t="s">
        <v>115</v>
      </c>
      <c r="I1279">
        <v>1</v>
      </c>
      <c r="J1279">
        <v>16.46</v>
      </c>
      <c r="K1279">
        <v>25</v>
      </c>
      <c r="L1279">
        <v>12.35</v>
      </c>
      <c r="M1279">
        <v>11.48</v>
      </c>
      <c r="N1279">
        <v>-6.54</v>
      </c>
      <c r="O1279" t="s">
        <v>39</v>
      </c>
      <c r="P1279">
        <v>2024</v>
      </c>
      <c r="Q1279" t="s">
        <v>3647</v>
      </c>
      <c r="R1279">
        <v>9.2624999999999993</v>
      </c>
      <c r="S1279">
        <v>-0.70607287449392697</v>
      </c>
      <c r="T1279" t="s">
        <v>3634</v>
      </c>
      <c r="U1279" t="s">
        <v>3636</v>
      </c>
    </row>
    <row r="1280" spans="1:21" x14ac:dyDescent="0.25">
      <c r="A1280" t="s">
        <v>2445</v>
      </c>
      <c r="B1280" s="1">
        <v>45634</v>
      </c>
      <c r="C1280" t="s">
        <v>2446</v>
      </c>
      <c r="D1280" t="s">
        <v>17</v>
      </c>
      <c r="E1280" t="s">
        <v>129</v>
      </c>
      <c r="F1280" t="s">
        <v>19</v>
      </c>
      <c r="G1280" t="s">
        <v>69</v>
      </c>
      <c r="H1280" t="s">
        <v>139</v>
      </c>
      <c r="I1280">
        <v>2</v>
      </c>
      <c r="J1280">
        <v>66.53</v>
      </c>
      <c r="K1280">
        <v>5</v>
      </c>
      <c r="L1280">
        <v>126.41</v>
      </c>
      <c r="M1280">
        <v>9.3800000000000008</v>
      </c>
      <c r="N1280">
        <v>50.5</v>
      </c>
      <c r="O1280" t="s">
        <v>34</v>
      </c>
      <c r="P1280">
        <v>2024</v>
      </c>
      <c r="Q1280" t="s">
        <v>3647</v>
      </c>
      <c r="R1280">
        <v>120.0895</v>
      </c>
      <c r="S1280">
        <v>0.42051969572693698</v>
      </c>
      <c r="T1280" t="s">
        <v>3632</v>
      </c>
      <c r="U1280" t="s">
        <v>3633</v>
      </c>
    </row>
    <row r="1281" spans="1:21" x14ac:dyDescent="0.25">
      <c r="A1281" t="s">
        <v>2447</v>
      </c>
      <c r="B1281" s="1">
        <v>45634</v>
      </c>
      <c r="C1281" t="s">
        <v>2448</v>
      </c>
      <c r="D1281" t="s">
        <v>17</v>
      </c>
      <c r="E1281" t="s">
        <v>248</v>
      </c>
      <c r="F1281" t="s">
        <v>26</v>
      </c>
      <c r="G1281" t="s">
        <v>69</v>
      </c>
      <c r="H1281" t="s">
        <v>243</v>
      </c>
      <c r="I1281">
        <v>3</v>
      </c>
      <c r="J1281">
        <v>45.43</v>
      </c>
      <c r="K1281">
        <v>0</v>
      </c>
      <c r="L1281">
        <v>136.29</v>
      </c>
      <c r="M1281">
        <v>9.9499999999999993</v>
      </c>
      <c r="N1281">
        <v>58.19</v>
      </c>
      <c r="O1281" t="s">
        <v>34</v>
      </c>
      <c r="P1281">
        <v>2024</v>
      </c>
      <c r="Q1281" t="s">
        <v>3647</v>
      </c>
      <c r="R1281">
        <v>136.29</v>
      </c>
      <c r="S1281">
        <v>0.42695722356739302</v>
      </c>
      <c r="T1281" t="s">
        <v>3632</v>
      </c>
      <c r="U1281" t="s">
        <v>3633</v>
      </c>
    </row>
    <row r="1282" spans="1:21" x14ac:dyDescent="0.25">
      <c r="A1282" t="s">
        <v>2449</v>
      </c>
      <c r="B1282" s="1">
        <v>45634</v>
      </c>
      <c r="C1282" t="s">
        <v>2450</v>
      </c>
      <c r="D1282" t="s">
        <v>30</v>
      </c>
      <c r="E1282" t="s">
        <v>18</v>
      </c>
      <c r="F1282" t="s">
        <v>19</v>
      </c>
      <c r="G1282" t="s">
        <v>32</v>
      </c>
      <c r="H1282" t="s">
        <v>132</v>
      </c>
      <c r="I1282">
        <v>2</v>
      </c>
      <c r="J1282">
        <v>11.64</v>
      </c>
      <c r="K1282">
        <v>0</v>
      </c>
      <c r="L1282">
        <v>23.28</v>
      </c>
      <c r="M1282">
        <v>8.51</v>
      </c>
      <c r="N1282">
        <v>4.29</v>
      </c>
      <c r="O1282" t="s">
        <v>34</v>
      </c>
      <c r="P1282">
        <v>2024</v>
      </c>
      <c r="Q1282" t="s">
        <v>3647</v>
      </c>
      <c r="R1282">
        <v>23.28</v>
      </c>
      <c r="S1282">
        <v>0.18427835051546401</v>
      </c>
      <c r="T1282" t="s">
        <v>3634</v>
      </c>
      <c r="U1282" t="s">
        <v>3633</v>
      </c>
    </row>
    <row r="1283" spans="1:21" x14ac:dyDescent="0.25">
      <c r="A1283" t="s">
        <v>2451</v>
      </c>
      <c r="B1283" s="1">
        <v>45635</v>
      </c>
      <c r="C1283" t="s">
        <v>2452</v>
      </c>
      <c r="D1283" t="s">
        <v>30</v>
      </c>
      <c r="E1283" t="s">
        <v>129</v>
      </c>
      <c r="F1283" t="s">
        <v>19</v>
      </c>
      <c r="G1283" t="s">
        <v>20</v>
      </c>
      <c r="H1283" t="s">
        <v>27</v>
      </c>
      <c r="I1283">
        <v>4</v>
      </c>
      <c r="J1283">
        <v>171.86</v>
      </c>
      <c r="K1283">
        <v>0</v>
      </c>
      <c r="L1283">
        <v>687.44</v>
      </c>
      <c r="M1283">
        <v>13.48</v>
      </c>
      <c r="N1283">
        <v>295.87</v>
      </c>
      <c r="O1283" t="s">
        <v>39</v>
      </c>
      <c r="P1283">
        <v>2024</v>
      </c>
      <c r="Q1283" t="s">
        <v>3647</v>
      </c>
      <c r="R1283">
        <v>687.44</v>
      </c>
      <c r="S1283">
        <v>0.430393925288025</v>
      </c>
      <c r="T1283" t="s">
        <v>3635</v>
      </c>
      <c r="U1283" t="s">
        <v>3633</v>
      </c>
    </row>
    <row r="1284" spans="1:21" x14ac:dyDescent="0.25">
      <c r="A1284" t="s">
        <v>2453</v>
      </c>
      <c r="B1284" s="1">
        <v>45635</v>
      </c>
      <c r="C1284" t="s">
        <v>2454</v>
      </c>
      <c r="D1284" t="s">
        <v>49</v>
      </c>
      <c r="E1284" t="s">
        <v>148</v>
      </c>
      <c r="F1284" t="s">
        <v>60</v>
      </c>
      <c r="G1284" t="s">
        <v>20</v>
      </c>
      <c r="H1284" t="s">
        <v>106</v>
      </c>
      <c r="I1284">
        <v>1</v>
      </c>
      <c r="J1284">
        <v>36.61</v>
      </c>
      <c r="K1284">
        <v>10</v>
      </c>
      <c r="L1284">
        <v>32.950000000000003</v>
      </c>
      <c r="M1284">
        <v>10.73</v>
      </c>
      <c r="N1284">
        <v>2.08</v>
      </c>
      <c r="O1284" t="s">
        <v>39</v>
      </c>
      <c r="P1284">
        <v>2024</v>
      </c>
      <c r="Q1284" t="s">
        <v>3647</v>
      </c>
      <c r="R1284">
        <v>29.655000000000001</v>
      </c>
      <c r="S1284">
        <v>7.0139942674085298E-2</v>
      </c>
      <c r="T1284" t="s">
        <v>3634</v>
      </c>
      <c r="U1284" t="s">
        <v>3633</v>
      </c>
    </row>
    <row r="1285" spans="1:21" x14ac:dyDescent="0.25">
      <c r="A1285" t="s">
        <v>2455</v>
      </c>
      <c r="B1285" s="1">
        <v>45635</v>
      </c>
      <c r="C1285" t="s">
        <v>2244</v>
      </c>
      <c r="D1285" t="s">
        <v>30</v>
      </c>
      <c r="E1285" t="s">
        <v>129</v>
      </c>
      <c r="F1285" t="s">
        <v>19</v>
      </c>
      <c r="G1285" t="s">
        <v>69</v>
      </c>
      <c r="H1285" t="s">
        <v>305</v>
      </c>
      <c r="I1285">
        <v>3</v>
      </c>
      <c r="J1285">
        <v>25.68</v>
      </c>
      <c r="K1285">
        <v>0</v>
      </c>
      <c r="L1285">
        <v>77.040000000000006</v>
      </c>
      <c r="M1285">
        <v>10.44</v>
      </c>
      <c r="N1285">
        <v>28.08</v>
      </c>
      <c r="O1285" t="s">
        <v>34</v>
      </c>
      <c r="P1285">
        <v>2024</v>
      </c>
      <c r="Q1285" t="s">
        <v>3647</v>
      </c>
      <c r="R1285">
        <v>77.040000000000006</v>
      </c>
      <c r="S1285">
        <v>0.36448598130841098</v>
      </c>
      <c r="T1285" t="s">
        <v>3634</v>
      </c>
      <c r="U1285" t="s">
        <v>3633</v>
      </c>
    </row>
    <row r="1286" spans="1:21" x14ac:dyDescent="0.25">
      <c r="A1286" t="s">
        <v>2456</v>
      </c>
      <c r="B1286" s="1">
        <v>45635</v>
      </c>
      <c r="C1286" t="s">
        <v>2457</v>
      </c>
      <c r="D1286" t="s">
        <v>30</v>
      </c>
      <c r="E1286" t="s">
        <v>109</v>
      </c>
      <c r="F1286" t="s">
        <v>54</v>
      </c>
      <c r="G1286" t="s">
        <v>69</v>
      </c>
      <c r="H1286" t="s">
        <v>305</v>
      </c>
      <c r="I1286">
        <v>4</v>
      </c>
      <c r="J1286">
        <v>55.09</v>
      </c>
      <c r="K1286">
        <v>0</v>
      </c>
      <c r="L1286">
        <v>220.36</v>
      </c>
      <c r="M1286">
        <v>17.41</v>
      </c>
      <c r="N1286">
        <v>92.77</v>
      </c>
      <c r="O1286" t="s">
        <v>22</v>
      </c>
      <c r="P1286">
        <v>2024</v>
      </c>
      <c r="Q1286" t="s">
        <v>3647</v>
      </c>
      <c r="R1286">
        <v>220.36</v>
      </c>
      <c r="S1286">
        <v>0.42099292067525901</v>
      </c>
      <c r="T1286" t="s">
        <v>3632</v>
      </c>
      <c r="U1286" t="s">
        <v>3633</v>
      </c>
    </row>
    <row r="1287" spans="1:21" x14ac:dyDescent="0.25">
      <c r="A1287" t="s">
        <v>2458</v>
      </c>
      <c r="B1287" s="1">
        <v>45636</v>
      </c>
      <c r="C1287" t="s">
        <v>2459</v>
      </c>
      <c r="D1287" t="s">
        <v>30</v>
      </c>
      <c r="E1287" t="s">
        <v>59</v>
      </c>
      <c r="F1287" t="s">
        <v>60</v>
      </c>
      <c r="G1287" t="s">
        <v>32</v>
      </c>
      <c r="H1287" t="s">
        <v>101</v>
      </c>
      <c r="I1287">
        <v>1</v>
      </c>
      <c r="J1287">
        <v>14.87</v>
      </c>
      <c r="K1287">
        <v>10</v>
      </c>
      <c r="L1287">
        <v>13.38</v>
      </c>
      <c r="M1287">
        <v>10.11</v>
      </c>
      <c r="N1287">
        <v>-3.42</v>
      </c>
      <c r="O1287" t="s">
        <v>39</v>
      </c>
      <c r="P1287">
        <v>2024</v>
      </c>
      <c r="Q1287" t="s">
        <v>3647</v>
      </c>
      <c r="R1287">
        <v>12.042</v>
      </c>
      <c r="S1287">
        <v>-0.28400597907324399</v>
      </c>
      <c r="T1287" t="s">
        <v>3634</v>
      </c>
      <c r="U1287" t="s">
        <v>3636</v>
      </c>
    </row>
    <row r="1288" spans="1:21" x14ac:dyDescent="0.25">
      <c r="A1288" t="s">
        <v>2460</v>
      </c>
      <c r="B1288" s="1">
        <v>45636</v>
      </c>
      <c r="C1288" t="s">
        <v>2461</v>
      </c>
      <c r="D1288" t="s">
        <v>17</v>
      </c>
      <c r="E1288" t="s">
        <v>248</v>
      </c>
      <c r="F1288" t="s">
        <v>26</v>
      </c>
      <c r="G1288" t="s">
        <v>42</v>
      </c>
      <c r="H1288" t="s">
        <v>43</v>
      </c>
      <c r="I1288">
        <v>6</v>
      </c>
      <c r="J1288">
        <v>282.23</v>
      </c>
      <c r="K1288">
        <v>5</v>
      </c>
      <c r="L1288">
        <v>1608.71</v>
      </c>
      <c r="M1288">
        <v>20.02</v>
      </c>
      <c r="N1288">
        <v>572.66</v>
      </c>
      <c r="O1288" t="s">
        <v>34</v>
      </c>
      <c r="P1288">
        <v>2024</v>
      </c>
      <c r="Q1288" t="s">
        <v>3647</v>
      </c>
      <c r="R1288">
        <v>1528.2745</v>
      </c>
      <c r="S1288">
        <v>0.37471017150387598</v>
      </c>
      <c r="T1288" t="s">
        <v>3635</v>
      </c>
      <c r="U1288" t="s">
        <v>3633</v>
      </c>
    </row>
    <row r="1289" spans="1:21" x14ac:dyDescent="0.25">
      <c r="A1289" t="s">
        <v>2462</v>
      </c>
      <c r="B1289" s="1">
        <v>45637</v>
      </c>
      <c r="C1289" t="s">
        <v>2463</v>
      </c>
      <c r="D1289" t="s">
        <v>30</v>
      </c>
      <c r="E1289" t="s">
        <v>92</v>
      </c>
      <c r="F1289" t="s">
        <v>60</v>
      </c>
      <c r="G1289" t="s">
        <v>32</v>
      </c>
      <c r="H1289" t="s">
        <v>73</v>
      </c>
      <c r="I1289">
        <v>6</v>
      </c>
      <c r="J1289">
        <v>5.74</v>
      </c>
      <c r="K1289">
        <v>15</v>
      </c>
      <c r="L1289">
        <v>29.27</v>
      </c>
      <c r="M1289">
        <v>16.98</v>
      </c>
      <c r="N1289">
        <v>-3.21</v>
      </c>
      <c r="O1289" t="s">
        <v>34</v>
      </c>
      <c r="P1289">
        <v>2024</v>
      </c>
      <c r="Q1289" t="s">
        <v>3647</v>
      </c>
      <c r="R1289">
        <v>24.8795</v>
      </c>
      <c r="S1289">
        <v>-0.12902188548805199</v>
      </c>
      <c r="T1289" t="s">
        <v>3634</v>
      </c>
      <c r="U1289" t="s">
        <v>3636</v>
      </c>
    </row>
    <row r="1290" spans="1:21" x14ac:dyDescent="0.25">
      <c r="A1290" t="s">
        <v>2464</v>
      </c>
      <c r="B1290" s="1">
        <v>45637</v>
      </c>
      <c r="C1290" t="s">
        <v>397</v>
      </c>
      <c r="D1290" t="s">
        <v>30</v>
      </c>
      <c r="E1290" t="s">
        <v>148</v>
      </c>
      <c r="F1290" t="s">
        <v>60</v>
      </c>
      <c r="G1290" t="s">
        <v>32</v>
      </c>
      <c r="H1290" t="s">
        <v>115</v>
      </c>
      <c r="I1290">
        <v>12</v>
      </c>
      <c r="J1290">
        <v>10.53</v>
      </c>
      <c r="K1290">
        <v>20</v>
      </c>
      <c r="L1290">
        <v>101.09</v>
      </c>
      <c r="M1290">
        <v>32.83</v>
      </c>
      <c r="N1290">
        <v>11.4</v>
      </c>
      <c r="O1290" t="s">
        <v>56</v>
      </c>
      <c r="P1290">
        <v>2024</v>
      </c>
      <c r="Q1290" t="s">
        <v>3647</v>
      </c>
      <c r="R1290">
        <v>80.872</v>
      </c>
      <c r="S1290">
        <v>0.14096349787318199</v>
      </c>
      <c r="T1290" t="s">
        <v>3632</v>
      </c>
      <c r="U1290" t="s">
        <v>3633</v>
      </c>
    </row>
    <row r="1291" spans="1:21" x14ac:dyDescent="0.25">
      <c r="A1291" t="s">
        <v>2465</v>
      </c>
      <c r="B1291" s="1">
        <v>45637</v>
      </c>
      <c r="C1291" t="s">
        <v>2466</v>
      </c>
      <c r="D1291" t="s">
        <v>17</v>
      </c>
      <c r="E1291" t="s">
        <v>31</v>
      </c>
      <c r="F1291" t="s">
        <v>19</v>
      </c>
      <c r="G1291" t="s">
        <v>42</v>
      </c>
      <c r="H1291" t="s">
        <v>64</v>
      </c>
      <c r="I1291">
        <v>3</v>
      </c>
      <c r="J1291">
        <v>76.16</v>
      </c>
      <c r="K1291">
        <v>5</v>
      </c>
      <c r="L1291">
        <v>217.06</v>
      </c>
      <c r="M1291">
        <v>8.25</v>
      </c>
      <c r="N1291">
        <v>71.72</v>
      </c>
      <c r="O1291" t="s">
        <v>56</v>
      </c>
      <c r="P1291">
        <v>2024</v>
      </c>
      <c r="Q1291" t="s">
        <v>3647</v>
      </c>
      <c r="R1291">
        <v>206.20699999999999</v>
      </c>
      <c r="S1291">
        <v>0.347805845582352</v>
      </c>
      <c r="T1291" t="s">
        <v>3632</v>
      </c>
      <c r="U1291" t="s">
        <v>3633</v>
      </c>
    </row>
    <row r="1292" spans="1:21" x14ac:dyDescent="0.25">
      <c r="A1292" t="s">
        <v>2467</v>
      </c>
      <c r="B1292" s="1">
        <v>45639</v>
      </c>
      <c r="C1292" t="s">
        <v>1884</v>
      </c>
      <c r="D1292" t="s">
        <v>30</v>
      </c>
      <c r="E1292" t="s">
        <v>138</v>
      </c>
      <c r="F1292" t="s">
        <v>54</v>
      </c>
      <c r="G1292" t="s">
        <v>42</v>
      </c>
      <c r="H1292" t="s">
        <v>118</v>
      </c>
      <c r="I1292">
        <v>4</v>
      </c>
      <c r="J1292">
        <v>84.66</v>
      </c>
      <c r="K1292">
        <v>5</v>
      </c>
      <c r="L1292">
        <v>321.70999999999998</v>
      </c>
      <c r="M1292">
        <v>13.55</v>
      </c>
      <c r="N1292">
        <v>104.98</v>
      </c>
      <c r="O1292" t="s">
        <v>56</v>
      </c>
      <c r="P1292">
        <v>2024</v>
      </c>
      <c r="Q1292" t="s">
        <v>3647</v>
      </c>
      <c r="R1292">
        <v>305.62450000000001</v>
      </c>
      <c r="S1292">
        <v>0.34349340448818699</v>
      </c>
      <c r="T1292" t="s">
        <v>3632</v>
      </c>
      <c r="U1292" t="s">
        <v>3633</v>
      </c>
    </row>
    <row r="1293" spans="1:21" x14ac:dyDescent="0.25">
      <c r="A1293" t="s">
        <v>2468</v>
      </c>
      <c r="B1293" s="1">
        <v>45639</v>
      </c>
      <c r="C1293" t="s">
        <v>2469</v>
      </c>
      <c r="D1293" t="s">
        <v>30</v>
      </c>
      <c r="E1293" t="s">
        <v>31</v>
      </c>
      <c r="F1293" t="s">
        <v>19</v>
      </c>
      <c r="G1293" t="s">
        <v>69</v>
      </c>
      <c r="H1293" t="s">
        <v>163</v>
      </c>
      <c r="I1293">
        <v>12</v>
      </c>
      <c r="J1293">
        <v>44.66</v>
      </c>
      <c r="K1293">
        <v>5</v>
      </c>
      <c r="L1293">
        <v>509.12</v>
      </c>
      <c r="M1293">
        <v>14.12</v>
      </c>
      <c r="N1293">
        <v>227.04</v>
      </c>
      <c r="O1293" t="s">
        <v>34</v>
      </c>
      <c r="P1293">
        <v>2024</v>
      </c>
      <c r="Q1293" t="s">
        <v>3647</v>
      </c>
      <c r="R1293">
        <v>483.66399999999999</v>
      </c>
      <c r="S1293">
        <v>0.46941678520625901</v>
      </c>
      <c r="T1293" t="s">
        <v>3635</v>
      </c>
      <c r="U1293" t="s">
        <v>3633</v>
      </c>
    </row>
    <row r="1294" spans="1:21" x14ac:dyDescent="0.25">
      <c r="A1294" t="s">
        <v>2470</v>
      </c>
      <c r="B1294" s="1">
        <v>45640</v>
      </c>
      <c r="C1294" t="s">
        <v>2471</v>
      </c>
      <c r="D1294" t="s">
        <v>17</v>
      </c>
      <c r="E1294" t="s">
        <v>67</v>
      </c>
      <c r="F1294" t="s">
        <v>68</v>
      </c>
      <c r="G1294" t="s">
        <v>42</v>
      </c>
      <c r="H1294" t="s">
        <v>89</v>
      </c>
      <c r="I1294">
        <v>2</v>
      </c>
      <c r="J1294">
        <v>329.54</v>
      </c>
      <c r="K1294">
        <v>0</v>
      </c>
      <c r="L1294">
        <v>659.08</v>
      </c>
      <c r="M1294">
        <v>12.54</v>
      </c>
      <c r="N1294">
        <v>251.09</v>
      </c>
      <c r="O1294" t="s">
        <v>39</v>
      </c>
      <c r="P1294">
        <v>2024</v>
      </c>
      <c r="Q1294" t="s">
        <v>3647</v>
      </c>
      <c r="R1294">
        <v>659.08</v>
      </c>
      <c r="S1294">
        <v>0.38097044364872201</v>
      </c>
      <c r="T1294" t="s">
        <v>3635</v>
      </c>
      <c r="U1294" t="s">
        <v>3633</v>
      </c>
    </row>
    <row r="1295" spans="1:21" x14ac:dyDescent="0.25">
      <c r="A1295" t="s">
        <v>2472</v>
      </c>
      <c r="B1295" s="1">
        <v>45640</v>
      </c>
      <c r="C1295" t="s">
        <v>2473</v>
      </c>
      <c r="D1295" t="s">
        <v>17</v>
      </c>
      <c r="E1295" t="s">
        <v>37</v>
      </c>
      <c r="F1295" t="s">
        <v>26</v>
      </c>
      <c r="G1295" t="s">
        <v>32</v>
      </c>
      <c r="H1295" t="s">
        <v>33</v>
      </c>
      <c r="I1295">
        <v>5</v>
      </c>
      <c r="J1295">
        <v>5.79</v>
      </c>
      <c r="K1295">
        <v>5</v>
      </c>
      <c r="L1295">
        <v>27.5</v>
      </c>
      <c r="M1295">
        <v>18.73</v>
      </c>
      <c r="N1295">
        <v>-4.26</v>
      </c>
      <c r="O1295" t="s">
        <v>56</v>
      </c>
      <c r="P1295">
        <v>2024</v>
      </c>
      <c r="Q1295" t="s">
        <v>3647</v>
      </c>
      <c r="R1295">
        <v>26.125</v>
      </c>
      <c r="S1295">
        <v>-0.16306220095693799</v>
      </c>
      <c r="T1295" t="s">
        <v>3634</v>
      </c>
      <c r="U1295" t="s">
        <v>3636</v>
      </c>
    </row>
    <row r="1296" spans="1:21" x14ac:dyDescent="0.25">
      <c r="A1296" t="s">
        <v>2474</v>
      </c>
      <c r="B1296" s="1">
        <v>45640</v>
      </c>
      <c r="C1296" t="s">
        <v>740</v>
      </c>
      <c r="D1296" t="s">
        <v>30</v>
      </c>
      <c r="E1296" t="s">
        <v>18</v>
      </c>
      <c r="F1296" t="s">
        <v>19</v>
      </c>
      <c r="G1296" t="s">
        <v>32</v>
      </c>
      <c r="H1296" t="s">
        <v>73</v>
      </c>
      <c r="I1296">
        <v>6</v>
      </c>
      <c r="J1296">
        <v>6.27</v>
      </c>
      <c r="K1296">
        <v>5</v>
      </c>
      <c r="L1296">
        <v>35.74</v>
      </c>
      <c r="M1296">
        <v>19.36</v>
      </c>
      <c r="N1296">
        <v>-0.55000000000000004</v>
      </c>
      <c r="O1296" t="s">
        <v>22</v>
      </c>
      <c r="P1296">
        <v>2024</v>
      </c>
      <c r="Q1296" t="s">
        <v>3647</v>
      </c>
      <c r="R1296">
        <v>33.953000000000003</v>
      </c>
      <c r="S1296">
        <v>-1.6198863134332799E-2</v>
      </c>
      <c r="T1296" t="s">
        <v>3634</v>
      </c>
      <c r="U1296" t="s">
        <v>3636</v>
      </c>
    </row>
    <row r="1297" spans="1:21" x14ac:dyDescent="0.25">
      <c r="A1297" t="s">
        <v>2475</v>
      </c>
      <c r="B1297" s="1">
        <v>45640</v>
      </c>
      <c r="C1297" t="s">
        <v>2476</v>
      </c>
      <c r="D1297" t="s">
        <v>17</v>
      </c>
      <c r="E1297" t="s">
        <v>59</v>
      </c>
      <c r="F1297" t="s">
        <v>60</v>
      </c>
      <c r="G1297" t="s">
        <v>32</v>
      </c>
      <c r="H1297" t="s">
        <v>149</v>
      </c>
      <c r="I1297">
        <v>3</v>
      </c>
      <c r="J1297">
        <v>8.94</v>
      </c>
      <c r="K1297">
        <v>15</v>
      </c>
      <c r="L1297">
        <v>22.8</v>
      </c>
      <c r="M1297">
        <v>14.91</v>
      </c>
      <c r="N1297">
        <v>-4.18</v>
      </c>
      <c r="O1297" t="s">
        <v>34</v>
      </c>
      <c r="P1297">
        <v>2024</v>
      </c>
      <c r="Q1297" t="s">
        <v>3647</v>
      </c>
      <c r="R1297">
        <v>19.38</v>
      </c>
      <c r="S1297">
        <v>-0.21568627450980399</v>
      </c>
      <c r="T1297" t="s">
        <v>3634</v>
      </c>
      <c r="U1297" t="s">
        <v>3636</v>
      </c>
    </row>
    <row r="1298" spans="1:21" x14ac:dyDescent="0.25">
      <c r="A1298" t="s">
        <v>2477</v>
      </c>
      <c r="B1298" s="1">
        <v>45640</v>
      </c>
      <c r="C1298" t="s">
        <v>217</v>
      </c>
      <c r="D1298" t="s">
        <v>17</v>
      </c>
      <c r="E1298" t="s">
        <v>166</v>
      </c>
      <c r="F1298" t="s">
        <v>60</v>
      </c>
      <c r="G1298" t="s">
        <v>20</v>
      </c>
      <c r="H1298" t="s">
        <v>55</v>
      </c>
      <c r="I1298">
        <v>5</v>
      </c>
      <c r="J1298">
        <v>39.270000000000003</v>
      </c>
      <c r="K1298">
        <v>30</v>
      </c>
      <c r="L1298">
        <v>137.44</v>
      </c>
      <c r="M1298">
        <v>19.48</v>
      </c>
      <c r="N1298">
        <v>9.9700000000000006</v>
      </c>
      <c r="O1298" t="s">
        <v>56</v>
      </c>
      <c r="P1298">
        <v>2024</v>
      </c>
      <c r="Q1298" t="s">
        <v>3647</v>
      </c>
      <c r="R1298">
        <v>96.207999999999998</v>
      </c>
      <c r="S1298">
        <v>0.103629635789124</v>
      </c>
      <c r="T1298" t="s">
        <v>3632</v>
      </c>
      <c r="U1298" t="s">
        <v>3633</v>
      </c>
    </row>
    <row r="1299" spans="1:21" x14ac:dyDescent="0.25">
      <c r="A1299" t="s">
        <v>2478</v>
      </c>
      <c r="B1299" s="1">
        <v>45641</v>
      </c>
      <c r="C1299" t="s">
        <v>2479</v>
      </c>
      <c r="D1299" t="s">
        <v>49</v>
      </c>
      <c r="E1299" t="s">
        <v>169</v>
      </c>
      <c r="F1299" t="s">
        <v>68</v>
      </c>
      <c r="G1299" t="s">
        <v>32</v>
      </c>
      <c r="H1299" t="s">
        <v>132</v>
      </c>
      <c r="I1299">
        <v>7</v>
      </c>
      <c r="J1299">
        <v>13.74</v>
      </c>
      <c r="K1299">
        <v>5</v>
      </c>
      <c r="L1299">
        <v>91.37</v>
      </c>
      <c r="M1299">
        <v>21.95</v>
      </c>
      <c r="N1299">
        <v>26.14</v>
      </c>
      <c r="O1299" t="s">
        <v>22</v>
      </c>
      <c r="P1299">
        <v>2024</v>
      </c>
      <c r="Q1299" t="s">
        <v>3647</v>
      </c>
      <c r="R1299">
        <v>86.801500000000004</v>
      </c>
      <c r="S1299">
        <v>0.30114686958174702</v>
      </c>
      <c r="T1299" t="s">
        <v>3634</v>
      </c>
      <c r="U1299" t="s">
        <v>3633</v>
      </c>
    </row>
    <row r="1300" spans="1:21" x14ac:dyDescent="0.25">
      <c r="A1300" t="s">
        <v>2480</v>
      </c>
      <c r="B1300" s="1">
        <v>45641</v>
      </c>
      <c r="C1300" t="s">
        <v>2481</v>
      </c>
      <c r="D1300" t="s">
        <v>30</v>
      </c>
      <c r="E1300" t="s">
        <v>85</v>
      </c>
      <c r="F1300" t="s">
        <v>60</v>
      </c>
      <c r="G1300" t="s">
        <v>32</v>
      </c>
      <c r="H1300" t="s">
        <v>348</v>
      </c>
      <c r="I1300">
        <v>4</v>
      </c>
      <c r="J1300">
        <v>12.49</v>
      </c>
      <c r="K1300">
        <v>5</v>
      </c>
      <c r="L1300">
        <v>47.46</v>
      </c>
      <c r="M1300">
        <v>14.76</v>
      </c>
      <c r="N1300">
        <v>10.220000000000001</v>
      </c>
      <c r="O1300" t="s">
        <v>56</v>
      </c>
      <c r="P1300">
        <v>2024</v>
      </c>
      <c r="Q1300" t="s">
        <v>3647</v>
      </c>
      <c r="R1300">
        <v>45.087000000000003</v>
      </c>
      <c r="S1300">
        <v>0.22667287688247201</v>
      </c>
      <c r="T1300" t="s">
        <v>3634</v>
      </c>
      <c r="U1300" t="s">
        <v>3633</v>
      </c>
    </row>
    <row r="1301" spans="1:21" x14ac:dyDescent="0.25">
      <c r="A1301" t="s">
        <v>2482</v>
      </c>
      <c r="B1301" s="1">
        <v>45642</v>
      </c>
      <c r="C1301" t="s">
        <v>2483</v>
      </c>
      <c r="D1301" t="s">
        <v>49</v>
      </c>
      <c r="E1301" t="s">
        <v>18</v>
      </c>
      <c r="F1301" t="s">
        <v>19</v>
      </c>
      <c r="G1301" t="s">
        <v>69</v>
      </c>
      <c r="H1301" t="s">
        <v>70</v>
      </c>
      <c r="I1301">
        <v>4</v>
      </c>
      <c r="J1301">
        <v>38.770000000000003</v>
      </c>
      <c r="K1301">
        <v>0</v>
      </c>
      <c r="L1301">
        <v>155.08000000000001</v>
      </c>
      <c r="M1301">
        <v>12.57</v>
      </c>
      <c r="N1301">
        <v>64.97</v>
      </c>
      <c r="O1301" t="s">
        <v>34</v>
      </c>
      <c r="P1301">
        <v>2024</v>
      </c>
      <c r="Q1301" t="s">
        <v>3647</v>
      </c>
      <c r="R1301">
        <v>155.08000000000001</v>
      </c>
      <c r="S1301">
        <v>0.41894506061387699</v>
      </c>
      <c r="T1301" t="s">
        <v>3632</v>
      </c>
      <c r="U1301" t="s">
        <v>3633</v>
      </c>
    </row>
    <row r="1302" spans="1:21" x14ac:dyDescent="0.25">
      <c r="A1302" t="s">
        <v>2484</v>
      </c>
      <c r="B1302" s="1">
        <v>45642</v>
      </c>
      <c r="C1302" t="s">
        <v>2485</v>
      </c>
      <c r="D1302" t="s">
        <v>30</v>
      </c>
      <c r="E1302" t="s">
        <v>37</v>
      </c>
      <c r="F1302" t="s">
        <v>26</v>
      </c>
      <c r="G1302" t="s">
        <v>42</v>
      </c>
      <c r="H1302" t="s">
        <v>46</v>
      </c>
      <c r="I1302">
        <v>1</v>
      </c>
      <c r="J1302">
        <v>173.33</v>
      </c>
      <c r="K1302">
        <v>10</v>
      </c>
      <c r="L1302">
        <v>156</v>
      </c>
      <c r="M1302">
        <v>8.65</v>
      </c>
      <c r="N1302">
        <v>43.35</v>
      </c>
      <c r="O1302" t="s">
        <v>22</v>
      </c>
      <c r="P1302">
        <v>2024</v>
      </c>
      <c r="Q1302" t="s">
        <v>3647</v>
      </c>
      <c r="R1302">
        <v>140.4</v>
      </c>
      <c r="S1302">
        <v>0.308760683760684</v>
      </c>
      <c r="T1302" t="s">
        <v>3632</v>
      </c>
      <c r="U1302" t="s">
        <v>3633</v>
      </c>
    </row>
    <row r="1303" spans="1:21" x14ac:dyDescent="0.25">
      <c r="A1303" t="s">
        <v>2486</v>
      </c>
      <c r="B1303" s="1">
        <v>45643</v>
      </c>
      <c r="C1303" t="s">
        <v>2487</v>
      </c>
      <c r="D1303" t="s">
        <v>49</v>
      </c>
      <c r="E1303" t="s">
        <v>25</v>
      </c>
      <c r="F1303" t="s">
        <v>26</v>
      </c>
      <c r="G1303" t="s">
        <v>42</v>
      </c>
      <c r="H1303" t="s">
        <v>234</v>
      </c>
      <c r="I1303">
        <v>4</v>
      </c>
      <c r="J1303">
        <v>66.19</v>
      </c>
      <c r="K1303">
        <v>5</v>
      </c>
      <c r="L1303">
        <v>251.52</v>
      </c>
      <c r="M1303">
        <v>12.09</v>
      </c>
      <c r="N1303">
        <v>80.569999999999993</v>
      </c>
      <c r="O1303" t="s">
        <v>34</v>
      </c>
      <c r="P1303">
        <v>2024</v>
      </c>
      <c r="Q1303" t="s">
        <v>3647</v>
      </c>
      <c r="R1303">
        <v>238.94399999999999</v>
      </c>
      <c r="S1303">
        <v>0.33719197803669498</v>
      </c>
      <c r="T1303" t="s">
        <v>3632</v>
      </c>
      <c r="U1303" t="s">
        <v>3633</v>
      </c>
    </row>
    <row r="1304" spans="1:21" x14ac:dyDescent="0.25">
      <c r="A1304" t="s">
        <v>2488</v>
      </c>
      <c r="B1304" s="1">
        <v>45644</v>
      </c>
      <c r="C1304" t="s">
        <v>987</v>
      </c>
      <c r="D1304" t="s">
        <v>30</v>
      </c>
      <c r="E1304" t="s">
        <v>59</v>
      </c>
      <c r="F1304" t="s">
        <v>60</v>
      </c>
      <c r="G1304" t="s">
        <v>20</v>
      </c>
      <c r="H1304" t="s">
        <v>122</v>
      </c>
      <c r="I1304">
        <v>2</v>
      </c>
      <c r="J1304">
        <v>72.64</v>
      </c>
      <c r="K1304">
        <v>10</v>
      </c>
      <c r="L1304">
        <v>130.75</v>
      </c>
      <c r="M1304">
        <v>12.34</v>
      </c>
      <c r="N1304">
        <v>38.51</v>
      </c>
      <c r="O1304" t="s">
        <v>39</v>
      </c>
      <c r="P1304">
        <v>2024</v>
      </c>
      <c r="Q1304" t="s">
        <v>3647</v>
      </c>
      <c r="R1304">
        <v>117.675</v>
      </c>
      <c r="S1304">
        <v>0.32725727639685598</v>
      </c>
      <c r="T1304" t="s">
        <v>3632</v>
      </c>
      <c r="U1304" t="s">
        <v>3633</v>
      </c>
    </row>
    <row r="1305" spans="1:21" x14ac:dyDescent="0.25">
      <c r="A1305" t="s">
        <v>2489</v>
      </c>
      <c r="B1305" s="1">
        <v>45644</v>
      </c>
      <c r="C1305" t="s">
        <v>2490</v>
      </c>
      <c r="D1305" t="s">
        <v>30</v>
      </c>
      <c r="E1305" t="s">
        <v>31</v>
      </c>
      <c r="F1305" t="s">
        <v>19</v>
      </c>
      <c r="G1305" t="s">
        <v>42</v>
      </c>
      <c r="H1305" t="s">
        <v>294</v>
      </c>
      <c r="I1305">
        <v>10</v>
      </c>
      <c r="J1305">
        <v>253.85</v>
      </c>
      <c r="K1305">
        <v>0</v>
      </c>
      <c r="L1305">
        <v>2538.5</v>
      </c>
      <c r="M1305">
        <v>22.56</v>
      </c>
      <c r="N1305">
        <v>992.84</v>
      </c>
      <c r="O1305" t="s">
        <v>22</v>
      </c>
      <c r="P1305">
        <v>2024</v>
      </c>
      <c r="Q1305" t="s">
        <v>3647</v>
      </c>
      <c r="R1305">
        <v>2538.5</v>
      </c>
      <c r="S1305">
        <v>0.39111286192633399</v>
      </c>
      <c r="T1305" t="s">
        <v>3635</v>
      </c>
      <c r="U1305" t="s">
        <v>3633</v>
      </c>
    </row>
    <row r="1306" spans="1:21" x14ac:dyDescent="0.25">
      <c r="A1306" t="s">
        <v>2491</v>
      </c>
      <c r="B1306" s="1">
        <v>45646</v>
      </c>
      <c r="C1306" t="s">
        <v>2492</v>
      </c>
      <c r="D1306" t="s">
        <v>30</v>
      </c>
      <c r="E1306" t="s">
        <v>129</v>
      </c>
      <c r="F1306" t="s">
        <v>19</v>
      </c>
      <c r="G1306" t="s">
        <v>32</v>
      </c>
      <c r="H1306" t="s">
        <v>33</v>
      </c>
      <c r="I1306">
        <v>6</v>
      </c>
      <c r="J1306">
        <v>12.47</v>
      </c>
      <c r="K1306">
        <v>5</v>
      </c>
      <c r="L1306">
        <v>71.08</v>
      </c>
      <c r="M1306">
        <v>8.33</v>
      </c>
      <c r="N1306">
        <v>29.08</v>
      </c>
      <c r="O1306" t="s">
        <v>22</v>
      </c>
      <c r="P1306">
        <v>2024</v>
      </c>
      <c r="Q1306" t="s">
        <v>3647</v>
      </c>
      <c r="R1306">
        <v>67.525999999999996</v>
      </c>
      <c r="S1306">
        <v>0.43064893522495001</v>
      </c>
      <c r="T1306" t="s">
        <v>3634</v>
      </c>
      <c r="U1306" t="s">
        <v>3633</v>
      </c>
    </row>
    <row r="1307" spans="1:21" x14ac:dyDescent="0.25">
      <c r="A1307" t="s">
        <v>2493</v>
      </c>
      <c r="B1307" s="1">
        <v>45647</v>
      </c>
      <c r="C1307" t="s">
        <v>97</v>
      </c>
      <c r="D1307" t="s">
        <v>30</v>
      </c>
      <c r="E1307" t="s">
        <v>138</v>
      </c>
      <c r="F1307" t="s">
        <v>54</v>
      </c>
      <c r="G1307" t="s">
        <v>20</v>
      </c>
      <c r="H1307" t="s">
        <v>106</v>
      </c>
      <c r="I1307">
        <v>1</v>
      </c>
      <c r="J1307">
        <v>70.900000000000006</v>
      </c>
      <c r="K1307">
        <v>0</v>
      </c>
      <c r="L1307">
        <v>70.900000000000006</v>
      </c>
      <c r="M1307">
        <v>11.52</v>
      </c>
      <c r="N1307">
        <v>20.39</v>
      </c>
      <c r="O1307" t="s">
        <v>39</v>
      </c>
      <c r="P1307">
        <v>2024</v>
      </c>
      <c r="Q1307" t="s">
        <v>3647</v>
      </c>
      <c r="R1307">
        <v>70.900000000000006</v>
      </c>
      <c r="S1307">
        <v>0.28758815232722101</v>
      </c>
      <c r="T1307" t="s">
        <v>3634</v>
      </c>
      <c r="U1307" t="s">
        <v>3633</v>
      </c>
    </row>
    <row r="1308" spans="1:21" x14ac:dyDescent="0.25">
      <c r="A1308" t="s">
        <v>2494</v>
      </c>
      <c r="B1308" s="1">
        <v>45647</v>
      </c>
      <c r="C1308" t="s">
        <v>2495</v>
      </c>
      <c r="D1308" t="s">
        <v>30</v>
      </c>
      <c r="E1308" t="s">
        <v>248</v>
      </c>
      <c r="F1308" t="s">
        <v>26</v>
      </c>
      <c r="G1308" t="s">
        <v>32</v>
      </c>
      <c r="H1308" t="s">
        <v>149</v>
      </c>
      <c r="I1308">
        <v>1</v>
      </c>
      <c r="J1308">
        <v>6.45</v>
      </c>
      <c r="K1308">
        <v>5</v>
      </c>
      <c r="L1308">
        <v>6.13</v>
      </c>
      <c r="M1308">
        <v>7.56</v>
      </c>
      <c r="N1308">
        <v>-4.33</v>
      </c>
      <c r="O1308" t="s">
        <v>22</v>
      </c>
      <c r="P1308">
        <v>2024</v>
      </c>
      <c r="Q1308" t="s">
        <v>3647</v>
      </c>
      <c r="R1308">
        <v>5.8235000000000001</v>
      </c>
      <c r="S1308">
        <v>-0.74353910878337803</v>
      </c>
      <c r="T1308" t="s">
        <v>3634</v>
      </c>
      <c r="U1308" t="s">
        <v>3636</v>
      </c>
    </row>
    <row r="1309" spans="1:21" x14ac:dyDescent="0.25">
      <c r="A1309" t="s">
        <v>2496</v>
      </c>
      <c r="B1309" s="1">
        <v>45649</v>
      </c>
      <c r="C1309" t="s">
        <v>2497</v>
      </c>
      <c r="D1309" t="s">
        <v>49</v>
      </c>
      <c r="E1309" t="s">
        <v>76</v>
      </c>
      <c r="F1309" t="s">
        <v>26</v>
      </c>
      <c r="G1309" t="s">
        <v>69</v>
      </c>
      <c r="H1309" t="s">
        <v>305</v>
      </c>
      <c r="I1309">
        <v>2</v>
      </c>
      <c r="J1309">
        <v>69.3</v>
      </c>
      <c r="K1309">
        <v>0</v>
      </c>
      <c r="L1309">
        <v>138.6</v>
      </c>
      <c r="M1309">
        <v>11.07</v>
      </c>
      <c r="N1309">
        <v>58.23</v>
      </c>
      <c r="O1309" t="s">
        <v>39</v>
      </c>
      <c r="P1309">
        <v>2024</v>
      </c>
      <c r="Q1309" t="s">
        <v>3647</v>
      </c>
      <c r="R1309">
        <v>138.6</v>
      </c>
      <c r="S1309">
        <v>0.42012987012987002</v>
      </c>
      <c r="T1309" t="s">
        <v>3632</v>
      </c>
      <c r="U1309" t="s">
        <v>3633</v>
      </c>
    </row>
    <row r="1310" spans="1:21" x14ac:dyDescent="0.25">
      <c r="A1310" t="s">
        <v>2498</v>
      </c>
      <c r="B1310" s="1">
        <v>45649</v>
      </c>
      <c r="C1310" t="s">
        <v>2499</v>
      </c>
      <c r="D1310" t="s">
        <v>30</v>
      </c>
      <c r="E1310" t="s">
        <v>135</v>
      </c>
      <c r="F1310" t="s">
        <v>26</v>
      </c>
      <c r="G1310" t="s">
        <v>42</v>
      </c>
      <c r="H1310" t="s">
        <v>43</v>
      </c>
      <c r="I1310">
        <v>7</v>
      </c>
      <c r="J1310">
        <v>212.35</v>
      </c>
      <c r="K1310">
        <v>20</v>
      </c>
      <c r="L1310">
        <v>1189.1600000000001</v>
      </c>
      <c r="M1310">
        <v>14.04</v>
      </c>
      <c r="N1310">
        <v>283.25</v>
      </c>
      <c r="O1310" t="s">
        <v>39</v>
      </c>
      <c r="P1310">
        <v>2024</v>
      </c>
      <c r="Q1310" t="s">
        <v>3647</v>
      </c>
      <c r="R1310">
        <v>951.32799999999997</v>
      </c>
      <c r="S1310">
        <v>0.29774168320495098</v>
      </c>
      <c r="T1310" t="s">
        <v>3635</v>
      </c>
      <c r="U1310" t="s">
        <v>3633</v>
      </c>
    </row>
    <row r="1311" spans="1:21" x14ac:dyDescent="0.25">
      <c r="A1311" t="s">
        <v>2500</v>
      </c>
      <c r="B1311" s="1">
        <v>45649</v>
      </c>
      <c r="C1311" t="s">
        <v>2501</v>
      </c>
      <c r="D1311" t="s">
        <v>30</v>
      </c>
      <c r="E1311" t="s">
        <v>129</v>
      </c>
      <c r="F1311" t="s">
        <v>19</v>
      </c>
      <c r="G1311" t="s">
        <v>42</v>
      </c>
      <c r="H1311" t="s">
        <v>64</v>
      </c>
      <c r="I1311">
        <v>2</v>
      </c>
      <c r="J1311">
        <v>76.2</v>
      </c>
      <c r="K1311">
        <v>5</v>
      </c>
      <c r="L1311">
        <v>144.78</v>
      </c>
      <c r="M1311">
        <v>8.8800000000000008</v>
      </c>
      <c r="N1311">
        <v>44.46</v>
      </c>
      <c r="O1311" t="s">
        <v>34</v>
      </c>
      <c r="P1311">
        <v>2024</v>
      </c>
      <c r="Q1311" t="s">
        <v>3647</v>
      </c>
      <c r="R1311">
        <v>137.541</v>
      </c>
      <c r="S1311">
        <v>0.32324906755076699</v>
      </c>
      <c r="T1311" t="s">
        <v>3632</v>
      </c>
      <c r="U1311" t="s">
        <v>3633</v>
      </c>
    </row>
    <row r="1312" spans="1:21" x14ac:dyDescent="0.25">
      <c r="A1312" t="s">
        <v>2502</v>
      </c>
      <c r="B1312" s="1">
        <v>45650</v>
      </c>
      <c r="C1312" t="s">
        <v>2503</v>
      </c>
      <c r="D1312" t="s">
        <v>30</v>
      </c>
      <c r="E1312" t="s">
        <v>53</v>
      </c>
      <c r="F1312" t="s">
        <v>54</v>
      </c>
      <c r="G1312" t="s">
        <v>20</v>
      </c>
      <c r="H1312" t="s">
        <v>106</v>
      </c>
      <c r="I1312">
        <v>1</v>
      </c>
      <c r="J1312">
        <v>44.65</v>
      </c>
      <c r="K1312">
        <v>5</v>
      </c>
      <c r="L1312">
        <v>42.42</v>
      </c>
      <c r="M1312">
        <v>13.09</v>
      </c>
      <c r="N1312">
        <v>4.7699999999999996</v>
      </c>
      <c r="O1312" t="s">
        <v>34</v>
      </c>
      <c r="P1312">
        <v>2024</v>
      </c>
      <c r="Q1312" t="s">
        <v>3647</v>
      </c>
      <c r="R1312">
        <v>40.298999999999999</v>
      </c>
      <c r="S1312">
        <v>0.118365219980645</v>
      </c>
      <c r="T1312" t="s">
        <v>3634</v>
      </c>
      <c r="U1312" t="s">
        <v>3633</v>
      </c>
    </row>
    <row r="1313" spans="1:21" x14ac:dyDescent="0.25">
      <c r="A1313" t="s">
        <v>2504</v>
      </c>
      <c r="B1313" s="1">
        <v>45651</v>
      </c>
      <c r="C1313" t="s">
        <v>1933</v>
      </c>
      <c r="D1313" t="s">
        <v>30</v>
      </c>
      <c r="E1313" t="s">
        <v>18</v>
      </c>
      <c r="F1313" t="s">
        <v>19</v>
      </c>
      <c r="G1313" t="s">
        <v>32</v>
      </c>
      <c r="H1313" t="s">
        <v>33</v>
      </c>
      <c r="I1313">
        <v>3</v>
      </c>
      <c r="J1313">
        <v>13.27</v>
      </c>
      <c r="K1313">
        <v>25</v>
      </c>
      <c r="L1313">
        <v>29.86</v>
      </c>
      <c r="M1313">
        <v>12.34</v>
      </c>
      <c r="N1313">
        <v>-0.39</v>
      </c>
      <c r="O1313" t="s">
        <v>34</v>
      </c>
      <c r="P1313">
        <v>2024</v>
      </c>
      <c r="Q1313" t="s">
        <v>3647</v>
      </c>
      <c r="R1313">
        <v>22.395</v>
      </c>
      <c r="S1313">
        <v>-1.7414601473543199E-2</v>
      </c>
      <c r="T1313" t="s">
        <v>3634</v>
      </c>
      <c r="U1313" t="s">
        <v>3636</v>
      </c>
    </row>
    <row r="1314" spans="1:21" x14ac:dyDescent="0.25">
      <c r="A1314" t="s">
        <v>2505</v>
      </c>
      <c r="B1314" s="1">
        <v>45652</v>
      </c>
      <c r="C1314" t="s">
        <v>2506</v>
      </c>
      <c r="D1314" t="s">
        <v>17</v>
      </c>
      <c r="E1314" t="s">
        <v>63</v>
      </c>
      <c r="F1314" t="s">
        <v>54</v>
      </c>
      <c r="G1314" t="s">
        <v>20</v>
      </c>
      <c r="H1314" t="s">
        <v>27</v>
      </c>
      <c r="I1314">
        <v>1</v>
      </c>
      <c r="J1314">
        <v>105.02</v>
      </c>
      <c r="K1314">
        <v>10</v>
      </c>
      <c r="L1314">
        <v>94.52</v>
      </c>
      <c r="M1314">
        <v>11.57</v>
      </c>
      <c r="N1314">
        <v>25.19</v>
      </c>
      <c r="O1314" t="s">
        <v>34</v>
      </c>
      <c r="P1314">
        <v>2024</v>
      </c>
      <c r="Q1314" t="s">
        <v>3647</v>
      </c>
      <c r="R1314">
        <v>85.067999999999998</v>
      </c>
      <c r="S1314">
        <v>0.29611604833779998</v>
      </c>
      <c r="T1314" t="s">
        <v>3634</v>
      </c>
      <c r="U1314" t="s">
        <v>3633</v>
      </c>
    </row>
    <row r="1315" spans="1:21" x14ac:dyDescent="0.25">
      <c r="A1315" t="s">
        <v>2507</v>
      </c>
      <c r="B1315" s="1">
        <v>45653</v>
      </c>
      <c r="C1315" t="s">
        <v>2508</v>
      </c>
      <c r="D1315" t="s">
        <v>49</v>
      </c>
      <c r="E1315" t="s">
        <v>59</v>
      </c>
      <c r="F1315" t="s">
        <v>60</v>
      </c>
      <c r="G1315" t="s">
        <v>69</v>
      </c>
      <c r="H1315" t="s">
        <v>98</v>
      </c>
      <c r="I1315">
        <v>7</v>
      </c>
      <c r="J1315">
        <v>49.09</v>
      </c>
      <c r="K1315">
        <v>0</v>
      </c>
      <c r="L1315">
        <v>343.63</v>
      </c>
      <c r="M1315">
        <v>18.149999999999999</v>
      </c>
      <c r="N1315">
        <v>153.66</v>
      </c>
      <c r="O1315" t="s">
        <v>34</v>
      </c>
      <c r="P1315">
        <v>2024</v>
      </c>
      <c r="Q1315" t="s">
        <v>3647</v>
      </c>
      <c r="R1315">
        <v>343.63</v>
      </c>
      <c r="S1315">
        <v>0.44716701102930501</v>
      </c>
      <c r="T1315" t="s">
        <v>3632</v>
      </c>
      <c r="U1315" t="s">
        <v>3633</v>
      </c>
    </row>
    <row r="1316" spans="1:21" x14ac:dyDescent="0.25">
      <c r="A1316" t="s">
        <v>2509</v>
      </c>
      <c r="B1316" s="1">
        <v>45653</v>
      </c>
      <c r="C1316" t="s">
        <v>2510</v>
      </c>
      <c r="D1316" t="s">
        <v>30</v>
      </c>
      <c r="E1316" t="s">
        <v>85</v>
      </c>
      <c r="F1316" t="s">
        <v>60</v>
      </c>
      <c r="G1316" t="s">
        <v>42</v>
      </c>
      <c r="H1316" t="s">
        <v>89</v>
      </c>
      <c r="I1316">
        <v>4</v>
      </c>
      <c r="J1316">
        <v>416.86</v>
      </c>
      <c r="K1316">
        <v>0</v>
      </c>
      <c r="L1316">
        <v>1667.44</v>
      </c>
      <c r="M1316">
        <v>13.27</v>
      </c>
      <c r="N1316">
        <v>653.71</v>
      </c>
      <c r="O1316" t="s">
        <v>22</v>
      </c>
      <c r="P1316">
        <v>2024</v>
      </c>
      <c r="Q1316" t="s">
        <v>3647</v>
      </c>
      <c r="R1316">
        <v>1667.44</v>
      </c>
      <c r="S1316">
        <v>0.39204409154152497</v>
      </c>
      <c r="T1316" t="s">
        <v>3635</v>
      </c>
      <c r="U1316" t="s">
        <v>3633</v>
      </c>
    </row>
    <row r="1317" spans="1:21" x14ac:dyDescent="0.25">
      <c r="A1317" t="s">
        <v>2511</v>
      </c>
      <c r="B1317" s="1">
        <v>45656</v>
      </c>
      <c r="C1317" t="s">
        <v>2512</v>
      </c>
      <c r="D1317" t="s">
        <v>17</v>
      </c>
      <c r="E1317" t="s">
        <v>76</v>
      </c>
      <c r="F1317" t="s">
        <v>26</v>
      </c>
      <c r="G1317" t="s">
        <v>69</v>
      </c>
      <c r="H1317" t="s">
        <v>163</v>
      </c>
      <c r="I1317">
        <v>7</v>
      </c>
      <c r="J1317">
        <v>20.149999999999999</v>
      </c>
      <c r="K1317">
        <v>10</v>
      </c>
      <c r="L1317">
        <v>126.94</v>
      </c>
      <c r="M1317">
        <v>22.2</v>
      </c>
      <c r="N1317">
        <v>34.22</v>
      </c>
      <c r="O1317" t="s">
        <v>22</v>
      </c>
      <c r="P1317">
        <v>2024</v>
      </c>
      <c r="Q1317" t="s">
        <v>3647</v>
      </c>
      <c r="R1317">
        <v>114.246</v>
      </c>
      <c r="S1317">
        <v>0.29952908635750902</v>
      </c>
      <c r="T1317" t="s">
        <v>3632</v>
      </c>
      <c r="U1317" t="s">
        <v>3633</v>
      </c>
    </row>
    <row r="1318" spans="1:21" x14ac:dyDescent="0.25">
      <c r="A1318" t="s">
        <v>2513</v>
      </c>
      <c r="B1318" s="1">
        <v>45656</v>
      </c>
      <c r="C1318" t="s">
        <v>2514</v>
      </c>
      <c r="D1318" t="s">
        <v>49</v>
      </c>
      <c r="E1318" t="s">
        <v>109</v>
      </c>
      <c r="F1318" t="s">
        <v>54</v>
      </c>
      <c r="G1318" t="s">
        <v>32</v>
      </c>
      <c r="H1318" t="s">
        <v>132</v>
      </c>
      <c r="I1318">
        <v>2</v>
      </c>
      <c r="J1318">
        <v>12.97</v>
      </c>
      <c r="K1318">
        <v>15</v>
      </c>
      <c r="L1318">
        <v>22.05</v>
      </c>
      <c r="M1318">
        <v>14.41</v>
      </c>
      <c r="N1318">
        <v>-4.03</v>
      </c>
      <c r="O1318" t="s">
        <v>34</v>
      </c>
      <c r="P1318">
        <v>2024</v>
      </c>
      <c r="Q1318" t="s">
        <v>3647</v>
      </c>
      <c r="R1318">
        <v>18.7425</v>
      </c>
      <c r="S1318">
        <v>-0.21501934106976101</v>
      </c>
      <c r="T1318" t="s">
        <v>3634</v>
      </c>
      <c r="U1318" t="s">
        <v>3636</v>
      </c>
    </row>
    <row r="1319" spans="1:21" x14ac:dyDescent="0.25">
      <c r="A1319" t="s">
        <v>2515</v>
      </c>
      <c r="B1319" s="1">
        <v>45657</v>
      </c>
      <c r="C1319" t="s">
        <v>2516</v>
      </c>
      <c r="D1319" t="s">
        <v>17</v>
      </c>
      <c r="E1319" t="s">
        <v>148</v>
      </c>
      <c r="F1319" t="s">
        <v>60</v>
      </c>
      <c r="G1319" t="s">
        <v>20</v>
      </c>
      <c r="H1319" t="s">
        <v>175</v>
      </c>
      <c r="I1319">
        <v>2</v>
      </c>
      <c r="J1319">
        <v>47.58</v>
      </c>
      <c r="K1319">
        <v>15</v>
      </c>
      <c r="L1319">
        <v>80.89</v>
      </c>
      <c r="M1319">
        <v>11.18</v>
      </c>
      <c r="N1319">
        <v>17.37</v>
      </c>
      <c r="O1319" t="s">
        <v>34</v>
      </c>
      <c r="P1319">
        <v>2024</v>
      </c>
      <c r="Q1319" t="s">
        <v>3647</v>
      </c>
      <c r="R1319">
        <v>68.756500000000003</v>
      </c>
      <c r="S1319">
        <v>0.25263066037392801</v>
      </c>
      <c r="T1319" t="s">
        <v>3634</v>
      </c>
      <c r="U1319" t="s">
        <v>3633</v>
      </c>
    </row>
    <row r="1320" spans="1:21" x14ac:dyDescent="0.25">
      <c r="A1320" t="s">
        <v>2517</v>
      </c>
      <c r="B1320" s="1">
        <v>45657</v>
      </c>
      <c r="C1320" t="s">
        <v>108</v>
      </c>
      <c r="D1320" t="s">
        <v>30</v>
      </c>
      <c r="E1320" t="s">
        <v>138</v>
      </c>
      <c r="F1320" t="s">
        <v>54</v>
      </c>
      <c r="G1320" t="s">
        <v>32</v>
      </c>
      <c r="H1320" t="s">
        <v>82</v>
      </c>
      <c r="I1320">
        <v>5</v>
      </c>
      <c r="J1320">
        <v>22.51</v>
      </c>
      <c r="K1320">
        <v>5</v>
      </c>
      <c r="L1320">
        <v>106.92</v>
      </c>
      <c r="M1320">
        <v>19.75</v>
      </c>
      <c r="N1320">
        <v>36.520000000000003</v>
      </c>
      <c r="O1320" t="s">
        <v>22</v>
      </c>
      <c r="P1320">
        <v>2024</v>
      </c>
      <c r="Q1320" t="s">
        <v>3647</v>
      </c>
      <c r="R1320">
        <v>101.574</v>
      </c>
      <c r="S1320">
        <v>0.35954082737708498</v>
      </c>
      <c r="T1320" t="s">
        <v>3632</v>
      </c>
      <c r="U1320" t="s">
        <v>3633</v>
      </c>
    </row>
    <row r="1321" spans="1:21" x14ac:dyDescent="0.25">
      <c r="A1321" t="s">
        <v>2518</v>
      </c>
      <c r="B1321" s="1">
        <v>45658</v>
      </c>
      <c r="C1321" t="s">
        <v>252</v>
      </c>
      <c r="D1321" t="s">
        <v>30</v>
      </c>
      <c r="E1321" t="s">
        <v>18</v>
      </c>
      <c r="F1321" t="s">
        <v>19</v>
      </c>
      <c r="G1321" t="s">
        <v>42</v>
      </c>
      <c r="H1321" t="s">
        <v>294</v>
      </c>
      <c r="I1321">
        <v>1</v>
      </c>
      <c r="J1321">
        <v>142.21</v>
      </c>
      <c r="K1321">
        <v>0</v>
      </c>
      <c r="L1321">
        <v>142.21</v>
      </c>
      <c r="M1321">
        <v>6.95</v>
      </c>
      <c r="N1321">
        <v>49.93</v>
      </c>
      <c r="O1321" t="s">
        <v>39</v>
      </c>
      <c r="P1321">
        <v>2025</v>
      </c>
      <c r="Q1321" t="s">
        <v>3631</v>
      </c>
      <c r="R1321">
        <v>142.21</v>
      </c>
      <c r="S1321">
        <v>0.35110048519794701</v>
      </c>
      <c r="T1321" t="s">
        <v>3632</v>
      </c>
      <c r="U1321" t="s">
        <v>3633</v>
      </c>
    </row>
    <row r="1322" spans="1:21" x14ac:dyDescent="0.25">
      <c r="A1322" t="s">
        <v>2519</v>
      </c>
      <c r="B1322" s="1">
        <v>45658</v>
      </c>
      <c r="C1322" t="s">
        <v>2520</v>
      </c>
      <c r="D1322" t="s">
        <v>30</v>
      </c>
      <c r="E1322" t="s">
        <v>129</v>
      </c>
      <c r="F1322" t="s">
        <v>19</v>
      </c>
      <c r="G1322" t="s">
        <v>20</v>
      </c>
      <c r="H1322" t="s">
        <v>170</v>
      </c>
      <c r="I1322">
        <v>2</v>
      </c>
      <c r="J1322">
        <v>60.18</v>
      </c>
      <c r="K1322">
        <v>0</v>
      </c>
      <c r="L1322">
        <v>120.36</v>
      </c>
      <c r="M1322">
        <v>8.33</v>
      </c>
      <c r="N1322">
        <v>45.83</v>
      </c>
      <c r="O1322" t="s">
        <v>22</v>
      </c>
      <c r="P1322">
        <v>2025</v>
      </c>
      <c r="Q1322" t="s">
        <v>3631</v>
      </c>
      <c r="R1322">
        <v>120.36</v>
      </c>
      <c r="S1322">
        <v>0.38077434363575902</v>
      </c>
      <c r="T1322" t="s">
        <v>3632</v>
      </c>
      <c r="U1322" t="s">
        <v>3633</v>
      </c>
    </row>
    <row r="1323" spans="1:21" x14ac:dyDescent="0.25">
      <c r="A1323" t="s">
        <v>2521</v>
      </c>
      <c r="B1323" s="1">
        <v>45659</v>
      </c>
      <c r="C1323" t="s">
        <v>2522</v>
      </c>
      <c r="D1323" t="s">
        <v>49</v>
      </c>
      <c r="E1323" t="s">
        <v>85</v>
      </c>
      <c r="F1323" t="s">
        <v>60</v>
      </c>
      <c r="G1323" t="s">
        <v>20</v>
      </c>
      <c r="H1323" t="s">
        <v>55</v>
      </c>
      <c r="I1323">
        <v>3</v>
      </c>
      <c r="J1323">
        <v>44.45</v>
      </c>
      <c r="K1323">
        <v>15</v>
      </c>
      <c r="L1323">
        <v>113.35</v>
      </c>
      <c r="M1323">
        <v>16.34</v>
      </c>
      <c r="N1323">
        <v>23.67</v>
      </c>
      <c r="O1323" t="s">
        <v>56</v>
      </c>
      <c r="P1323">
        <v>2025</v>
      </c>
      <c r="Q1323" t="s">
        <v>3631</v>
      </c>
      <c r="R1323">
        <v>96.347499999999997</v>
      </c>
      <c r="S1323">
        <v>0.24567321414670901</v>
      </c>
      <c r="T1323" t="s">
        <v>3632</v>
      </c>
      <c r="U1323" t="s">
        <v>3633</v>
      </c>
    </row>
    <row r="1324" spans="1:21" x14ac:dyDescent="0.25">
      <c r="A1324" t="s">
        <v>2523</v>
      </c>
      <c r="B1324" s="1">
        <v>45659</v>
      </c>
      <c r="C1324" t="s">
        <v>1235</v>
      </c>
      <c r="D1324" t="s">
        <v>30</v>
      </c>
      <c r="E1324" t="s">
        <v>31</v>
      </c>
      <c r="F1324" t="s">
        <v>19</v>
      </c>
      <c r="G1324" t="s">
        <v>42</v>
      </c>
      <c r="H1324" t="s">
        <v>371</v>
      </c>
      <c r="I1324">
        <v>7</v>
      </c>
      <c r="J1324">
        <v>234.12</v>
      </c>
      <c r="K1324">
        <v>0</v>
      </c>
      <c r="L1324">
        <v>1638.84</v>
      </c>
      <c r="M1324">
        <v>10.77</v>
      </c>
      <c r="N1324">
        <v>644.77</v>
      </c>
      <c r="O1324" t="s">
        <v>39</v>
      </c>
      <c r="P1324">
        <v>2025</v>
      </c>
      <c r="Q1324" t="s">
        <v>3631</v>
      </c>
      <c r="R1324">
        <v>1638.84</v>
      </c>
      <c r="S1324">
        <v>0.39343071928925299</v>
      </c>
      <c r="T1324" t="s">
        <v>3635</v>
      </c>
      <c r="U1324" t="s">
        <v>3633</v>
      </c>
    </row>
    <row r="1325" spans="1:21" x14ac:dyDescent="0.25">
      <c r="A1325" t="s">
        <v>2524</v>
      </c>
      <c r="B1325" s="1">
        <v>45660</v>
      </c>
      <c r="C1325" t="s">
        <v>350</v>
      </c>
      <c r="D1325" t="s">
        <v>17</v>
      </c>
      <c r="E1325" t="s">
        <v>129</v>
      </c>
      <c r="F1325" t="s">
        <v>19</v>
      </c>
      <c r="G1325" t="s">
        <v>42</v>
      </c>
      <c r="H1325" t="s">
        <v>371</v>
      </c>
      <c r="I1325">
        <v>1</v>
      </c>
      <c r="J1325">
        <v>115.76</v>
      </c>
      <c r="K1325">
        <v>10</v>
      </c>
      <c r="L1325">
        <v>104.18</v>
      </c>
      <c r="M1325">
        <v>6.46</v>
      </c>
      <c r="N1325">
        <v>28.26</v>
      </c>
      <c r="O1325" t="s">
        <v>39</v>
      </c>
      <c r="P1325">
        <v>2025</v>
      </c>
      <c r="Q1325" t="s">
        <v>3631</v>
      </c>
      <c r="R1325">
        <v>93.762</v>
      </c>
      <c r="S1325">
        <v>0.301401420618161</v>
      </c>
      <c r="T1325" t="s">
        <v>3632</v>
      </c>
      <c r="U1325" t="s">
        <v>3633</v>
      </c>
    </row>
    <row r="1326" spans="1:21" x14ac:dyDescent="0.25">
      <c r="A1326" t="s">
        <v>2525</v>
      </c>
      <c r="B1326" s="1">
        <v>45660</v>
      </c>
      <c r="C1326" t="s">
        <v>2526</v>
      </c>
      <c r="D1326" t="s">
        <v>30</v>
      </c>
      <c r="E1326" t="s">
        <v>53</v>
      </c>
      <c r="F1326" t="s">
        <v>54</v>
      </c>
      <c r="G1326" t="s">
        <v>42</v>
      </c>
      <c r="H1326" t="s">
        <v>89</v>
      </c>
      <c r="I1326">
        <v>3</v>
      </c>
      <c r="J1326">
        <v>219.08</v>
      </c>
      <c r="K1326">
        <v>5</v>
      </c>
      <c r="L1326">
        <v>624.38</v>
      </c>
      <c r="M1326">
        <v>16.97</v>
      </c>
      <c r="N1326">
        <v>213.07</v>
      </c>
      <c r="O1326" t="s">
        <v>34</v>
      </c>
      <c r="P1326">
        <v>2025</v>
      </c>
      <c r="Q1326" t="s">
        <v>3631</v>
      </c>
      <c r="R1326">
        <v>593.16099999999994</v>
      </c>
      <c r="S1326">
        <v>0.35921107422773901</v>
      </c>
      <c r="T1326" t="s">
        <v>3635</v>
      </c>
      <c r="U1326" t="s">
        <v>3633</v>
      </c>
    </row>
    <row r="1327" spans="1:21" x14ac:dyDescent="0.25">
      <c r="A1327" t="s">
        <v>2527</v>
      </c>
      <c r="B1327" s="1">
        <v>45660</v>
      </c>
      <c r="C1327" t="s">
        <v>2528</v>
      </c>
      <c r="D1327" t="s">
        <v>49</v>
      </c>
      <c r="E1327" t="s">
        <v>31</v>
      </c>
      <c r="F1327" t="s">
        <v>19</v>
      </c>
      <c r="G1327" t="s">
        <v>32</v>
      </c>
      <c r="H1327" t="s">
        <v>50</v>
      </c>
      <c r="I1327">
        <v>2</v>
      </c>
      <c r="J1327">
        <v>23.83</v>
      </c>
      <c r="K1327">
        <v>0</v>
      </c>
      <c r="L1327">
        <v>47.66</v>
      </c>
      <c r="M1327">
        <v>8.8699999999999992</v>
      </c>
      <c r="N1327">
        <v>17.34</v>
      </c>
      <c r="O1327" t="s">
        <v>56</v>
      </c>
      <c r="P1327">
        <v>2025</v>
      </c>
      <c r="Q1327" t="s">
        <v>3631</v>
      </c>
      <c r="R1327">
        <v>47.66</v>
      </c>
      <c r="S1327">
        <v>0.36382710868653001</v>
      </c>
      <c r="T1327" t="s">
        <v>3634</v>
      </c>
      <c r="U1327" t="s">
        <v>3633</v>
      </c>
    </row>
    <row r="1328" spans="1:21" x14ac:dyDescent="0.25">
      <c r="A1328" t="s">
        <v>2529</v>
      </c>
      <c r="B1328" s="1">
        <v>45661</v>
      </c>
      <c r="C1328" t="s">
        <v>2530</v>
      </c>
      <c r="D1328" t="s">
        <v>30</v>
      </c>
      <c r="E1328" t="s">
        <v>248</v>
      </c>
      <c r="F1328" t="s">
        <v>26</v>
      </c>
      <c r="G1328" t="s">
        <v>42</v>
      </c>
      <c r="H1328" t="s">
        <v>371</v>
      </c>
      <c r="I1328">
        <v>5</v>
      </c>
      <c r="J1328">
        <v>127.03</v>
      </c>
      <c r="K1328">
        <v>5</v>
      </c>
      <c r="L1328">
        <v>603.39</v>
      </c>
      <c r="M1328">
        <v>16.489999999999998</v>
      </c>
      <c r="N1328">
        <v>205.81</v>
      </c>
      <c r="O1328" t="s">
        <v>39</v>
      </c>
      <c r="P1328">
        <v>2025</v>
      </c>
      <c r="Q1328" t="s">
        <v>3631</v>
      </c>
      <c r="R1328">
        <v>573.22050000000002</v>
      </c>
      <c r="S1328">
        <v>0.35904159045254003</v>
      </c>
      <c r="T1328" t="s">
        <v>3635</v>
      </c>
      <c r="U1328" t="s">
        <v>3633</v>
      </c>
    </row>
    <row r="1329" spans="1:21" x14ac:dyDescent="0.25">
      <c r="A1329" t="s">
        <v>2531</v>
      </c>
      <c r="B1329" s="1">
        <v>45662</v>
      </c>
      <c r="C1329" t="s">
        <v>2532</v>
      </c>
      <c r="D1329" t="s">
        <v>30</v>
      </c>
      <c r="E1329" t="s">
        <v>31</v>
      </c>
      <c r="F1329" t="s">
        <v>19</v>
      </c>
      <c r="G1329" t="s">
        <v>69</v>
      </c>
      <c r="H1329" t="s">
        <v>139</v>
      </c>
      <c r="I1329">
        <v>6</v>
      </c>
      <c r="J1329">
        <v>26.43</v>
      </c>
      <c r="K1329">
        <v>5</v>
      </c>
      <c r="L1329">
        <v>150.65</v>
      </c>
      <c r="M1329">
        <v>8.1</v>
      </c>
      <c r="N1329">
        <v>63.26</v>
      </c>
      <c r="O1329" t="s">
        <v>22</v>
      </c>
      <c r="P1329">
        <v>2025</v>
      </c>
      <c r="Q1329" t="s">
        <v>3631</v>
      </c>
      <c r="R1329">
        <v>143.11750000000001</v>
      </c>
      <c r="S1329">
        <v>0.44201442870368801</v>
      </c>
      <c r="T1329" t="s">
        <v>3632</v>
      </c>
      <c r="U1329" t="s">
        <v>3633</v>
      </c>
    </row>
    <row r="1330" spans="1:21" x14ac:dyDescent="0.25">
      <c r="A1330" t="s">
        <v>2533</v>
      </c>
      <c r="B1330" s="1">
        <v>45662</v>
      </c>
      <c r="C1330" t="s">
        <v>680</v>
      </c>
      <c r="D1330" t="s">
        <v>17</v>
      </c>
      <c r="E1330" t="s">
        <v>85</v>
      </c>
      <c r="F1330" t="s">
        <v>60</v>
      </c>
      <c r="G1330" t="s">
        <v>32</v>
      </c>
      <c r="H1330" t="s">
        <v>33</v>
      </c>
      <c r="I1330">
        <v>1</v>
      </c>
      <c r="J1330">
        <v>9.2100000000000009</v>
      </c>
      <c r="K1330">
        <v>20</v>
      </c>
      <c r="L1330">
        <v>7.37</v>
      </c>
      <c r="M1330">
        <v>11.17</v>
      </c>
      <c r="N1330">
        <v>-7.94</v>
      </c>
      <c r="O1330" t="s">
        <v>34</v>
      </c>
      <c r="P1330">
        <v>2025</v>
      </c>
      <c r="Q1330" t="s">
        <v>3631</v>
      </c>
      <c r="R1330">
        <v>5.8959999999999999</v>
      </c>
      <c r="S1330">
        <v>-1.3466757123473501</v>
      </c>
      <c r="T1330" t="s">
        <v>3634</v>
      </c>
      <c r="U1330" t="s">
        <v>3636</v>
      </c>
    </row>
    <row r="1331" spans="1:21" x14ac:dyDescent="0.25">
      <c r="A1331" t="s">
        <v>2534</v>
      </c>
      <c r="B1331" s="1">
        <v>45663</v>
      </c>
      <c r="C1331" t="s">
        <v>2294</v>
      </c>
      <c r="D1331" t="s">
        <v>30</v>
      </c>
      <c r="E1331" t="s">
        <v>18</v>
      </c>
      <c r="F1331" t="s">
        <v>19</v>
      </c>
      <c r="G1331" t="s">
        <v>32</v>
      </c>
      <c r="H1331" t="s">
        <v>149</v>
      </c>
      <c r="I1331">
        <v>4</v>
      </c>
      <c r="J1331">
        <v>9.43</v>
      </c>
      <c r="K1331">
        <v>20</v>
      </c>
      <c r="L1331">
        <v>30.18</v>
      </c>
      <c r="M1331">
        <v>12.83</v>
      </c>
      <c r="N1331">
        <v>0.38</v>
      </c>
      <c r="O1331" t="s">
        <v>39</v>
      </c>
      <c r="P1331">
        <v>2025</v>
      </c>
      <c r="Q1331" t="s">
        <v>3631</v>
      </c>
      <c r="R1331">
        <v>24.143999999999998</v>
      </c>
      <c r="S1331">
        <v>1.5738899933730899E-2</v>
      </c>
      <c r="T1331" t="s">
        <v>3634</v>
      </c>
      <c r="U1331" t="s">
        <v>3633</v>
      </c>
    </row>
    <row r="1332" spans="1:21" x14ac:dyDescent="0.25">
      <c r="A1332" t="s">
        <v>2535</v>
      </c>
      <c r="B1332" s="1">
        <v>45663</v>
      </c>
      <c r="C1332" t="s">
        <v>2434</v>
      </c>
      <c r="D1332" t="s">
        <v>49</v>
      </c>
      <c r="E1332" t="s">
        <v>31</v>
      </c>
      <c r="F1332" t="s">
        <v>19</v>
      </c>
      <c r="G1332" t="s">
        <v>32</v>
      </c>
      <c r="H1332" t="s">
        <v>50</v>
      </c>
      <c r="I1332">
        <v>3</v>
      </c>
      <c r="J1332">
        <v>18.18</v>
      </c>
      <c r="K1332">
        <v>0</v>
      </c>
      <c r="L1332">
        <v>54.54</v>
      </c>
      <c r="M1332">
        <v>7.27</v>
      </c>
      <c r="N1332">
        <v>22.73</v>
      </c>
      <c r="O1332" t="s">
        <v>39</v>
      </c>
      <c r="P1332">
        <v>2025</v>
      </c>
      <c r="Q1332" t="s">
        <v>3631</v>
      </c>
      <c r="R1332">
        <v>54.54</v>
      </c>
      <c r="S1332">
        <v>0.41675834250091698</v>
      </c>
      <c r="T1332" t="s">
        <v>3634</v>
      </c>
      <c r="U1332" t="s">
        <v>3633</v>
      </c>
    </row>
    <row r="1333" spans="1:21" x14ac:dyDescent="0.25">
      <c r="A1333" t="s">
        <v>2536</v>
      </c>
      <c r="B1333" s="1">
        <v>45665</v>
      </c>
      <c r="C1333" t="s">
        <v>2537</v>
      </c>
      <c r="D1333" t="s">
        <v>30</v>
      </c>
      <c r="E1333" t="s">
        <v>18</v>
      </c>
      <c r="F1333" t="s">
        <v>19</v>
      </c>
      <c r="G1333" t="s">
        <v>20</v>
      </c>
      <c r="H1333" t="s">
        <v>264</v>
      </c>
      <c r="I1333">
        <v>4</v>
      </c>
      <c r="J1333">
        <v>45.26</v>
      </c>
      <c r="K1333">
        <v>0</v>
      </c>
      <c r="L1333">
        <v>181.04</v>
      </c>
      <c r="M1333">
        <v>7.24</v>
      </c>
      <c r="N1333">
        <v>74.23</v>
      </c>
      <c r="O1333" t="s">
        <v>34</v>
      </c>
      <c r="P1333">
        <v>2025</v>
      </c>
      <c r="Q1333" t="s">
        <v>3631</v>
      </c>
      <c r="R1333">
        <v>181.04</v>
      </c>
      <c r="S1333">
        <v>0.41001988510826298</v>
      </c>
      <c r="T1333" t="s">
        <v>3632</v>
      </c>
      <c r="U1333" t="s">
        <v>3633</v>
      </c>
    </row>
    <row r="1334" spans="1:21" x14ac:dyDescent="0.25">
      <c r="A1334" t="s">
        <v>2538</v>
      </c>
      <c r="B1334" s="1">
        <v>45665</v>
      </c>
      <c r="C1334" t="s">
        <v>2539</v>
      </c>
      <c r="D1334" t="s">
        <v>30</v>
      </c>
      <c r="E1334" t="s">
        <v>169</v>
      </c>
      <c r="F1334" t="s">
        <v>68</v>
      </c>
      <c r="G1334" t="s">
        <v>32</v>
      </c>
      <c r="H1334" t="s">
        <v>132</v>
      </c>
      <c r="I1334">
        <v>2</v>
      </c>
      <c r="J1334">
        <v>12.48</v>
      </c>
      <c r="K1334">
        <v>10</v>
      </c>
      <c r="L1334">
        <v>22.46</v>
      </c>
      <c r="M1334">
        <v>12.39</v>
      </c>
      <c r="N1334">
        <v>-1.1599999999999999</v>
      </c>
      <c r="O1334" t="s">
        <v>56</v>
      </c>
      <c r="P1334">
        <v>2025</v>
      </c>
      <c r="Q1334" t="s">
        <v>3631</v>
      </c>
      <c r="R1334">
        <v>20.213999999999999</v>
      </c>
      <c r="S1334">
        <v>-5.7385970119719E-2</v>
      </c>
      <c r="T1334" t="s">
        <v>3634</v>
      </c>
      <c r="U1334" t="s">
        <v>3636</v>
      </c>
    </row>
    <row r="1335" spans="1:21" x14ac:dyDescent="0.25">
      <c r="A1335" t="s">
        <v>2540</v>
      </c>
      <c r="B1335" s="1">
        <v>45666</v>
      </c>
      <c r="C1335" t="s">
        <v>1078</v>
      </c>
      <c r="D1335" t="s">
        <v>30</v>
      </c>
      <c r="E1335" t="s">
        <v>37</v>
      </c>
      <c r="F1335" t="s">
        <v>26</v>
      </c>
      <c r="G1335" t="s">
        <v>32</v>
      </c>
      <c r="H1335" t="s">
        <v>50</v>
      </c>
      <c r="I1335">
        <v>3</v>
      </c>
      <c r="J1335">
        <v>9.4</v>
      </c>
      <c r="K1335">
        <v>5</v>
      </c>
      <c r="L1335">
        <v>26.79</v>
      </c>
      <c r="M1335">
        <v>11.24</v>
      </c>
      <c r="N1335">
        <v>2.86</v>
      </c>
      <c r="O1335" t="s">
        <v>56</v>
      </c>
      <c r="P1335">
        <v>2025</v>
      </c>
      <c r="Q1335" t="s">
        <v>3631</v>
      </c>
      <c r="R1335">
        <v>25.450500000000002</v>
      </c>
      <c r="S1335">
        <v>0.112375002455747</v>
      </c>
      <c r="T1335" t="s">
        <v>3634</v>
      </c>
      <c r="U1335" t="s">
        <v>3633</v>
      </c>
    </row>
    <row r="1336" spans="1:21" x14ac:dyDescent="0.25">
      <c r="A1336" t="s">
        <v>2541</v>
      </c>
      <c r="B1336" s="1">
        <v>45666</v>
      </c>
      <c r="C1336" t="s">
        <v>2542</v>
      </c>
      <c r="D1336" t="s">
        <v>30</v>
      </c>
      <c r="E1336" t="s">
        <v>129</v>
      </c>
      <c r="F1336" t="s">
        <v>19</v>
      </c>
      <c r="G1336" t="s">
        <v>32</v>
      </c>
      <c r="H1336" t="s">
        <v>149</v>
      </c>
      <c r="I1336">
        <v>3</v>
      </c>
      <c r="J1336">
        <v>9.86</v>
      </c>
      <c r="K1336">
        <v>10</v>
      </c>
      <c r="L1336">
        <v>26.62</v>
      </c>
      <c r="M1336">
        <v>7.69</v>
      </c>
      <c r="N1336">
        <v>5.62</v>
      </c>
      <c r="O1336" t="s">
        <v>34</v>
      </c>
      <c r="P1336">
        <v>2025</v>
      </c>
      <c r="Q1336" t="s">
        <v>3631</v>
      </c>
      <c r="R1336">
        <v>23.957999999999998</v>
      </c>
      <c r="S1336">
        <v>0.234577176725937</v>
      </c>
      <c r="T1336" t="s">
        <v>3634</v>
      </c>
      <c r="U1336" t="s">
        <v>3633</v>
      </c>
    </row>
    <row r="1337" spans="1:21" x14ac:dyDescent="0.25">
      <c r="A1337" t="s">
        <v>2543</v>
      </c>
      <c r="B1337" s="1">
        <v>45667</v>
      </c>
      <c r="C1337" t="s">
        <v>2544</v>
      </c>
      <c r="D1337" t="s">
        <v>17</v>
      </c>
      <c r="E1337" t="s">
        <v>76</v>
      </c>
      <c r="F1337" t="s">
        <v>26</v>
      </c>
      <c r="G1337" t="s">
        <v>20</v>
      </c>
      <c r="H1337" t="s">
        <v>106</v>
      </c>
      <c r="I1337">
        <v>3</v>
      </c>
      <c r="J1337">
        <v>73.19</v>
      </c>
      <c r="K1337">
        <v>10</v>
      </c>
      <c r="L1337">
        <v>197.61</v>
      </c>
      <c r="M1337">
        <v>12.36</v>
      </c>
      <c r="N1337">
        <v>64.489999999999995</v>
      </c>
      <c r="O1337" t="s">
        <v>34</v>
      </c>
      <c r="P1337">
        <v>2025</v>
      </c>
      <c r="Q1337" t="s">
        <v>3631</v>
      </c>
      <c r="R1337">
        <v>177.84899999999999</v>
      </c>
      <c r="S1337">
        <v>0.36261097897654798</v>
      </c>
      <c r="T1337" t="s">
        <v>3632</v>
      </c>
      <c r="U1337" t="s">
        <v>3633</v>
      </c>
    </row>
    <row r="1338" spans="1:21" x14ac:dyDescent="0.25">
      <c r="A1338" t="s">
        <v>2545</v>
      </c>
      <c r="B1338" s="1">
        <v>45668</v>
      </c>
      <c r="C1338" t="s">
        <v>2546</v>
      </c>
      <c r="D1338" t="s">
        <v>30</v>
      </c>
      <c r="E1338" t="s">
        <v>85</v>
      </c>
      <c r="F1338" t="s">
        <v>60</v>
      </c>
      <c r="G1338" t="s">
        <v>32</v>
      </c>
      <c r="H1338" t="s">
        <v>115</v>
      </c>
      <c r="I1338">
        <v>12</v>
      </c>
      <c r="J1338">
        <v>11.27</v>
      </c>
      <c r="K1338">
        <v>10</v>
      </c>
      <c r="L1338">
        <v>121.72</v>
      </c>
      <c r="M1338">
        <v>19.04</v>
      </c>
      <c r="N1338">
        <v>41.82</v>
      </c>
      <c r="O1338" t="s">
        <v>34</v>
      </c>
      <c r="P1338">
        <v>2025</v>
      </c>
      <c r="Q1338" t="s">
        <v>3631</v>
      </c>
      <c r="R1338">
        <v>109.548</v>
      </c>
      <c r="S1338">
        <v>0.38175046554934799</v>
      </c>
      <c r="T1338" t="s">
        <v>3632</v>
      </c>
      <c r="U1338" t="s">
        <v>3633</v>
      </c>
    </row>
    <row r="1339" spans="1:21" x14ac:dyDescent="0.25">
      <c r="A1339" t="s">
        <v>2547</v>
      </c>
      <c r="B1339" s="1">
        <v>45669</v>
      </c>
      <c r="C1339" t="s">
        <v>703</v>
      </c>
      <c r="D1339" t="s">
        <v>30</v>
      </c>
      <c r="E1339" t="s">
        <v>76</v>
      </c>
      <c r="F1339" t="s">
        <v>26</v>
      </c>
      <c r="G1339" t="s">
        <v>69</v>
      </c>
      <c r="H1339" t="s">
        <v>70</v>
      </c>
      <c r="I1339">
        <v>10</v>
      </c>
      <c r="J1339">
        <v>56.84</v>
      </c>
      <c r="K1339">
        <v>5</v>
      </c>
      <c r="L1339">
        <v>539.98</v>
      </c>
      <c r="M1339">
        <v>24.76</v>
      </c>
      <c r="N1339">
        <v>231.02</v>
      </c>
      <c r="O1339" t="s">
        <v>22</v>
      </c>
      <c r="P1339">
        <v>2025</v>
      </c>
      <c r="Q1339" t="s">
        <v>3631</v>
      </c>
      <c r="R1339">
        <v>512.98099999999999</v>
      </c>
      <c r="S1339">
        <v>0.45034806357350499</v>
      </c>
      <c r="T1339" t="s">
        <v>3635</v>
      </c>
      <c r="U1339" t="s">
        <v>3633</v>
      </c>
    </row>
    <row r="1340" spans="1:21" x14ac:dyDescent="0.25">
      <c r="A1340" t="s">
        <v>2548</v>
      </c>
      <c r="B1340" s="1">
        <v>45669</v>
      </c>
      <c r="C1340" t="s">
        <v>2549</v>
      </c>
      <c r="D1340" t="s">
        <v>30</v>
      </c>
      <c r="E1340" t="s">
        <v>18</v>
      </c>
      <c r="F1340" t="s">
        <v>19</v>
      </c>
      <c r="G1340" t="s">
        <v>69</v>
      </c>
      <c r="H1340" t="s">
        <v>70</v>
      </c>
      <c r="I1340">
        <v>3</v>
      </c>
      <c r="J1340">
        <v>17.66</v>
      </c>
      <c r="K1340">
        <v>0</v>
      </c>
      <c r="L1340">
        <v>52.98</v>
      </c>
      <c r="M1340">
        <v>6.7</v>
      </c>
      <c r="N1340">
        <v>19.79</v>
      </c>
      <c r="O1340" t="s">
        <v>34</v>
      </c>
      <c r="P1340">
        <v>2025</v>
      </c>
      <c r="Q1340" t="s">
        <v>3631</v>
      </c>
      <c r="R1340">
        <v>52.98</v>
      </c>
      <c r="S1340">
        <v>0.37353718384295997</v>
      </c>
      <c r="T1340" t="s">
        <v>3634</v>
      </c>
      <c r="U1340" t="s">
        <v>3633</v>
      </c>
    </row>
    <row r="1341" spans="1:21" x14ac:dyDescent="0.25">
      <c r="A1341" t="s">
        <v>2550</v>
      </c>
      <c r="B1341" s="1">
        <v>45671</v>
      </c>
      <c r="C1341" t="s">
        <v>2028</v>
      </c>
      <c r="D1341" t="s">
        <v>30</v>
      </c>
      <c r="E1341" t="s">
        <v>129</v>
      </c>
      <c r="F1341" t="s">
        <v>19</v>
      </c>
      <c r="G1341" t="s">
        <v>20</v>
      </c>
      <c r="H1341" t="s">
        <v>21</v>
      </c>
      <c r="I1341">
        <v>5</v>
      </c>
      <c r="J1341">
        <v>185.01</v>
      </c>
      <c r="K1341">
        <v>0</v>
      </c>
      <c r="L1341">
        <v>925.05</v>
      </c>
      <c r="M1341">
        <v>11.11</v>
      </c>
      <c r="N1341">
        <v>405.16</v>
      </c>
      <c r="O1341" t="s">
        <v>56</v>
      </c>
      <c r="P1341">
        <v>2025</v>
      </c>
      <c r="Q1341" t="s">
        <v>3631</v>
      </c>
      <c r="R1341">
        <v>925.05</v>
      </c>
      <c r="S1341">
        <v>0.43798713583049598</v>
      </c>
      <c r="T1341" t="s">
        <v>3635</v>
      </c>
      <c r="U1341" t="s">
        <v>3633</v>
      </c>
    </row>
    <row r="1342" spans="1:21" x14ac:dyDescent="0.25">
      <c r="A1342" t="s">
        <v>2551</v>
      </c>
      <c r="B1342" s="1">
        <v>45673</v>
      </c>
      <c r="C1342" t="s">
        <v>2222</v>
      </c>
      <c r="D1342" t="s">
        <v>17</v>
      </c>
      <c r="E1342" t="s">
        <v>135</v>
      </c>
      <c r="F1342" t="s">
        <v>26</v>
      </c>
      <c r="G1342" t="s">
        <v>69</v>
      </c>
      <c r="H1342" t="s">
        <v>79</v>
      </c>
      <c r="I1342">
        <v>5</v>
      </c>
      <c r="J1342">
        <v>82.49</v>
      </c>
      <c r="K1342">
        <v>10</v>
      </c>
      <c r="L1342">
        <v>371.2</v>
      </c>
      <c r="M1342">
        <v>12.32</v>
      </c>
      <c r="N1342">
        <v>152.66</v>
      </c>
      <c r="O1342" t="s">
        <v>34</v>
      </c>
      <c r="P1342">
        <v>2025</v>
      </c>
      <c r="Q1342" t="s">
        <v>3631</v>
      </c>
      <c r="R1342">
        <v>334.08</v>
      </c>
      <c r="S1342">
        <v>0.45695641762452099</v>
      </c>
      <c r="T1342" t="s">
        <v>3632</v>
      </c>
      <c r="U1342" t="s">
        <v>3633</v>
      </c>
    </row>
    <row r="1343" spans="1:21" x14ac:dyDescent="0.25">
      <c r="A1343" t="s">
        <v>2552</v>
      </c>
      <c r="B1343" s="1">
        <v>45674</v>
      </c>
      <c r="C1343" t="s">
        <v>2553</v>
      </c>
      <c r="D1343" t="s">
        <v>17</v>
      </c>
      <c r="E1343" t="s">
        <v>18</v>
      </c>
      <c r="F1343" t="s">
        <v>19</v>
      </c>
      <c r="G1343" t="s">
        <v>42</v>
      </c>
      <c r="H1343" t="s">
        <v>46</v>
      </c>
      <c r="I1343">
        <v>6</v>
      </c>
      <c r="J1343">
        <v>71.81</v>
      </c>
      <c r="K1343">
        <v>5</v>
      </c>
      <c r="L1343">
        <v>409.32</v>
      </c>
      <c r="M1343">
        <v>15.55</v>
      </c>
      <c r="N1343">
        <v>135.25</v>
      </c>
      <c r="O1343" t="s">
        <v>34</v>
      </c>
      <c r="P1343">
        <v>2025</v>
      </c>
      <c r="Q1343" t="s">
        <v>3631</v>
      </c>
      <c r="R1343">
        <v>388.85399999999998</v>
      </c>
      <c r="S1343">
        <v>0.34781691843211099</v>
      </c>
      <c r="T1343" t="s">
        <v>3632</v>
      </c>
      <c r="U1343" t="s">
        <v>3633</v>
      </c>
    </row>
    <row r="1344" spans="1:21" x14ac:dyDescent="0.25">
      <c r="A1344" t="s">
        <v>2554</v>
      </c>
      <c r="B1344" s="1">
        <v>45675</v>
      </c>
      <c r="C1344" t="s">
        <v>2555</v>
      </c>
      <c r="D1344" t="s">
        <v>30</v>
      </c>
      <c r="E1344" t="s">
        <v>53</v>
      </c>
      <c r="F1344" t="s">
        <v>54</v>
      </c>
      <c r="G1344" t="s">
        <v>20</v>
      </c>
      <c r="H1344" t="s">
        <v>264</v>
      </c>
      <c r="I1344">
        <v>5</v>
      </c>
      <c r="J1344">
        <v>67.72</v>
      </c>
      <c r="K1344">
        <v>0</v>
      </c>
      <c r="L1344">
        <v>338.6</v>
      </c>
      <c r="M1344">
        <v>14.18</v>
      </c>
      <c r="N1344">
        <v>138.19</v>
      </c>
      <c r="O1344" t="s">
        <v>34</v>
      </c>
      <c r="P1344">
        <v>2025</v>
      </c>
      <c r="Q1344" t="s">
        <v>3631</v>
      </c>
      <c r="R1344">
        <v>338.6</v>
      </c>
      <c r="S1344">
        <v>0.40812167749556999</v>
      </c>
      <c r="T1344" t="s">
        <v>3632</v>
      </c>
      <c r="U1344" t="s">
        <v>3633</v>
      </c>
    </row>
    <row r="1345" spans="1:21" x14ac:dyDescent="0.25">
      <c r="A1345" t="s">
        <v>2556</v>
      </c>
      <c r="B1345" s="1">
        <v>45676</v>
      </c>
      <c r="C1345" t="s">
        <v>2557</v>
      </c>
      <c r="D1345" t="s">
        <v>49</v>
      </c>
      <c r="E1345" t="s">
        <v>121</v>
      </c>
      <c r="F1345" t="s">
        <v>68</v>
      </c>
      <c r="G1345" t="s">
        <v>32</v>
      </c>
      <c r="H1345" t="s">
        <v>33</v>
      </c>
      <c r="I1345">
        <v>2</v>
      </c>
      <c r="J1345">
        <v>5.74</v>
      </c>
      <c r="K1345">
        <v>20</v>
      </c>
      <c r="L1345">
        <v>9.18</v>
      </c>
      <c r="M1345">
        <v>13.02</v>
      </c>
      <c r="N1345">
        <v>-9.01</v>
      </c>
      <c r="O1345" t="s">
        <v>34</v>
      </c>
      <c r="P1345">
        <v>2025</v>
      </c>
      <c r="Q1345" t="s">
        <v>3631</v>
      </c>
      <c r="R1345">
        <v>7.3440000000000003</v>
      </c>
      <c r="S1345">
        <v>-1.2268518518518501</v>
      </c>
      <c r="T1345" t="s">
        <v>3634</v>
      </c>
      <c r="U1345" t="s">
        <v>3636</v>
      </c>
    </row>
    <row r="1346" spans="1:21" x14ac:dyDescent="0.25">
      <c r="A1346" t="s">
        <v>2558</v>
      </c>
      <c r="B1346" s="1">
        <v>45676</v>
      </c>
      <c r="C1346" t="s">
        <v>2559</v>
      </c>
      <c r="D1346" t="s">
        <v>30</v>
      </c>
      <c r="E1346" t="s">
        <v>85</v>
      </c>
      <c r="F1346" t="s">
        <v>60</v>
      </c>
      <c r="G1346" t="s">
        <v>20</v>
      </c>
      <c r="H1346" t="s">
        <v>38</v>
      </c>
      <c r="I1346">
        <v>4</v>
      </c>
      <c r="J1346">
        <v>87.29</v>
      </c>
      <c r="K1346">
        <v>0</v>
      </c>
      <c r="L1346">
        <v>349.16</v>
      </c>
      <c r="M1346">
        <v>12.84</v>
      </c>
      <c r="N1346">
        <v>144.28</v>
      </c>
      <c r="O1346" t="s">
        <v>56</v>
      </c>
      <c r="P1346">
        <v>2025</v>
      </c>
      <c r="Q1346" t="s">
        <v>3631</v>
      </c>
      <c r="R1346">
        <v>349.16</v>
      </c>
      <c r="S1346">
        <v>0.41322030014892902</v>
      </c>
      <c r="T1346" t="s">
        <v>3632</v>
      </c>
      <c r="U1346" t="s">
        <v>3633</v>
      </c>
    </row>
    <row r="1347" spans="1:21" x14ac:dyDescent="0.25">
      <c r="A1347" t="s">
        <v>2560</v>
      </c>
      <c r="B1347" s="1">
        <v>45677</v>
      </c>
      <c r="C1347" t="s">
        <v>2561</v>
      </c>
      <c r="D1347" t="s">
        <v>17</v>
      </c>
      <c r="E1347" t="s">
        <v>121</v>
      </c>
      <c r="F1347" t="s">
        <v>68</v>
      </c>
      <c r="G1347" t="s">
        <v>20</v>
      </c>
      <c r="H1347" t="s">
        <v>199</v>
      </c>
      <c r="I1347">
        <v>2</v>
      </c>
      <c r="J1347">
        <v>95.46</v>
      </c>
      <c r="K1347">
        <v>10</v>
      </c>
      <c r="L1347">
        <v>171.83</v>
      </c>
      <c r="M1347">
        <v>14.34</v>
      </c>
      <c r="N1347">
        <v>52.48</v>
      </c>
      <c r="O1347" t="s">
        <v>34</v>
      </c>
      <c r="P1347">
        <v>2025</v>
      </c>
      <c r="Q1347" t="s">
        <v>3631</v>
      </c>
      <c r="R1347">
        <v>154.64699999999999</v>
      </c>
      <c r="S1347">
        <v>0.33935349537979997</v>
      </c>
      <c r="T1347" t="s">
        <v>3632</v>
      </c>
      <c r="U1347" t="s">
        <v>3633</v>
      </c>
    </row>
    <row r="1348" spans="1:21" x14ac:dyDescent="0.25">
      <c r="A1348" t="s">
        <v>2562</v>
      </c>
      <c r="B1348" s="1">
        <v>45677</v>
      </c>
      <c r="C1348" t="s">
        <v>2563</v>
      </c>
      <c r="D1348" t="s">
        <v>30</v>
      </c>
      <c r="E1348" t="s">
        <v>148</v>
      </c>
      <c r="F1348" t="s">
        <v>60</v>
      </c>
      <c r="G1348" t="s">
        <v>42</v>
      </c>
      <c r="H1348" t="s">
        <v>118</v>
      </c>
      <c r="I1348">
        <v>1</v>
      </c>
      <c r="J1348">
        <v>32.200000000000003</v>
      </c>
      <c r="K1348">
        <v>0</v>
      </c>
      <c r="L1348">
        <v>32.200000000000003</v>
      </c>
      <c r="M1348">
        <v>11.24</v>
      </c>
      <c r="N1348">
        <v>1.64</v>
      </c>
      <c r="O1348" t="s">
        <v>34</v>
      </c>
      <c r="P1348">
        <v>2025</v>
      </c>
      <c r="Q1348" t="s">
        <v>3631</v>
      </c>
      <c r="R1348">
        <v>32.200000000000003</v>
      </c>
      <c r="S1348">
        <v>5.0931677018633499E-2</v>
      </c>
      <c r="T1348" t="s">
        <v>3634</v>
      </c>
      <c r="U1348" t="s">
        <v>3633</v>
      </c>
    </row>
    <row r="1349" spans="1:21" x14ac:dyDescent="0.25">
      <c r="A1349" t="s">
        <v>2564</v>
      </c>
      <c r="B1349" s="1">
        <v>45678</v>
      </c>
      <c r="C1349" t="s">
        <v>2565</v>
      </c>
      <c r="D1349" t="s">
        <v>30</v>
      </c>
      <c r="E1349" t="s">
        <v>63</v>
      </c>
      <c r="F1349" t="s">
        <v>54</v>
      </c>
      <c r="G1349" t="s">
        <v>42</v>
      </c>
      <c r="H1349" t="s">
        <v>294</v>
      </c>
      <c r="I1349">
        <v>1</v>
      </c>
      <c r="J1349">
        <v>266.33</v>
      </c>
      <c r="K1349">
        <v>10</v>
      </c>
      <c r="L1349">
        <v>239.7</v>
      </c>
      <c r="M1349">
        <v>12.81</v>
      </c>
      <c r="N1349">
        <v>67.09</v>
      </c>
      <c r="O1349" t="s">
        <v>56</v>
      </c>
      <c r="P1349">
        <v>2025</v>
      </c>
      <c r="Q1349" t="s">
        <v>3631</v>
      </c>
      <c r="R1349">
        <v>215.73</v>
      </c>
      <c r="S1349">
        <v>0.310990590089464</v>
      </c>
      <c r="T1349" t="s">
        <v>3632</v>
      </c>
      <c r="U1349" t="s">
        <v>3633</v>
      </c>
    </row>
    <row r="1350" spans="1:21" x14ac:dyDescent="0.25">
      <c r="A1350" t="s">
        <v>2566</v>
      </c>
      <c r="B1350" s="1">
        <v>45679</v>
      </c>
      <c r="C1350" t="s">
        <v>2567</v>
      </c>
      <c r="D1350" t="s">
        <v>30</v>
      </c>
      <c r="E1350" t="s">
        <v>76</v>
      </c>
      <c r="F1350" t="s">
        <v>26</v>
      </c>
      <c r="G1350" t="s">
        <v>42</v>
      </c>
      <c r="H1350" t="s">
        <v>93</v>
      </c>
      <c r="I1350">
        <v>8</v>
      </c>
      <c r="J1350">
        <v>162.72999999999999</v>
      </c>
      <c r="K1350">
        <v>5</v>
      </c>
      <c r="L1350">
        <v>1236.75</v>
      </c>
      <c r="M1350">
        <v>21.92</v>
      </c>
      <c r="N1350">
        <v>433.73</v>
      </c>
      <c r="O1350" t="s">
        <v>56</v>
      </c>
      <c r="P1350">
        <v>2025</v>
      </c>
      <c r="Q1350" t="s">
        <v>3631</v>
      </c>
      <c r="R1350">
        <v>1174.9124999999999</v>
      </c>
      <c r="S1350">
        <v>0.36915940548764298</v>
      </c>
      <c r="T1350" t="s">
        <v>3635</v>
      </c>
      <c r="U1350" t="s">
        <v>3633</v>
      </c>
    </row>
    <row r="1351" spans="1:21" x14ac:dyDescent="0.25">
      <c r="A1351" t="s">
        <v>2568</v>
      </c>
      <c r="B1351" s="1">
        <v>45681</v>
      </c>
      <c r="C1351" t="s">
        <v>2569</v>
      </c>
      <c r="D1351" t="s">
        <v>30</v>
      </c>
      <c r="E1351" t="s">
        <v>135</v>
      </c>
      <c r="F1351" t="s">
        <v>26</v>
      </c>
      <c r="G1351" t="s">
        <v>32</v>
      </c>
      <c r="H1351" t="s">
        <v>348</v>
      </c>
      <c r="I1351">
        <v>4</v>
      </c>
      <c r="J1351">
        <v>9.15</v>
      </c>
      <c r="K1351">
        <v>0</v>
      </c>
      <c r="L1351">
        <v>36.6</v>
      </c>
      <c r="M1351">
        <v>14.1</v>
      </c>
      <c r="N1351">
        <v>6.03</v>
      </c>
      <c r="O1351" t="s">
        <v>22</v>
      </c>
      <c r="P1351">
        <v>2025</v>
      </c>
      <c r="Q1351" t="s">
        <v>3631</v>
      </c>
      <c r="R1351">
        <v>36.6</v>
      </c>
      <c r="S1351">
        <v>0.16475409836065599</v>
      </c>
      <c r="T1351" t="s">
        <v>3634</v>
      </c>
      <c r="U1351" t="s">
        <v>3633</v>
      </c>
    </row>
    <row r="1352" spans="1:21" x14ac:dyDescent="0.25">
      <c r="A1352" t="s">
        <v>2570</v>
      </c>
      <c r="B1352" s="1">
        <v>45681</v>
      </c>
      <c r="C1352" t="s">
        <v>2571</v>
      </c>
      <c r="D1352" t="s">
        <v>49</v>
      </c>
      <c r="E1352" t="s">
        <v>59</v>
      </c>
      <c r="F1352" t="s">
        <v>60</v>
      </c>
      <c r="G1352" t="s">
        <v>69</v>
      </c>
      <c r="H1352" t="s">
        <v>305</v>
      </c>
      <c r="I1352">
        <v>2</v>
      </c>
      <c r="J1352">
        <v>31.26</v>
      </c>
      <c r="K1352">
        <v>15</v>
      </c>
      <c r="L1352">
        <v>53.14</v>
      </c>
      <c r="M1352">
        <v>10.33</v>
      </c>
      <c r="N1352">
        <v>11.55</v>
      </c>
      <c r="O1352" t="s">
        <v>22</v>
      </c>
      <c r="P1352">
        <v>2025</v>
      </c>
      <c r="Q1352" t="s">
        <v>3631</v>
      </c>
      <c r="R1352">
        <v>45.168999999999997</v>
      </c>
      <c r="S1352">
        <v>0.255706347273573</v>
      </c>
      <c r="T1352" t="s">
        <v>3634</v>
      </c>
      <c r="U1352" t="s">
        <v>3633</v>
      </c>
    </row>
    <row r="1353" spans="1:21" x14ac:dyDescent="0.25">
      <c r="A1353" t="s">
        <v>2572</v>
      </c>
      <c r="B1353" s="1">
        <v>45681</v>
      </c>
      <c r="C1353" t="s">
        <v>2303</v>
      </c>
      <c r="D1353" t="s">
        <v>30</v>
      </c>
      <c r="E1353" t="s">
        <v>129</v>
      </c>
      <c r="F1353" t="s">
        <v>19</v>
      </c>
      <c r="G1353" t="s">
        <v>42</v>
      </c>
      <c r="H1353" t="s">
        <v>294</v>
      </c>
      <c r="I1353">
        <v>5</v>
      </c>
      <c r="J1353">
        <v>186.71</v>
      </c>
      <c r="K1353">
        <v>15</v>
      </c>
      <c r="L1353">
        <v>793.52</v>
      </c>
      <c r="M1353">
        <v>11.33</v>
      </c>
      <c r="N1353">
        <v>222.06</v>
      </c>
      <c r="O1353" t="s">
        <v>56</v>
      </c>
      <c r="P1353">
        <v>2025</v>
      </c>
      <c r="Q1353" t="s">
        <v>3631</v>
      </c>
      <c r="R1353">
        <v>674.49199999999996</v>
      </c>
      <c r="S1353">
        <v>0.32922555048836799</v>
      </c>
      <c r="T1353" t="s">
        <v>3635</v>
      </c>
      <c r="U1353" t="s">
        <v>3633</v>
      </c>
    </row>
    <row r="1354" spans="1:21" x14ac:dyDescent="0.25">
      <c r="A1354" t="s">
        <v>2573</v>
      </c>
      <c r="B1354" s="1">
        <v>45681</v>
      </c>
      <c r="C1354" t="s">
        <v>75</v>
      </c>
      <c r="D1354" t="s">
        <v>49</v>
      </c>
      <c r="E1354" t="s">
        <v>18</v>
      </c>
      <c r="F1354" t="s">
        <v>19</v>
      </c>
      <c r="G1354" t="s">
        <v>42</v>
      </c>
      <c r="H1354" t="s">
        <v>255</v>
      </c>
      <c r="I1354">
        <v>4</v>
      </c>
      <c r="J1354">
        <v>49.36</v>
      </c>
      <c r="K1354">
        <v>20</v>
      </c>
      <c r="L1354">
        <v>157.94999999999999</v>
      </c>
      <c r="M1354">
        <v>12.59</v>
      </c>
      <c r="N1354">
        <v>26.9</v>
      </c>
      <c r="O1354" t="s">
        <v>39</v>
      </c>
      <c r="P1354">
        <v>2025</v>
      </c>
      <c r="Q1354" t="s">
        <v>3631</v>
      </c>
      <c r="R1354">
        <v>126.36</v>
      </c>
      <c r="S1354">
        <v>0.212883823994935</v>
      </c>
      <c r="T1354" t="s">
        <v>3632</v>
      </c>
      <c r="U1354" t="s">
        <v>3633</v>
      </c>
    </row>
    <row r="1355" spans="1:21" x14ac:dyDescent="0.25">
      <c r="A1355" t="s">
        <v>2574</v>
      </c>
      <c r="B1355" s="1">
        <v>45682</v>
      </c>
      <c r="C1355" t="s">
        <v>2575</v>
      </c>
      <c r="D1355" t="s">
        <v>30</v>
      </c>
      <c r="E1355" t="s">
        <v>166</v>
      </c>
      <c r="F1355" t="s">
        <v>60</v>
      </c>
      <c r="G1355" t="s">
        <v>42</v>
      </c>
      <c r="H1355" t="s">
        <v>46</v>
      </c>
      <c r="I1355">
        <v>3</v>
      </c>
      <c r="J1355">
        <v>68.02</v>
      </c>
      <c r="K1355">
        <v>15</v>
      </c>
      <c r="L1355">
        <v>173.45</v>
      </c>
      <c r="M1355">
        <v>15.65</v>
      </c>
      <c r="N1355">
        <v>35.36</v>
      </c>
      <c r="O1355" t="s">
        <v>39</v>
      </c>
      <c r="P1355">
        <v>2025</v>
      </c>
      <c r="Q1355" t="s">
        <v>3631</v>
      </c>
      <c r="R1355">
        <v>147.4325</v>
      </c>
      <c r="S1355">
        <v>0.23983857019313901</v>
      </c>
      <c r="T1355" t="s">
        <v>3632</v>
      </c>
      <c r="U1355" t="s">
        <v>3633</v>
      </c>
    </row>
    <row r="1356" spans="1:21" x14ac:dyDescent="0.25">
      <c r="A1356" t="s">
        <v>2576</v>
      </c>
      <c r="B1356" s="1">
        <v>45683</v>
      </c>
      <c r="C1356" t="s">
        <v>2577</v>
      </c>
      <c r="D1356" t="s">
        <v>49</v>
      </c>
      <c r="E1356" t="s">
        <v>63</v>
      </c>
      <c r="F1356" t="s">
        <v>54</v>
      </c>
      <c r="G1356" t="s">
        <v>42</v>
      </c>
      <c r="H1356" t="s">
        <v>118</v>
      </c>
      <c r="I1356">
        <v>4</v>
      </c>
      <c r="J1356">
        <v>79.25</v>
      </c>
      <c r="K1356">
        <v>20</v>
      </c>
      <c r="L1356">
        <v>253.6</v>
      </c>
      <c r="M1356">
        <v>18.23</v>
      </c>
      <c r="N1356">
        <v>45.17</v>
      </c>
      <c r="O1356" t="s">
        <v>34</v>
      </c>
      <c r="P1356">
        <v>2025</v>
      </c>
      <c r="Q1356" t="s">
        <v>3631</v>
      </c>
      <c r="R1356">
        <v>202.88</v>
      </c>
      <c r="S1356">
        <v>0.222643927444795</v>
      </c>
      <c r="T1356" t="s">
        <v>3632</v>
      </c>
      <c r="U1356" t="s">
        <v>3633</v>
      </c>
    </row>
    <row r="1357" spans="1:21" x14ac:dyDescent="0.25">
      <c r="A1357" t="s">
        <v>2578</v>
      </c>
      <c r="B1357" s="1">
        <v>45683</v>
      </c>
      <c r="C1357" t="s">
        <v>514</v>
      </c>
      <c r="D1357" t="s">
        <v>17</v>
      </c>
      <c r="E1357" t="s">
        <v>129</v>
      </c>
      <c r="F1357" t="s">
        <v>19</v>
      </c>
      <c r="G1357" t="s">
        <v>20</v>
      </c>
      <c r="H1357" t="s">
        <v>264</v>
      </c>
      <c r="I1357">
        <v>1</v>
      </c>
      <c r="J1357">
        <v>43.25</v>
      </c>
      <c r="K1357">
        <v>5</v>
      </c>
      <c r="L1357">
        <v>41.09</v>
      </c>
      <c r="M1357">
        <v>5.62</v>
      </c>
      <c r="N1357">
        <v>11.68</v>
      </c>
      <c r="O1357" t="s">
        <v>56</v>
      </c>
      <c r="P1357">
        <v>2025</v>
      </c>
      <c r="Q1357" t="s">
        <v>3631</v>
      </c>
      <c r="R1357">
        <v>39.035499999999999</v>
      </c>
      <c r="S1357">
        <v>0.29921481728170501</v>
      </c>
      <c r="T1357" t="s">
        <v>3634</v>
      </c>
      <c r="U1357" t="s">
        <v>3633</v>
      </c>
    </row>
    <row r="1358" spans="1:21" x14ac:dyDescent="0.25">
      <c r="A1358" t="s">
        <v>2579</v>
      </c>
      <c r="B1358" s="1">
        <v>45683</v>
      </c>
      <c r="C1358" t="s">
        <v>2580</v>
      </c>
      <c r="D1358" t="s">
        <v>30</v>
      </c>
      <c r="E1358" t="s">
        <v>59</v>
      </c>
      <c r="F1358" t="s">
        <v>60</v>
      </c>
      <c r="G1358" t="s">
        <v>42</v>
      </c>
      <c r="H1358" t="s">
        <v>93</v>
      </c>
      <c r="I1358">
        <v>2</v>
      </c>
      <c r="J1358">
        <v>306.48</v>
      </c>
      <c r="K1358">
        <v>0</v>
      </c>
      <c r="L1358">
        <v>612.96</v>
      </c>
      <c r="M1358">
        <v>11.3</v>
      </c>
      <c r="N1358">
        <v>233.88</v>
      </c>
      <c r="O1358" t="s">
        <v>34</v>
      </c>
      <c r="P1358">
        <v>2025</v>
      </c>
      <c r="Q1358" t="s">
        <v>3631</v>
      </c>
      <c r="R1358">
        <v>612.96</v>
      </c>
      <c r="S1358">
        <v>0.38155833985904503</v>
      </c>
      <c r="T1358" t="s">
        <v>3635</v>
      </c>
      <c r="U1358" t="s">
        <v>3633</v>
      </c>
    </row>
    <row r="1359" spans="1:21" x14ac:dyDescent="0.25">
      <c r="A1359" t="s">
        <v>2581</v>
      </c>
      <c r="B1359" s="1">
        <v>45683</v>
      </c>
      <c r="C1359" t="s">
        <v>254</v>
      </c>
      <c r="D1359" t="s">
        <v>49</v>
      </c>
      <c r="E1359" t="s">
        <v>31</v>
      </c>
      <c r="F1359" t="s">
        <v>19</v>
      </c>
      <c r="G1359" t="s">
        <v>20</v>
      </c>
      <c r="H1359" t="s">
        <v>175</v>
      </c>
      <c r="I1359">
        <v>2</v>
      </c>
      <c r="J1359">
        <v>52.22</v>
      </c>
      <c r="K1359">
        <v>15</v>
      </c>
      <c r="L1359">
        <v>88.77</v>
      </c>
      <c r="M1359">
        <v>9.8800000000000008</v>
      </c>
      <c r="N1359">
        <v>21.45</v>
      </c>
      <c r="O1359" t="s">
        <v>22</v>
      </c>
      <c r="P1359">
        <v>2025</v>
      </c>
      <c r="Q1359" t="s">
        <v>3631</v>
      </c>
      <c r="R1359">
        <v>75.454499999999996</v>
      </c>
      <c r="S1359">
        <v>0.28427727968510802</v>
      </c>
      <c r="T1359" t="s">
        <v>3634</v>
      </c>
      <c r="U1359" t="s">
        <v>3633</v>
      </c>
    </row>
    <row r="1360" spans="1:21" x14ac:dyDescent="0.25">
      <c r="A1360" t="s">
        <v>2582</v>
      </c>
      <c r="B1360" s="1">
        <v>45683</v>
      </c>
      <c r="C1360" t="s">
        <v>2583</v>
      </c>
      <c r="D1360" t="s">
        <v>30</v>
      </c>
      <c r="E1360" t="s">
        <v>135</v>
      </c>
      <c r="F1360" t="s">
        <v>26</v>
      </c>
      <c r="G1360" t="s">
        <v>42</v>
      </c>
      <c r="H1360" t="s">
        <v>255</v>
      </c>
      <c r="I1360">
        <v>1</v>
      </c>
      <c r="J1360">
        <v>16.32</v>
      </c>
      <c r="K1360">
        <v>10</v>
      </c>
      <c r="L1360">
        <v>14.69</v>
      </c>
      <c r="M1360">
        <v>9.3699999999999992</v>
      </c>
      <c r="N1360">
        <v>-4.47</v>
      </c>
      <c r="O1360" t="s">
        <v>34</v>
      </c>
      <c r="P1360">
        <v>2025</v>
      </c>
      <c r="Q1360" t="s">
        <v>3631</v>
      </c>
      <c r="R1360">
        <v>13.221</v>
      </c>
      <c r="S1360">
        <v>-0.3380984796914</v>
      </c>
      <c r="T1360" t="s">
        <v>3634</v>
      </c>
      <c r="U1360" t="s">
        <v>3636</v>
      </c>
    </row>
    <row r="1361" spans="1:21" x14ac:dyDescent="0.25">
      <c r="A1361" t="s">
        <v>2584</v>
      </c>
      <c r="B1361" s="1">
        <v>45683</v>
      </c>
      <c r="C1361" t="s">
        <v>2585</v>
      </c>
      <c r="D1361" t="s">
        <v>30</v>
      </c>
      <c r="E1361" t="s">
        <v>18</v>
      </c>
      <c r="F1361" t="s">
        <v>19</v>
      </c>
      <c r="G1361" t="s">
        <v>20</v>
      </c>
      <c r="H1361" t="s">
        <v>122</v>
      </c>
      <c r="I1361">
        <v>6</v>
      </c>
      <c r="J1361">
        <v>92.96</v>
      </c>
      <c r="K1361">
        <v>0</v>
      </c>
      <c r="L1361">
        <v>557.76</v>
      </c>
      <c r="M1361">
        <v>10.11</v>
      </c>
      <c r="N1361">
        <v>240.88</v>
      </c>
      <c r="O1361" t="s">
        <v>56</v>
      </c>
      <c r="P1361">
        <v>2025</v>
      </c>
      <c r="Q1361" t="s">
        <v>3631</v>
      </c>
      <c r="R1361">
        <v>557.76</v>
      </c>
      <c r="S1361">
        <v>0.43187033849684398</v>
      </c>
      <c r="T1361" t="s">
        <v>3635</v>
      </c>
      <c r="U1361" t="s">
        <v>3633</v>
      </c>
    </row>
    <row r="1362" spans="1:21" x14ac:dyDescent="0.25">
      <c r="A1362" t="s">
        <v>2586</v>
      </c>
      <c r="B1362" s="1">
        <v>45686</v>
      </c>
      <c r="C1362" t="s">
        <v>2587</v>
      </c>
      <c r="D1362" t="s">
        <v>30</v>
      </c>
      <c r="E1362" t="s">
        <v>121</v>
      </c>
      <c r="F1362" t="s">
        <v>68</v>
      </c>
      <c r="G1362" t="s">
        <v>20</v>
      </c>
      <c r="H1362" t="s">
        <v>55</v>
      </c>
      <c r="I1362">
        <v>7</v>
      </c>
      <c r="J1362">
        <v>63.72</v>
      </c>
      <c r="K1362">
        <v>20</v>
      </c>
      <c r="L1362">
        <v>356.83</v>
      </c>
      <c r="M1362">
        <v>27.31</v>
      </c>
      <c r="N1362">
        <v>84.2</v>
      </c>
      <c r="O1362" t="s">
        <v>34</v>
      </c>
      <c r="P1362">
        <v>2025</v>
      </c>
      <c r="Q1362" t="s">
        <v>3631</v>
      </c>
      <c r="R1362">
        <v>285.464</v>
      </c>
      <c r="S1362">
        <v>0.29495838354398402</v>
      </c>
      <c r="T1362" t="s">
        <v>3632</v>
      </c>
      <c r="U1362" t="s">
        <v>3633</v>
      </c>
    </row>
    <row r="1363" spans="1:21" x14ac:dyDescent="0.25">
      <c r="A1363" t="s">
        <v>2588</v>
      </c>
      <c r="B1363" s="1">
        <v>45687</v>
      </c>
      <c r="C1363" t="s">
        <v>1148</v>
      </c>
      <c r="D1363" t="s">
        <v>30</v>
      </c>
      <c r="E1363" t="s">
        <v>37</v>
      </c>
      <c r="F1363" t="s">
        <v>26</v>
      </c>
      <c r="G1363" t="s">
        <v>42</v>
      </c>
      <c r="H1363" t="s">
        <v>294</v>
      </c>
      <c r="I1363">
        <v>1</v>
      </c>
      <c r="J1363">
        <v>291.52</v>
      </c>
      <c r="K1363">
        <v>0</v>
      </c>
      <c r="L1363">
        <v>291.52</v>
      </c>
      <c r="M1363">
        <v>8.7799999999999994</v>
      </c>
      <c r="N1363">
        <v>107.83</v>
      </c>
      <c r="O1363" t="s">
        <v>34</v>
      </c>
      <c r="P1363">
        <v>2025</v>
      </c>
      <c r="Q1363" t="s">
        <v>3631</v>
      </c>
      <c r="R1363">
        <v>291.52</v>
      </c>
      <c r="S1363">
        <v>0.36988885839736602</v>
      </c>
      <c r="T1363" t="s">
        <v>3632</v>
      </c>
      <c r="U1363" t="s">
        <v>3633</v>
      </c>
    </row>
    <row r="1364" spans="1:21" x14ac:dyDescent="0.25">
      <c r="A1364" t="s">
        <v>2589</v>
      </c>
      <c r="B1364" s="1">
        <v>45689</v>
      </c>
      <c r="C1364" t="s">
        <v>2590</v>
      </c>
      <c r="D1364" t="s">
        <v>30</v>
      </c>
      <c r="E1364" t="s">
        <v>248</v>
      </c>
      <c r="F1364" t="s">
        <v>26</v>
      </c>
      <c r="G1364" t="s">
        <v>69</v>
      </c>
      <c r="H1364" t="s">
        <v>139</v>
      </c>
      <c r="I1364">
        <v>3</v>
      </c>
      <c r="J1364">
        <v>62.51</v>
      </c>
      <c r="K1364">
        <v>20</v>
      </c>
      <c r="L1364">
        <v>150.02000000000001</v>
      </c>
      <c r="M1364">
        <v>12.95</v>
      </c>
      <c r="N1364">
        <v>43.31</v>
      </c>
      <c r="O1364" t="s">
        <v>39</v>
      </c>
      <c r="P1364">
        <v>2025</v>
      </c>
      <c r="Q1364" t="s">
        <v>3637</v>
      </c>
      <c r="R1364">
        <v>120.01600000000001</v>
      </c>
      <c r="S1364">
        <v>0.36086855085988501</v>
      </c>
      <c r="T1364" t="s">
        <v>3632</v>
      </c>
      <c r="U1364" t="s">
        <v>3633</v>
      </c>
    </row>
    <row r="1365" spans="1:21" x14ac:dyDescent="0.25">
      <c r="A1365" t="s">
        <v>2591</v>
      </c>
      <c r="B1365" s="1">
        <v>45690</v>
      </c>
      <c r="C1365" t="s">
        <v>2592</v>
      </c>
      <c r="D1365" t="s">
        <v>30</v>
      </c>
      <c r="E1365" t="s">
        <v>25</v>
      </c>
      <c r="F1365" t="s">
        <v>26</v>
      </c>
      <c r="G1365" t="s">
        <v>20</v>
      </c>
      <c r="H1365" t="s">
        <v>199</v>
      </c>
      <c r="I1365">
        <v>1</v>
      </c>
      <c r="J1365">
        <v>72.27</v>
      </c>
      <c r="K1365">
        <v>10</v>
      </c>
      <c r="L1365">
        <v>65.040000000000006</v>
      </c>
      <c r="M1365">
        <v>9.2200000000000006</v>
      </c>
      <c r="N1365">
        <v>16.07</v>
      </c>
      <c r="O1365" t="s">
        <v>56</v>
      </c>
      <c r="P1365">
        <v>2025</v>
      </c>
      <c r="Q1365" t="s">
        <v>3637</v>
      </c>
      <c r="R1365">
        <v>58.536000000000001</v>
      </c>
      <c r="S1365">
        <v>0.27453191198578702</v>
      </c>
      <c r="T1365" t="s">
        <v>3634</v>
      </c>
      <c r="U1365" t="s">
        <v>3633</v>
      </c>
    </row>
    <row r="1366" spans="1:21" x14ac:dyDescent="0.25">
      <c r="A1366" t="s">
        <v>2593</v>
      </c>
      <c r="B1366" s="1">
        <v>45691</v>
      </c>
      <c r="C1366" t="s">
        <v>2594</v>
      </c>
      <c r="D1366" t="s">
        <v>17</v>
      </c>
      <c r="E1366" t="s">
        <v>67</v>
      </c>
      <c r="F1366" t="s">
        <v>68</v>
      </c>
      <c r="G1366" t="s">
        <v>20</v>
      </c>
      <c r="H1366" t="s">
        <v>199</v>
      </c>
      <c r="I1366">
        <v>1</v>
      </c>
      <c r="J1366">
        <v>62.62</v>
      </c>
      <c r="K1366">
        <v>10</v>
      </c>
      <c r="L1366">
        <v>56.36</v>
      </c>
      <c r="M1366">
        <v>11.29</v>
      </c>
      <c r="N1366">
        <v>10.63</v>
      </c>
      <c r="O1366" t="s">
        <v>39</v>
      </c>
      <c r="P1366">
        <v>2025</v>
      </c>
      <c r="Q1366" t="s">
        <v>3637</v>
      </c>
      <c r="R1366">
        <v>50.723999999999997</v>
      </c>
      <c r="S1366">
        <v>0.20956549168046701</v>
      </c>
      <c r="T1366" t="s">
        <v>3634</v>
      </c>
      <c r="U1366" t="s">
        <v>3633</v>
      </c>
    </row>
    <row r="1367" spans="1:21" x14ac:dyDescent="0.25">
      <c r="A1367" t="s">
        <v>2595</v>
      </c>
      <c r="B1367" s="1">
        <v>45691</v>
      </c>
      <c r="C1367" t="s">
        <v>347</v>
      </c>
      <c r="D1367" t="s">
        <v>30</v>
      </c>
      <c r="E1367" t="s">
        <v>37</v>
      </c>
      <c r="F1367" t="s">
        <v>26</v>
      </c>
      <c r="G1367" t="s">
        <v>42</v>
      </c>
      <c r="H1367" t="s">
        <v>64</v>
      </c>
      <c r="I1367">
        <v>7</v>
      </c>
      <c r="J1367">
        <v>46.41</v>
      </c>
      <c r="K1367">
        <v>25</v>
      </c>
      <c r="L1367">
        <v>243.65</v>
      </c>
      <c r="M1367">
        <v>12.24</v>
      </c>
      <c r="N1367">
        <v>36.49</v>
      </c>
      <c r="O1367" t="s">
        <v>22</v>
      </c>
      <c r="P1367">
        <v>2025</v>
      </c>
      <c r="Q1367" t="s">
        <v>3637</v>
      </c>
      <c r="R1367">
        <v>182.73750000000001</v>
      </c>
      <c r="S1367">
        <v>0.19968534099459601</v>
      </c>
      <c r="T1367" t="s">
        <v>3632</v>
      </c>
      <c r="U1367" t="s">
        <v>3633</v>
      </c>
    </row>
    <row r="1368" spans="1:21" x14ac:dyDescent="0.25">
      <c r="A1368" t="s">
        <v>2596</v>
      </c>
      <c r="B1368" s="1">
        <v>45693</v>
      </c>
      <c r="C1368" t="s">
        <v>2597</v>
      </c>
      <c r="D1368" t="s">
        <v>30</v>
      </c>
      <c r="E1368" t="s">
        <v>92</v>
      </c>
      <c r="F1368" t="s">
        <v>60</v>
      </c>
      <c r="G1368" t="s">
        <v>69</v>
      </c>
      <c r="H1368" t="s">
        <v>243</v>
      </c>
      <c r="I1368">
        <v>4</v>
      </c>
      <c r="J1368">
        <v>27.85</v>
      </c>
      <c r="K1368">
        <v>5</v>
      </c>
      <c r="L1368">
        <v>105.83</v>
      </c>
      <c r="M1368">
        <v>18.91</v>
      </c>
      <c r="N1368">
        <v>31.22</v>
      </c>
      <c r="O1368" t="s">
        <v>39</v>
      </c>
      <c r="P1368">
        <v>2025</v>
      </c>
      <c r="Q1368" t="s">
        <v>3637</v>
      </c>
      <c r="R1368">
        <v>100.5385</v>
      </c>
      <c r="S1368">
        <v>0.31052780775523797</v>
      </c>
      <c r="T1368" t="s">
        <v>3632</v>
      </c>
      <c r="U1368" t="s">
        <v>3633</v>
      </c>
    </row>
    <row r="1369" spans="1:21" x14ac:dyDescent="0.25">
      <c r="A1369" t="s">
        <v>2598</v>
      </c>
      <c r="B1369" s="1">
        <v>45693</v>
      </c>
      <c r="C1369" t="s">
        <v>2599</v>
      </c>
      <c r="D1369" t="s">
        <v>30</v>
      </c>
      <c r="E1369" t="s">
        <v>135</v>
      </c>
      <c r="F1369" t="s">
        <v>26</v>
      </c>
      <c r="G1369" t="s">
        <v>69</v>
      </c>
      <c r="H1369" t="s">
        <v>243</v>
      </c>
      <c r="I1369">
        <v>6</v>
      </c>
      <c r="J1369">
        <v>35.29</v>
      </c>
      <c r="K1369">
        <v>5</v>
      </c>
      <c r="L1369">
        <v>201.15</v>
      </c>
      <c r="M1369">
        <v>17.46</v>
      </c>
      <c r="N1369">
        <v>77.819999999999993</v>
      </c>
      <c r="O1369" t="s">
        <v>22</v>
      </c>
      <c r="P1369">
        <v>2025</v>
      </c>
      <c r="Q1369" t="s">
        <v>3637</v>
      </c>
      <c r="R1369">
        <v>191.0925</v>
      </c>
      <c r="S1369">
        <v>0.407237332705365</v>
      </c>
      <c r="T1369" t="s">
        <v>3632</v>
      </c>
      <c r="U1369" t="s">
        <v>3633</v>
      </c>
    </row>
    <row r="1370" spans="1:21" x14ac:dyDescent="0.25">
      <c r="A1370" t="s">
        <v>2600</v>
      </c>
      <c r="B1370" s="1">
        <v>45693</v>
      </c>
      <c r="C1370" t="s">
        <v>2601</v>
      </c>
      <c r="D1370" t="s">
        <v>17</v>
      </c>
      <c r="E1370" t="s">
        <v>31</v>
      </c>
      <c r="F1370" t="s">
        <v>19</v>
      </c>
      <c r="G1370" t="s">
        <v>20</v>
      </c>
      <c r="H1370" t="s">
        <v>27</v>
      </c>
      <c r="I1370">
        <v>2</v>
      </c>
      <c r="J1370">
        <v>148.04</v>
      </c>
      <c r="K1370">
        <v>5</v>
      </c>
      <c r="L1370">
        <v>281.27999999999997</v>
      </c>
      <c r="M1370">
        <v>9.59</v>
      </c>
      <c r="N1370">
        <v>108.85</v>
      </c>
      <c r="O1370" t="s">
        <v>34</v>
      </c>
      <c r="P1370">
        <v>2025</v>
      </c>
      <c r="Q1370" t="s">
        <v>3637</v>
      </c>
      <c r="R1370">
        <v>267.21600000000001</v>
      </c>
      <c r="S1370">
        <v>0.40734836237351002</v>
      </c>
      <c r="T1370" t="s">
        <v>3632</v>
      </c>
      <c r="U1370" t="s">
        <v>3633</v>
      </c>
    </row>
    <row r="1371" spans="1:21" x14ac:dyDescent="0.25">
      <c r="A1371" t="s">
        <v>2602</v>
      </c>
      <c r="B1371" s="1">
        <v>45693</v>
      </c>
      <c r="C1371" t="s">
        <v>2603</v>
      </c>
      <c r="D1371" t="s">
        <v>30</v>
      </c>
      <c r="E1371" t="s">
        <v>37</v>
      </c>
      <c r="F1371" t="s">
        <v>26</v>
      </c>
      <c r="G1371" t="s">
        <v>69</v>
      </c>
      <c r="H1371" t="s">
        <v>305</v>
      </c>
      <c r="I1371">
        <v>5</v>
      </c>
      <c r="J1371">
        <v>26.79</v>
      </c>
      <c r="K1371">
        <v>0</v>
      </c>
      <c r="L1371">
        <v>133.94999999999999</v>
      </c>
      <c r="M1371">
        <v>18.600000000000001</v>
      </c>
      <c r="N1371">
        <v>48.37</v>
      </c>
      <c r="O1371" t="s">
        <v>39</v>
      </c>
      <c r="P1371">
        <v>2025</v>
      </c>
      <c r="Q1371" t="s">
        <v>3637</v>
      </c>
      <c r="R1371">
        <v>133.94999999999999</v>
      </c>
      <c r="S1371">
        <v>0.36110488988428502</v>
      </c>
      <c r="T1371" t="s">
        <v>3632</v>
      </c>
      <c r="U1371" t="s">
        <v>3633</v>
      </c>
    </row>
    <row r="1372" spans="1:21" x14ac:dyDescent="0.25">
      <c r="A1372" t="s">
        <v>2604</v>
      </c>
      <c r="B1372" s="1">
        <v>45695</v>
      </c>
      <c r="C1372" t="s">
        <v>2605</v>
      </c>
      <c r="D1372" t="s">
        <v>30</v>
      </c>
      <c r="E1372" t="s">
        <v>59</v>
      </c>
      <c r="F1372" t="s">
        <v>60</v>
      </c>
      <c r="G1372" t="s">
        <v>69</v>
      </c>
      <c r="H1372" t="s">
        <v>139</v>
      </c>
      <c r="I1372">
        <v>2</v>
      </c>
      <c r="J1372">
        <v>27.73</v>
      </c>
      <c r="K1372">
        <v>10</v>
      </c>
      <c r="L1372">
        <v>49.91</v>
      </c>
      <c r="M1372">
        <v>11.7</v>
      </c>
      <c r="N1372">
        <v>10.48</v>
      </c>
      <c r="O1372" t="s">
        <v>39</v>
      </c>
      <c r="P1372">
        <v>2025</v>
      </c>
      <c r="Q1372" t="s">
        <v>3637</v>
      </c>
      <c r="R1372">
        <v>44.918999999999997</v>
      </c>
      <c r="S1372">
        <v>0.233308844809546</v>
      </c>
      <c r="T1372" t="s">
        <v>3634</v>
      </c>
      <c r="U1372" t="s">
        <v>3633</v>
      </c>
    </row>
    <row r="1373" spans="1:21" x14ac:dyDescent="0.25">
      <c r="A1373" t="s">
        <v>2606</v>
      </c>
      <c r="B1373" s="1">
        <v>45695</v>
      </c>
      <c r="C1373" t="s">
        <v>2607</v>
      </c>
      <c r="D1373" t="s">
        <v>30</v>
      </c>
      <c r="E1373" t="s">
        <v>31</v>
      </c>
      <c r="F1373" t="s">
        <v>19</v>
      </c>
      <c r="G1373" t="s">
        <v>32</v>
      </c>
      <c r="H1373" t="s">
        <v>101</v>
      </c>
      <c r="I1373">
        <v>4</v>
      </c>
      <c r="J1373">
        <v>9.42</v>
      </c>
      <c r="K1373">
        <v>5</v>
      </c>
      <c r="L1373">
        <v>35.799999999999997</v>
      </c>
      <c r="M1373">
        <v>14.51</v>
      </c>
      <c r="N1373">
        <v>4.33</v>
      </c>
      <c r="O1373" t="s">
        <v>22</v>
      </c>
      <c r="P1373">
        <v>2025</v>
      </c>
      <c r="Q1373" t="s">
        <v>3637</v>
      </c>
      <c r="R1373">
        <v>34.01</v>
      </c>
      <c r="S1373">
        <v>0.127315495442517</v>
      </c>
      <c r="T1373" t="s">
        <v>3634</v>
      </c>
      <c r="U1373" t="s">
        <v>3633</v>
      </c>
    </row>
    <row r="1374" spans="1:21" x14ac:dyDescent="0.25">
      <c r="A1374" t="s">
        <v>2608</v>
      </c>
      <c r="B1374" s="1">
        <v>45696</v>
      </c>
      <c r="C1374" t="s">
        <v>2609</v>
      </c>
      <c r="D1374" t="s">
        <v>30</v>
      </c>
      <c r="E1374" t="s">
        <v>166</v>
      </c>
      <c r="F1374" t="s">
        <v>60</v>
      </c>
      <c r="G1374" t="s">
        <v>20</v>
      </c>
      <c r="H1374" t="s">
        <v>21</v>
      </c>
      <c r="I1374">
        <v>1</v>
      </c>
      <c r="J1374">
        <v>119.38</v>
      </c>
      <c r="K1374">
        <v>0</v>
      </c>
      <c r="L1374">
        <v>119.38</v>
      </c>
      <c r="M1374">
        <v>9.73</v>
      </c>
      <c r="N1374">
        <v>43.99</v>
      </c>
      <c r="O1374" t="s">
        <v>34</v>
      </c>
      <c r="P1374">
        <v>2025</v>
      </c>
      <c r="Q1374" t="s">
        <v>3637</v>
      </c>
      <c r="R1374">
        <v>119.38</v>
      </c>
      <c r="S1374">
        <v>0.36848718378287798</v>
      </c>
      <c r="T1374" t="s">
        <v>3632</v>
      </c>
      <c r="U1374" t="s">
        <v>3633</v>
      </c>
    </row>
    <row r="1375" spans="1:21" x14ac:dyDescent="0.25">
      <c r="A1375" t="s">
        <v>2610</v>
      </c>
      <c r="B1375" s="1">
        <v>45696</v>
      </c>
      <c r="C1375" t="s">
        <v>2611</v>
      </c>
      <c r="D1375" t="s">
        <v>30</v>
      </c>
      <c r="E1375" t="s">
        <v>85</v>
      </c>
      <c r="F1375" t="s">
        <v>60</v>
      </c>
      <c r="G1375" t="s">
        <v>20</v>
      </c>
      <c r="H1375" t="s">
        <v>38</v>
      </c>
      <c r="I1375">
        <v>3</v>
      </c>
      <c r="J1375">
        <v>57.05</v>
      </c>
      <c r="K1375">
        <v>15</v>
      </c>
      <c r="L1375">
        <v>145.47999999999999</v>
      </c>
      <c r="M1375">
        <v>10.86</v>
      </c>
      <c r="N1375">
        <v>40.49</v>
      </c>
      <c r="O1375" t="s">
        <v>56</v>
      </c>
      <c r="P1375">
        <v>2025</v>
      </c>
      <c r="Q1375" t="s">
        <v>3637</v>
      </c>
      <c r="R1375">
        <v>123.658</v>
      </c>
      <c r="S1375">
        <v>0.32743534587329598</v>
      </c>
      <c r="T1375" t="s">
        <v>3632</v>
      </c>
      <c r="U1375" t="s">
        <v>3633</v>
      </c>
    </row>
    <row r="1376" spans="1:21" x14ac:dyDescent="0.25">
      <c r="A1376" t="s">
        <v>2612</v>
      </c>
      <c r="B1376" s="1">
        <v>45698</v>
      </c>
      <c r="C1376" t="s">
        <v>2373</v>
      </c>
      <c r="D1376" t="s">
        <v>30</v>
      </c>
      <c r="E1376" t="s">
        <v>53</v>
      </c>
      <c r="F1376" t="s">
        <v>54</v>
      </c>
      <c r="G1376" t="s">
        <v>32</v>
      </c>
      <c r="H1376" t="s">
        <v>115</v>
      </c>
      <c r="I1376">
        <v>8</v>
      </c>
      <c r="J1376">
        <v>14.06</v>
      </c>
      <c r="K1376">
        <v>15</v>
      </c>
      <c r="L1376">
        <v>95.61</v>
      </c>
      <c r="M1376">
        <v>23.41</v>
      </c>
      <c r="N1376">
        <v>21.58</v>
      </c>
      <c r="O1376" t="s">
        <v>34</v>
      </c>
      <c r="P1376">
        <v>2025</v>
      </c>
      <c r="Q1376" t="s">
        <v>3637</v>
      </c>
      <c r="R1376">
        <v>81.268500000000003</v>
      </c>
      <c r="S1376">
        <v>0.26553953868965202</v>
      </c>
      <c r="T1376" t="s">
        <v>3634</v>
      </c>
      <c r="U1376" t="s">
        <v>3633</v>
      </c>
    </row>
    <row r="1377" spans="1:21" x14ac:dyDescent="0.25">
      <c r="A1377" t="s">
        <v>2613</v>
      </c>
      <c r="B1377" s="1">
        <v>45698</v>
      </c>
      <c r="C1377" t="s">
        <v>2614</v>
      </c>
      <c r="D1377" t="s">
        <v>49</v>
      </c>
      <c r="E1377" t="s">
        <v>129</v>
      </c>
      <c r="F1377" t="s">
        <v>19</v>
      </c>
      <c r="G1377" t="s">
        <v>69</v>
      </c>
      <c r="H1377" t="s">
        <v>305</v>
      </c>
      <c r="I1377">
        <v>5</v>
      </c>
      <c r="J1377">
        <v>51.1</v>
      </c>
      <c r="K1377">
        <v>10</v>
      </c>
      <c r="L1377">
        <v>229.95</v>
      </c>
      <c r="M1377">
        <v>11.04</v>
      </c>
      <c r="N1377">
        <v>91.16</v>
      </c>
      <c r="O1377" t="s">
        <v>56</v>
      </c>
      <c r="P1377">
        <v>2025</v>
      </c>
      <c r="Q1377" t="s">
        <v>3637</v>
      </c>
      <c r="R1377">
        <v>206.95500000000001</v>
      </c>
      <c r="S1377">
        <v>0.44048223043656798</v>
      </c>
      <c r="T1377" t="s">
        <v>3632</v>
      </c>
      <c r="U1377" t="s">
        <v>3633</v>
      </c>
    </row>
    <row r="1378" spans="1:21" x14ac:dyDescent="0.25">
      <c r="A1378" t="s">
        <v>2615</v>
      </c>
      <c r="B1378" s="1">
        <v>45699</v>
      </c>
      <c r="C1378" t="s">
        <v>2616</v>
      </c>
      <c r="D1378" t="s">
        <v>30</v>
      </c>
      <c r="E1378" t="s">
        <v>129</v>
      </c>
      <c r="F1378" t="s">
        <v>19</v>
      </c>
      <c r="G1378" t="s">
        <v>69</v>
      </c>
      <c r="H1378" t="s">
        <v>98</v>
      </c>
      <c r="I1378">
        <v>1</v>
      </c>
      <c r="J1378">
        <v>26.45</v>
      </c>
      <c r="K1378">
        <v>15</v>
      </c>
      <c r="L1378">
        <v>22.48</v>
      </c>
      <c r="M1378">
        <v>6.09</v>
      </c>
      <c r="N1378">
        <v>3.17</v>
      </c>
      <c r="O1378" t="s">
        <v>39</v>
      </c>
      <c r="P1378">
        <v>2025</v>
      </c>
      <c r="Q1378" t="s">
        <v>3637</v>
      </c>
      <c r="R1378">
        <v>19.108000000000001</v>
      </c>
      <c r="S1378">
        <v>0.16589909985346399</v>
      </c>
      <c r="T1378" t="s">
        <v>3634</v>
      </c>
      <c r="U1378" t="s">
        <v>3633</v>
      </c>
    </row>
    <row r="1379" spans="1:21" x14ac:dyDescent="0.25">
      <c r="A1379" t="s">
        <v>2617</v>
      </c>
      <c r="B1379" s="1">
        <v>45699</v>
      </c>
      <c r="C1379" t="s">
        <v>2618</v>
      </c>
      <c r="D1379" t="s">
        <v>17</v>
      </c>
      <c r="E1379" t="s">
        <v>129</v>
      </c>
      <c r="F1379" t="s">
        <v>19</v>
      </c>
      <c r="G1379" t="s">
        <v>32</v>
      </c>
      <c r="H1379" t="s">
        <v>132</v>
      </c>
      <c r="I1379">
        <v>1</v>
      </c>
      <c r="J1379">
        <v>15.54</v>
      </c>
      <c r="K1379">
        <v>25</v>
      </c>
      <c r="L1379">
        <v>11.65</v>
      </c>
      <c r="M1379">
        <v>6.71</v>
      </c>
      <c r="N1379">
        <v>-2.0499999999999998</v>
      </c>
      <c r="O1379" t="s">
        <v>22</v>
      </c>
      <c r="P1379">
        <v>2025</v>
      </c>
      <c r="Q1379" t="s">
        <v>3637</v>
      </c>
      <c r="R1379">
        <v>8.7375000000000007</v>
      </c>
      <c r="S1379">
        <v>-0.23462088698140199</v>
      </c>
      <c r="T1379" t="s">
        <v>3634</v>
      </c>
      <c r="U1379" t="s">
        <v>3636</v>
      </c>
    </row>
    <row r="1380" spans="1:21" x14ac:dyDescent="0.25">
      <c r="A1380" t="s">
        <v>2619</v>
      </c>
      <c r="B1380" s="1">
        <v>45700</v>
      </c>
      <c r="C1380" t="s">
        <v>567</v>
      </c>
      <c r="D1380" t="s">
        <v>30</v>
      </c>
      <c r="E1380" t="s">
        <v>31</v>
      </c>
      <c r="F1380" t="s">
        <v>19</v>
      </c>
      <c r="G1380" t="s">
        <v>42</v>
      </c>
      <c r="H1380" t="s">
        <v>234</v>
      </c>
      <c r="I1380">
        <v>1</v>
      </c>
      <c r="J1380">
        <v>42.63</v>
      </c>
      <c r="K1380">
        <v>0</v>
      </c>
      <c r="L1380">
        <v>42.63</v>
      </c>
      <c r="M1380">
        <v>7.17</v>
      </c>
      <c r="N1380">
        <v>9.8800000000000008</v>
      </c>
      <c r="O1380" t="s">
        <v>34</v>
      </c>
      <c r="P1380">
        <v>2025</v>
      </c>
      <c r="Q1380" t="s">
        <v>3637</v>
      </c>
      <c r="R1380">
        <v>42.63</v>
      </c>
      <c r="S1380">
        <v>0.23176167018531599</v>
      </c>
      <c r="T1380" t="s">
        <v>3634</v>
      </c>
      <c r="U1380" t="s">
        <v>3633</v>
      </c>
    </row>
    <row r="1381" spans="1:21" x14ac:dyDescent="0.25">
      <c r="A1381" t="s">
        <v>2620</v>
      </c>
      <c r="B1381" s="1">
        <v>45700</v>
      </c>
      <c r="C1381" t="s">
        <v>1669</v>
      </c>
      <c r="D1381" t="s">
        <v>30</v>
      </c>
      <c r="E1381" t="s">
        <v>129</v>
      </c>
      <c r="F1381" t="s">
        <v>19</v>
      </c>
      <c r="G1381" t="s">
        <v>42</v>
      </c>
      <c r="H1381" t="s">
        <v>43</v>
      </c>
      <c r="I1381">
        <v>1</v>
      </c>
      <c r="J1381">
        <v>302.08</v>
      </c>
      <c r="K1381">
        <v>10</v>
      </c>
      <c r="L1381">
        <v>271.87</v>
      </c>
      <c r="M1381">
        <v>6.17</v>
      </c>
      <c r="N1381">
        <v>84.45</v>
      </c>
      <c r="O1381" t="s">
        <v>39</v>
      </c>
      <c r="P1381">
        <v>2025</v>
      </c>
      <c r="Q1381" t="s">
        <v>3637</v>
      </c>
      <c r="R1381">
        <v>244.68299999999999</v>
      </c>
      <c r="S1381">
        <v>0.34514044702737801</v>
      </c>
      <c r="T1381" t="s">
        <v>3632</v>
      </c>
      <c r="U1381" t="s">
        <v>3633</v>
      </c>
    </row>
    <row r="1382" spans="1:21" x14ac:dyDescent="0.25">
      <c r="A1382" t="s">
        <v>2621</v>
      </c>
      <c r="B1382" s="1">
        <v>45702</v>
      </c>
      <c r="C1382" t="s">
        <v>2622</v>
      </c>
      <c r="D1382" t="s">
        <v>30</v>
      </c>
      <c r="E1382" t="s">
        <v>135</v>
      </c>
      <c r="F1382" t="s">
        <v>26</v>
      </c>
      <c r="G1382" t="s">
        <v>42</v>
      </c>
      <c r="H1382" t="s">
        <v>255</v>
      </c>
      <c r="I1382">
        <v>3</v>
      </c>
      <c r="J1382">
        <v>22.63</v>
      </c>
      <c r="K1382">
        <v>5</v>
      </c>
      <c r="L1382">
        <v>64.5</v>
      </c>
      <c r="M1382">
        <v>12.28</v>
      </c>
      <c r="N1382">
        <v>11.49</v>
      </c>
      <c r="O1382" t="s">
        <v>34</v>
      </c>
      <c r="P1382">
        <v>2025</v>
      </c>
      <c r="Q1382" t="s">
        <v>3637</v>
      </c>
      <c r="R1382">
        <v>61.274999999999999</v>
      </c>
      <c r="S1382">
        <v>0.18751529987760099</v>
      </c>
      <c r="T1382" t="s">
        <v>3634</v>
      </c>
      <c r="U1382" t="s">
        <v>3633</v>
      </c>
    </row>
    <row r="1383" spans="1:21" x14ac:dyDescent="0.25">
      <c r="A1383" t="s">
        <v>2623</v>
      </c>
      <c r="B1383" s="1">
        <v>45702</v>
      </c>
      <c r="C1383" t="s">
        <v>2429</v>
      </c>
      <c r="D1383" t="s">
        <v>30</v>
      </c>
      <c r="E1383" t="s">
        <v>18</v>
      </c>
      <c r="F1383" t="s">
        <v>19</v>
      </c>
      <c r="G1383" t="s">
        <v>42</v>
      </c>
      <c r="H1383" t="s">
        <v>234</v>
      </c>
      <c r="I1383">
        <v>2</v>
      </c>
      <c r="J1383">
        <v>60.59</v>
      </c>
      <c r="K1383">
        <v>0</v>
      </c>
      <c r="L1383">
        <v>121.18</v>
      </c>
      <c r="M1383">
        <v>7.99</v>
      </c>
      <c r="N1383">
        <v>40.479999999999997</v>
      </c>
      <c r="O1383" t="s">
        <v>34</v>
      </c>
      <c r="P1383">
        <v>2025</v>
      </c>
      <c r="Q1383" t="s">
        <v>3637</v>
      </c>
      <c r="R1383">
        <v>121.18</v>
      </c>
      <c r="S1383">
        <v>0.33404852285855702</v>
      </c>
      <c r="T1383" t="s">
        <v>3632</v>
      </c>
      <c r="U1383" t="s">
        <v>3633</v>
      </c>
    </row>
    <row r="1384" spans="1:21" x14ac:dyDescent="0.25">
      <c r="A1384" t="s">
        <v>2624</v>
      </c>
      <c r="B1384" s="1">
        <v>45703</v>
      </c>
      <c r="C1384" t="s">
        <v>2625</v>
      </c>
      <c r="D1384" t="s">
        <v>17</v>
      </c>
      <c r="E1384" t="s">
        <v>31</v>
      </c>
      <c r="F1384" t="s">
        <v>19</v>
      </c>
      <c r="G1384" t="s">
        <v>32</v>
      </c>
      <c r="H1384" t="s">
        <v>82</v>
      </c>
      <c r="I1384">
        <v>2</v>
      </c>
      <c r="J1384">
        <v>16.2</v>
      </c>
      <c r="K1384">
        <v>10</v>
      </c>
      <c r="L1384">
        <v>29.16</v>
      </c>
      <c r="M1384">
        <v>6.5</v>
      </c>
      <c r="N1384">
        <v>8.08</v>
      </c>
      <c r="O1384" t="s">
        <v>56</v>
      </c>
      <c r="P1384">
        <v>2025</v>
      </c>
      <c r="Q1384" t="s">
        <v>3637</v>
      </c>
      <c r="R1384">
        <v>26.244</v>
      </c>
      <c r="S1384">
        <v>0.30787989635726298</v>
      </c>
      <c r="T1384" t="s">
        <v>3634</v>
      </c>
      <c r="U1384" t="s">
        <v>3633</v>
      </c>
    </row>
    <row r="1385" spans="1:21" x14ac:dyDescent="0.25">
      <c r="A1385" t="s">
        <v>2626</v>
      </c>
      <c r="B1385" s="1">
        <v>45703</v>
      </c>
      <c r="C1385" t="s">
        <v>1755</v>
      </c>
      <c r="D1385" t="s">
        <v>49</v>
      </c>
      <c r="E1385" t="s">
        <v>129</v>
      </c>
      <c r="F1385" t="s">
        <v>19</v>
      </c>
      <c r="G1385" t="s">
        <v>20</v>
      </c>
      <c r="H1385" t="s">
        <v>21</v>
      </c>
      <c r="I1385">
        <v>1</v>
      </c>
      <c r="J1385">
        <v>230.1</v>
      </c>
      <c r="K1385">
        <v>5</v>
      </c>
      <c r="L1385">
        <v>218.59</v>
      </c>
      <c r="M1385">
        <v>7.29</v>
      </c>
      <c r="N1385">
        <v>84.74</v>
      </c>
      <c r="O1385" t="s">
        <v>34</v>
      </c>
      <c r="P1385">
        <v>2025</v>
      </c>
      <c r="Q1385" t="s">
        <v>3637</v>
      </c>
      <c r="R1385">
        <v>207.66050000000001</v>
      </c>
      <c r="S1385">
        <v>0.40806990255729902</v>
      </c>
      <c r="T1385" t="s">
        <v>3632</v>
      </c>
      <c r="U1385" t="s">
        <v>3633</v>
      </c>
    </row>
    <row r="1386" spans="1:21" x14ac:dyDescent="0.25">
      <c r="A1386" t="s">
        <v>2627</v>
      </c>
      <c r="B1386" s="1">
        <v>45705</v>
      </c>
      <c r="C1386" t="s">
        <v>1292</v>
      </c>
      <c r="D1386" t="s">
        <v>17</v>
      </c>
      <c r="E1386" t="s">
        <v>85</v>
      </c>
      <c r="F1386" t="s">
        <v>60</v>
      </c>
      <c r="G1386" t="s">
        <v>20</v>
      </c>
      <c r="H1386" t="s">
        <v>38</v>
      </c>
      <c r="I1386">
        <v>7</v>
      </c>
      <c r="J1386">
        <v>78.3</v>
      </c>
      <c r="K1386">
        <v>15</v>
      </c>
      <c r="L1386">
        <v>465.88</v>
      </c>
      <c r="M1386">
        <v>25.97</v>
      </c>
      <c r="N1386">
        <v>138.44999999999999</v>
      </c>
      <c r="O1386" t="s">
        <v>34</v>
      </c>
      <c r="P1386">
        <v>2025</v>
      </c>
      <c r="Q1386" t="s">
        <v>3637</v>
      </c>
      <c r="R1386">
        <v>395.99799999999999</v>
      </c>
      <c r="S1386">
        <v>0.34962297789382801</v>
      </c>
      <c r="T1386" t="s">
        <v>3632</v>
      </c>
      <c r="U1386" t="s">
        <v>3633</v>
      </c>
    </row>
    <row r="1387" spans="1:21" x14ac:dyDescent="0.25">
      <c r="A1387" t="s">
        <v>2628</v>
      </c>
      <c r="B1387" s="1">
        <v>45706</v>
      </c>
      <c r="C1387" t="s">
        <v>2629</v>
      </c>
      <c r="D1387" t="s">
        <v>30</v>
      </c>
      <c r="E1387" t="s">
        <v>37</v>
      </c>
      <c r="F1387" t="s">
        <v>26</v>
      </c>
      <c r="G1387" t="s">
        <v>42</v>
      </c>
      <c r="H1387" t="s">
        <v>64</v>
      </c>
      <c r="I1387">
        <v>3</v>
      </c>
      <c r="J1387">
        <v>46.46</v>
      </c>
      <c r="K1387">
        <v>20</v>
      </c>
      <c r="L1387">
        <v>111.5</v>
      </c>
      <c r="M1387">
        <v>8.73</v>
      </c>
      <c r="N1387">
        <v>19.14</v>
      </c>
      <c r="O1387" t="s">
        <v>39</v>
      </c>
      <c r="P1387">
        <v>2025</v>
      </c>
      <c r="Q1387" t="s">
        <v>3637</v>
      </c>
      <c r="R1387">
        <v>89.2</v>
      </c>
      <c r="S1387">
        <v>0.21457399103138999</v>
      </c>
      <c r="T1387" t="s">
        <v>3632</v>
      </c>
      <c r="U1387" t="s">
        <v>3633</v>
      </c>
    </row>
    <row r="1388" spans="1:21" x14ac:dyDescent="0.25">
      <c r="A1388" t="s">
        <v>2630</v>
      </c>
      <c r="B1388" s="1">
        <v>45707</v>
      </c>
      <c r="C1388" t="s">
        <v>2631</v>
      </c>
      <c r="D1388" t="s">
        <v>30</v>
      </c>
      <c r="E1388" t="s">
        <v>166</v>
      </c>
      <c r="F1388" t="s">
        <v>60</v>
      </c>
      <c r="G1388" t="s">
        <v>69</v>
      </c>
      <c r="H1388" t="s">
        <v>163</v>
      </c>
      <c r="I1388">
        <v>3</v>
      </c>
      <c r="J1388">
        <v>53.74</v>
      </c>
      <c r="K1388">
        <v>10</v>
      </c>
      <c r="L1388">
        <v>145.1</v>
      </c>
      <c r="M1388">
        <v>16.16</v>
      </c>
      <c r="N1388">
        <v>48.33</v>
      </c>
      <c r="O1388" t="s">
        <v>34</v>
      </c>
      <c r="P1388">
        <v>2025</v>
      </c>
      <c r="Q1388" t="s">
        <v>3637</v>
      </c>
      <c r="R1388">
        <v>130.59</v>
      </c>
      <c r="S1388">
        <v>0.37008959338387298</v>
      </c>
      <c r="T1388" t="s">
        <v>3632</v>
      </c>
      <c r="U1388" t="s">
        <v>3633</v>
      </c>
    </row>
    <row r="1389" spans="1:21" x14ac:dyDescent="0.25">
      <c r="A1389" t="s">
        <v>2632</v>
      </c>
      <c r="B1389" s="1">
        <v>45708</v>
      </c>
      <c r="C1389" t="s">
        <v>619</v>
      </c>
      <c r="D1389" t="s">
        <v>17</v>
      </c>
      <c r="E1389" t="s">
        <v>85</v>
      </c>
      <c r="F1389" t="s">
        <v>60</v>
      </c>
      <c r="G1389" t="s">
        <v>32</v>
      </c>
      <c r="H1389" t="s">
        <v>73</v>
      </c>
      <c r="I1389">
        <v>1</v>
      </c>
      <c r="J1389">
        <v>3.03</v>
      </c>
      <c r="K1389">
        <v>20</v>
      </c>
      <c r="L1389">
        <v>2.42</v>
      </c>
      <c r="M1389">
        <v>11.16</v>
      </c>
      <c r="N1389">
        <v>-10.1</v>
      </c>
      <c r="O1389" t="s">
        <v>22</v>
      </c>
      <c r="P1389">
        <v>2025</v>
      </c>
      <c r="Q1389" t="s">
        <v>3637</v>
      </c>
      <c r="R1389">
        <v>1.9359999999999999</v>
      </c>
      <c r="S1389">
        <v>-5.2169421487603298</v>
      </c>
      <c r="T1389" t="s">
        <v>3634</v>
      </c>
      <c r="U1389" t="s">
        <v>3636</v>
      </c>
    </row>
    <row r="1390" spans="1:21" x14ac:dyDescent="0.25">
      <c r="A1390" t="s">
        <v>2633</v>
      </c>
      <c r="B1390" s="1">
        <v>45708</v>
      </c>
      <c r="C1390" t="s">
        <v>2634</v>
      </c>
      <c r="D1390" t="s">
        <v>30</v>
      </c>
      <c r="E1390" t="s">
        <v>166</v>
      </c>
      <c r="F1390" t="s">
        <v>60</v>
      </c>
      <c r="G1390" t="s">
        <v>32</v>
      </c>
      <c r="H1390" t="s">
        <v>101</v>
      </c>
      <c r="I1390">
        <v>1</v>
      </c>
      <c r="J1390">
        <v>15.32</v>
      </c>
      <c r="K1390">
        <v>0</v>
      </c>
      <c r="L1390">
        <v>15.32</v>
      </c>
      <c r="M1390">
        <v>10.87</v>
      </c>
      <c r="N1390">
        <v>-2.44</v>
      </c>
      <c r="O1390" t="s">
        <v>34</v>
      </c>
      <c r="P1390">
        <v>2025</v>
      </c>
      <c r="Q1390" t="s">
        <v>3637</v>
      </c>
      <c r="R1390">
        <v>15.32</v>
      </c>
      <c r="S1390">
        <v>-0.159268929503916</v>
      </c>
      <c r="T1390" t="s">
        <v>3634</v>
      </c>
      <c r="U1390" t="s">
        <v>3636</v>
      </c>
    </row>
    <row r="1391" spans="1:21" x14ac:dyDescent="0.25">
      <c r="A1391" t="s">
        <v>2635</v>
      </c>
      <c r="B1391" s="1">
        <v>45708</v>
      </c>
      <c r="C1391" t="s">
        <v>801</v>
      </c>
      <c r="D1391" t="s">
        <v>49</v>
      </c>
      <c r="E1391" t="s">
        <v>248</v>
      </c>
      <c r="F1391" t="s">
        <v>26</v>
      </c>
      <c r="G1391" t="s">
        <v>20</v>
      </c>
      <c r="H1391" t="s">
        <v>264</v>
      </c>
      <c r="I1391">
        <v>1</v>
      </c>
      <c r="J1391">
        <v>47.45</v>
      </c>
      <c r="K1391">
        <v>20</v>
      </c>
      <c r="L1391">
        <v>37.96</v>
      </c>
      <c r="M1391">
        <v>8.7200000000000006</v>
      </c>
      <c r="N1391">
        <v>3.14</v>
      </c>
      <c r="O1391" t="s">
        <v>34</v>
      </c>
      <c r="P1391">
        <v>2025</v>
      </c>
      <c r="Q1391" t="s">
        <v>3637</v>
      </c>
      <c r="R1391">
        <v>30.367999999999999</v>
      </c>
      <c r="S1391">
        <v>0.103398314014752</v>
      </c>
      <c r="T1391" t="s">
        <v>3634</v>
      </c>
      <c r="U1391" t="s">
        <v>3633</v>
      </c>
    </row>
    <row r="1392" spans="1:21" x14ac:dyDescent="0.25">
      <c r="A1392" t="s">
        <v>2636</v>
      </c>
      <c r="B1392" s="1">
        <v>45708</v>
      </c>
      <c r="C1392" t="s">
        <v>2637</v>
      </c>
      <c r="D1392" t="s">
        <v>30</v>
      </c>
      <c r="E1392" t="s">
        <v>135</v>
      </c>
      <c r="F1392" t="s">
        <v>26</v>
      </c>
      <c r="G1392" t="s">
        <v>32</v>
      </c>
      <c r="H1392" t="s">
        <v>110</v>
      </c>
      <c r="I1392">
        <v>1</v>
      </c>
      <c r="J1392">
        <v>12.93</v>
      </c>
      <c r="K1392">
        <v>0</v>
      </c>
      <c r="L1392">
        <v>12.93</v>
      </c>
      <c r="M1392">
        <v>8.94</v>
      </c>
      <c r="N1392">
        <v>-1.83</v>
      </c>
      <c r="O1392" t="s">
        <v>39</v>
      </c>
      <c r="P1392">
        <v>2025</v>
      </c>
      <c r="Q1392" t="s">
        <v>3637</v>
      </c>
      <c r="R1392">
        <v>12.93</v>
      </c>
      <c r="S1392">
        <v>-0.1415313225058</v>
      </c>
      <c r="T1392" t="s">
        <v>3634</v>
      </c>
      <c r="U1392" t="s">
        <v>3636</v>
      </c>
    </row>
    <row r="1393" spans="1:21" x14ac:dyDescent="0.25">
      <c r="A1393" t="s">
        <v>2638</v>
      </c>
      <c r="B1393" s="1">
        <v>45709</v>
      </c>
      <c r="C1393" t="s">
        <v>2639</v>
      </c>
      <c r="D1393" t="s">
        <v>49</v>
      </c>
      <c r="E1393" t="s">
        <v>31</v>
      </c>
      <c r="F1393" t="s">
        <v>19</v>
      </c>
      <c r="G1393" t="s">
        <v>69</v>
      </c>
      <c r="H1393" t="s">
        <v>86</v>
      </c>
      <c r="I1393">
        <v>1</v>
      </c>
      <c r="J1393">
        <v>71.91</v>
      </c>
      <c r="K1393">
        <v>5</v>
      </c>
      <c r="L1393">
        <v>68.31</v>
      </c>
      <c r="M1393">
        <v>7.27</v>
      </c>
      <c r="N1393">
        <v>25.09</v>
      </c>
      <c r="O1393" t="s">
        <v>34</v>
      </c>
      <c r="P1393">
        <v>2025</v>
      </c>
      <c r="Q1393" t="s">
        <v>3637</v>
      </c>
      <c r="R1393">
        <v>64.894499999999994</v>
      </c>
      <c r="S1393">
        <v>0.38662752621562702</v>
      </c>
      <c r="T1393" t="s">
        <v>3634</v>
      </c>
      <c r="U1393" t="s">
        <v>3633</v>
      </c>
    </row>
    <row r="1394" spans="1:21" x14ac:dyDescent="0.25">
      <c r="A1394" t="s">
        <v>2640</v>
      </c>
      <c r="B1394" s="1">
        <v>45709</v>
      </c>
      <c r="C1394" t="s">
        <v>2641</v>
      </c>
      <c r="D1394" t="s">
        <v>30</v>
      </c>
      <c r="E1394" t="s">
        <v>148</v>
      </c>
      <c r="F1394" t="s">
        <v>60</v>
      </c>
      <c r="G1394" t="s">
        <v>20</v>
      </c>
      <c r="H1394" t="s">
        <v>27</v>
      </c>
      <c r="I1394">
        <v>1</v>
      </c>
      <c r="J1394">
        <v>167.77</v>
      </c>
      <c r="K1394">
        <v>0</v>
      </c>
      <c r="L1394">
        <v>167.77</v>
      </c>
      <c r="M1394">
        <v>10.07</v>
      </c>
      <c r="N1394">
        <v>65.430000000000007</v>
      </c>
      <c r="O1394" t="s">
        <v>34</v>
      </c>
      <c r="P1394">
        <v>2025</v>
      </c>
      <c r="Q1394" t="s">
        <v>3637</v>
      </c>
      <c r="R1394">
        <v>167.77</v>
      </c>
      <c r="S1394">
        <v>0.389998211837635</v>
      </c>
      <c r="T1394" t="s">
        <v>3632</v>
      </c>
      <c r="U1394" t="s">
        <v>3633</v>
      </c>
    </row>
    <row r="1395" spans="1:21" x14ac:dyDescent="0.25">
      <c r="A1395" t="s">
        <v>2642</v>
      </c>
      <c r="B1395" s="1">
        <v>45710</v>
      </c>
      <c r="C1395" t="s">
        <v>1700</v>
      </c>
      <c r="D1395" t="s">
        <v>30</v>
      </c>
      <c r="E1395" t="s">
        <v>59</v>
      </c>
      <c r="F1395" t="s">
        <v>60</v>
      </c>
      <c r="G1395" t="s">
        <v>69</v>
      </c>
      <c r="H1395" t="s">
        <v>86</v>
      </c>
      <c r="I1395">
        <v>2</v>
      </c>
      <c r="J1395">
        <v>61.54</v>
      </c>
      <c r="K1395">
        <v>0</v>
      </c>
      <c r="L1395">
        <v>123.08</v>
      </c>
      <c r="M1395">
        <v>12.34</v>
      </c>
      <c r="N1395">
        <v>49.2</v>
      </c>
      <c r="O1395" t="s">
        <v>34</v>
      </c>
      <c r="P1395">
        <v>2025</v>
      </c>
      <c r="Q1395" t="s">
        <v>3637</v>
      </c>
      <c r="R1395">
        <v>123.08</v>
      </c>
      <c r="S1395">
        <v>0.39974000649983799</v>
      </c>
      <c r="T1395" t="s">
        <v>3632</v>
      </c>
      <c r="U1395" t="s">
        <v>3633</v>
      </c>
    </row>
    <row r="1396" spans="1:21" x14ac:dyDescent="0.25">
      <c r="A1396" t="s">
        <v>2643</v>
      </c>
      <c r="B1396" s="1">
        <v>45710</v>
      </c>
      <c r="C1396" t="s">
        <v>2644</v>
      </c>
      <c r="D1396" t="s">
        <v>30</v>
      </c>
      <c r="E1396" t="s">
        <v>248</v>
      </c>
      <c r="F1396" t="s">
        <v>26</v>
      </c>
      <c r="G1396" t="s">
        <v>20</v>
      </c>
      <c r="H1396" t="s">
        <v>27</v>
      </c>
      <c r="I1396">
        <v>1</v>
      </c>
      <c r="J1396">
        <v>146.19999999999999</v>
      </c>
      <c r="K1396">
        <v>5</v>
      </c>
      <c r="L1396">
        <v>138.88999999999999</v>
      </c>
      <c r="M1396">
        <v>7.89</v>
      </c>
      <c r="N1396">
        <v>50.59</v>
      </c>
      <c r="O1396" t="s">
        <v>22</v>
      </c>
      <c r="P1396">
        <v>2025</v>
      </c>
      <c r="Q1396" t="s">
        <v>3637</v>
      </c>
      <c r="R1396">
        <v>131.94550000000001</v>
      </c>
      <c r="S1396">
        <v>0.383415880041381</v>
      </c>
      <c r="T1396" t="s">
        <v>3632</v>
      </c>
      <c r="U1396" t="s">
        <v>3633</v>
      </c>
    </row>
    <row r="1397" spans="1:21" x14ac:dyDescent="0.25">
      <c r="A1397" t="s">
        <v>2645</v>
      </c>
      <c r="B1397" s="1">
        <v>45712</v>
      </c>
      <c r="C1397" t="s">
        <v>2646</v>
      </c>
      <c r="D1397" t="s">
        <v>17</v>
      </c>
      <c r="E1397" t="s">
        <v>135</v>
      </c>
      <c r="F1397" t="s">
        <v>26</v>
      </c>
      <c r="G1397" t="s">
        <v>42</v>
      </c>
      <c r="H1397" t="s">
        <v>255</v>
      </c>
      <c r="I1397">
        <v>1</v>
      </c>
      <c r="J1397">
        <v>40.32</v>
      </c>
      <c r="K1397">
        <v>10</v>
      </c>
      <c r="L1397">
        <v>36.29</v>
      </c>
      <c r="M1397">
        <v>9.2899999999999991</v>
      </c>
      <c r="N1397">
        <v>2.81</v>
      </c>
      <c r="O1397" t="s">
        <v>22</v>
      </c>
      <c r="P1397">
        <v>2025</v>
      </c>
      <c r="Q1397" t="s">
        <v>3637</v>
      </c>
      <c r="R1397">
        <v>32.661000000000001</v>
      </c>
      <c r="S1397">
        <v>8.6035332659747096E-2</v>
      </c>
      <c r="T1397" t="s">
        <v>3634</v>
      </c>
      <c r="U1397" t="s">
        <v>3633</v>
      </c>
    </row>
    <row r="1398" spans="1:21" x14ac:dyDescent="0.25">
      <c r="A1398" t="s">
        <v>2647</v>
      </c>
      <c r="B1398" s="1">
        <v>45713</v>
      </c>
      <c r="C1398" t="s">
        <v>2648</v>
      </c>
      <c r="D1398" t="s">
        <v>30</v>
      </c>
      <c r="E1398" t="s">
        <v>59</v>
      </c>
      <c r="F1398" t="s">
        <v>60</v>
      </c>
      <c r="G1398" t="s">
        <v>20</v>
      </c>
      <c r="H1398" t="s">
        <v>21</v>
      </c>
      <c r="I1398">
        <v>6</v>
      </c>
      <c r="J1398">
        <v>228</v>
      </c>
      <c r="K1398">
        <v>15</v>
      </c>
      <c r="L1398">
        <v>1162.8</v>
      </c>
      <c r="M1398">
        <v>21.34</v>
      </c>
      <c r="N1398">
        <v>389.06</v>
      </c>
      <c r="O1398" t="s">
        <v>34</v>
      </c>
      <c r="P1398">
        <v>2025</v>
      </c>
      <c r="Q1398" t="s">
        <v>3637</v>
      </c>
      <c r="R1398">
        <v>988.38</v>
      </c>
      <c r="S1398">
        <v>0.393634027398369</v>
      </c>
      <c r="T1398" t="s">
        <v>3635</v>
      </c>
      <c r="U1398" t="s">
        <v>3633</v>
      </c>
    </row>
    <row r="1399" spans="1:21" x14ac:dyDescent="0.25">
      <c r="A1399" t="s">
        <v>2649</v>
      </c>
      <c r="B1399" s="1">
        <v>45713</v>
      </c>
      <c r="C1399" t="s">
        <v>66</v>
      </c>
      <c r="D1399" t="s">
        <v>30</v>
      </c>
      <c r="E1399" t="s">
        <v>169</v>
      </c>
      <c r="F1399" t="s">
        <v>68</v>
      </c>
      <c r="G1399" t="s">
        <v>20</v>
      </c>
      <c r="H1399" t="s">
        <v>21</v>
      </c>
      <c r="I1399">
        <v>9</v>
      </c>
      <c r="J1399">
        <v>107.1</v>
      </c>
      <c r="K1399">
        <v>0</v>
      </c>
      <c r="L1399">
        <v>963.9</v>
      </c>
      <c r="M1399">
        <v>24.75</v>
      </c>
      <c r="N1399">
        <v>409</v>
      </c>
      <c r="O1399" t="s">
        <v>39</v>
      </c>
      <c r="P1399">
        <v>2025</v>
      </c>
      <c r="Q1399" t="s">
        <v>3637</v>
      </c>
      <c r="R1399">
        <v>963.9</v>
      </c>
      <c r="S1399">
        <v>0.42431787529826798</v>
      </c>
      <c r="T1399" t="s">
        <v>3635</v>
      </c>
      <c r="U1399" t="s">
        <v>3633</v>
      </c>
    </row>
    <row r="1400" spans="1:21" x14ac:dyDescent="0.25">
      <c r="A1400" t="s">
        <v>2650</v>
      </c>
      <c r="B1400" s="1">
        <v>45714</v>
      </c>
      <c r="C1400" t="s">
        <v>2651</v>
      </c>
      <c r="D1400" t="s">
        <v>30</v>
      </c>
      <c r="E1400" t="s">
        <v>31</v>
      </c>
      <c r="F1400" t="s">
        <v>19</v>
      </c>
      <c r="G1400" t="s">
        <v>32</v>
      </c>
      <c r="H1400" t="s">
        <v>149</v>
      </c>
      <c r="I1400">
        <v>1</v>
      </c>
      <c r="J1400">
        <v>11.74</v>
      </c>
      <c r="K1400">
        <v>5</v>
      </c>
      <c r="L1400">
        <v>11.15</v>
      </c>
      <c r="M1400">
        <v>7.16</v>
      </c>
      <c r="N1400">
        <v>-1.29</v>
      </c>
      <c r="O1400" t="s">
        <v>34</v>
      </c>
      <c r="P1400">
        <v>2025</v>
      </c>
      <c r="Q1400" t="s">
        <v>3637</v>
      </c>
      <c r="R1400">
        <v>10.592499999999999</v>
      </c>
      <c r="S1400">
        <v>-0.12178428133113101</v>
      </c>
      <c r="T1400" t="s">
        <v>3634</v>
      </c>
      <c r="U1400" t="s">
        <v>3636</v>
      </c>
    </row>
    <row r="1401" spans="1:21" x14ac:dyDescent="0.25">
      <c r="A1401" t="s">
        <v>2652</v>
      </c>
      <c r="B1401" s="1">
        <v>45714</v>
      </c>
      <c r="C1401" t="s">
        <v>16</v>
      </c>
      <c r="D1401" t="s">
        <v>49</v>
      </c>
      <c r="E1401" t="s">
        <v>85</v>
      </c>
      <c r="F1401" t="s">
        <v>60</v>
      </c>
      <c r="G1401" t="s">
        <v>20</v>
      </c>
      <c r="H1401" t="s">
        <v>199</v>
      </c>
      <c r="I1401">
        <v>2</v>
      </c>
      <c r="J1401">
        <v>182.51</v>
      </c>
      <c r="K1401">
        <v>5</v>
      </c>
      <c r="L1401">
        <v>346.77</v>
      </c>
      <c r="M1401">
        <v>10.49</v>
      </c>
      <c r="N1401">
        <v>135.52000000000001</v>
      </c>
      <c r="O1401" t="s">
        <v>56</v>
      </c>
      <c r="P1401">
        <v>2025</v>
      </c>
      <c r="Q1401" t="s">
        <v>3637</v>
      </c>
      <c r="R1401">
        <v>329.43150000000003</v>
      </c>
      <c r="S1401">
        <v>0.41137535420868998</v>
      </c>
      <c r="T1401" t="s">
        <v>3632</v>
      </c>
      <c r="U1401" t="s">
        <v>3633</v>
      </c>
    </row>
    <row r="1402" spans="1:21" x14ac:dyDescent="0.25">
      <c r="A1402" t="s">
        <v>2653</v>
      </c>
      <c r="B1402" s="1">
        <v>45715</v>
      </c>
      <c r="C1402" t="s">
        <v>2654</v>
      </c>
      <c r="D1402" t="s">
        <v>49</v>
      </c>
      <c r="E1402" t="s">
        <v>67</v>
      </c>
      <c r="F1402" t="s">
        <v>68</v>
      </c>
      <c r="G1402" t="s">
        <v>20</v>
      </c>
      <c r="H1402" t="s">
        <v>170</v>
      </c>
      <c r="I1402">
        <v>7</v>
      </c>
      <c r="J1402">
        <v>59.14</v>
      </c>
      <c r="K1402">
        <v>15</v>
      </c>
      <c r="L1402">
        <v>351.88</v>
      </c>
      <c r="M1402">
        <v>23.53</v>
      </c>
      <c r="N1402">
        <v>100.66</v>
      </c>
      <c r="O1402" t="s">
        <v>34</v>
      </c>
      <c r="P1402">
        <v>2025</v>
      </c>
      <c r="Q1402" t="s">
        <v>3637</v>
      </c>
      <c r="R1402">
        <v>299.09800000000001</v>
      </c>
      <c r="S1402">
        <v>0.33654521260590198</v>
      </c>
      <c r="T1402" t="s">
        <v>3632</v>
      </c>
      <c r="U1402" t="s">
        <v>3633</v>
      </c>
    </row>
    <row r="1403" spans="1:21" x14ac:dyDescent="0.25">
      <c r="A1403" t="s">
        <v>2655</v>
      </c>
      <c r="B1403" s="1">
        <v>45716</v>
      </c>
      <c r="C1403" t="s">
        <v>2656</v>
      </c>
      <c r="D1403" t="s">
        <v>49</v>
      </c>
      <c r="E1403" t="s">
        <v>18</v>
      </c>
      <c r="F1403" t="s">
        <v>19</v>
      </c>
      <c r="G1403" t="s">
        <v>42</v>
      </c>
      <c r="H1403" t="s">
        <v>93</v>
      </c>
      <c r="I1403">
        <v>2</v>
      </c>
      <c r="J1403">
        <v>239.93</v>
      </c>
      <c r="K1403">
        <v>0</v>
      </c>
      <c r="L1403">
        <v>479.86</v>
      </c>
      <c r="M1403">
        <v>6.98</v>
      </c>
      <c r="N1403">
        <v>184.96</v>
      </c>
      <c r="O1403" t="s">
        <v>34</v>
      </c>
      <c r="P1403">
        <v>2025</v>
      </c>
      <c r="Q1403" t="s">
        <v>3637</v>
      </c>
      <c r="R1403">
        <v>479.86</v>
      </c>
      <c r="S1403">
        <v>0.385445755011878</v>
      </c>
      <c r="T1403" t="s">
        <v>3632</v>
      </c>
      <c r="U1403" t="s">
        <v>3633</v>
      </c>
    </row>
    <row r="1404" spans="1:21" x14ac:dyDescent="0.25">
      <c r="A1404" t="s">
        <v>2657</v>
      </c>
      <c r="B1404" s="1">
        <v>45717</v>
      </c>
      <c r="C1404" t="s">
        <v>2658</v>
      </c>
      <c r="D1404" t="s">
        <v>30</v>
      </c>
      <c r="E1404" t="s">
        <v>138</v>
      </c>
      <c r="F1404" t="s">
        <v>54</v>
      </c>
      <c r="G1404" t="s">
        <v>20</v>
      </c>
      <c r="H1404" t="s">
        <v>38</v>
      </c>
      <c r="I1404">
        <v>2</v>
      </c>
      <c r="J1404">
        <v>48.49</v>
      </c>
      <c r="K1404">
        <v>10</v>
      </c>
      <c r="L1404">
        <v>87.28</v>
      </c>
      <c r="M1404">
        <v>12.86</v>
      </c>
      <c r="N1404">
        <v>21.08</v>
      </c>
      <c r="O1404" t="s">
        <v>22</v>
      </c>
      <c r="P1404">
        <v>2025</v>
      </c>
      <c r="Q1404" t="s">
        <v>3638</v>
      </c>
      <c r="R1404">
        <v>78.552000000000007</v>
      </c>
      <c r="S1404">
        <v>0.26835726652408598</v>
      </c>
      <c r="T1404" t="s">
        <v>3634</v>
      </c>
      <c r="U1404" t="s">
        <v>3633</v>
      </c>
    </row>
    <row r="1405" spans="1:21" x14ac:dyDescent="0.25">
      <c r="A1405" t="s">
        <v>2659</v>
      </c>
      <c r="B1405" s="1">
        <v>45717</v>
      </c>
      <c r="C1405" t="s">
        <v>950</v>
      </c>
      <c r="D1405" t="s">
        <v>49</v>
      </c>
      <c r="E1405" t="s">
        <v>18</v>
      </c>
      <c r="F1405" t="s">
        <v>19</v>
      </c>
      <c r="G1405" t="s">
        <v>20</v>
      </c>
      <c r="H1405" t="s">
        <v>175</v>
      </c>
      <c r="I1405">
        <v>4</v>
      </c>
      <c r="J1405">
        <v>45.77</v>
      </c>
      <c r="K1405">
        <v>10</v>
      </c>
      <c r="L1405">
        <v>164.77</v>
      </c>
      <c r="M1405">
        <v>13.41</v>
      </c>
      <c r="N1405">
        <v>50.67</v>
      </c>
      <c r="O1405" t="s">
        <v>34</v>
      </c>
      <c r="P1405">
        <v>2025</v>
      </c>
      <c r="Q1405" t="s">
        <v>3638</v>
      </c>
      <c r="R1405">
        <v>148.29300000000001</v>
      </c>
      <c r="S1405">
        <v>0.341688414153062</v>
      </c>
      <c r="T1405" t="s">
        <v>3632</v>
      </c>
      <c r="U1405" t="s">
        <v>3633</v>
      </c>
    </row>
    <row r="1406" spans="1:21" x14ac:dyDescent="0.25">
      <c r="A1406" t="s">
        <v>2660</v>
      </c>
      <c r="B1406" s="1">
        <v>45719</v>
      </c>
      <c r="C1406" t="s">
        <v>1787</v>
      </c>
      <c r="D1406" t="s">
        <v>30</v>
      </c>
      <c r="E1406" t="s">
        <v>248</v>
      </c>
      <c r="F1406" t="s">
        <v>26</v>
      </c>
      <c r="G1406" t="s">
        <v>32</v>
      </c>
      <c r="H1406" t="s">
        <v>110</v>
      </c>
      <c r="I1406">
        <v>6</v>
      </c>
      <c r="J1406">
        <v>14.68</v>
      </c>
      <c r="K1406">
        <v>15</v>
      </c>
      <c r="L1406">
        <v>74.87</v>
      </c>
      <c r="M1406">
        <v>15.34</v>
      </c>
      <c r="N1406">
        <v>19.89</v>
      </c>
      <c r="O1406" t="s">
        <v>34</v>
      </c>
      <c r="P1406">
        <v>2025</v>
      </c>
      <c r="Q1406" t="s">
        <v>3638</v>
      </c>
      <c r="R1406">
        <v>63.639499999999998</v>
      </c>
      <c r="S1406">
        <v>0.312541739014291</v>
      </c>
      <c r="T1406" t="s">
        <v>3634</v>
      </c>
      <c r="U1406" t="s">
        <v>3633</v>
      </c>
    </row>
    <row r="1407" spans="1:21" x14ac:dyDescent="0.25">
      <c r="A1407" t="s">
        <v>2661</v>
      </c>
      <c r="B1407" s="1">
        <v>45721</v>
      </c>
      <c r="C1407" t="s">
        <v>2662</v>
      </c>
      <c r="D1407" t="s">
        <v>17</v>
      </c>
      <c r="E1407" t="s">
        <v>248</v>
      </c>
      <c r="F1407" t="s">
        <v>26</v>
      </c>
      <c r="G1407" t="s">
        <v>42</v>
      </c>
      <c r="H1407" t="s">
        <v>93</v>
      </c>
      <c r="I1407">
        <v>4</v>
      </c>
      <c r="J1407">
        <v>163.97</v>
      </c>
      <c r="K1407">
        <v>0</v>
      </c>
      <c r="L1407">
        <v>655.88</v>
      </c>
      <c r="M1407">
        <v>16.75</v>
      </c>
      <c r="N1407">
        <v>245.6</v>
      </c>
      <c r="O1407" t="s">
        <v>39</v>
      </c>
      <c r="P1407">
        <v>2025</v>
      </c>
      <c r="Q1407" t="s">
        <v>3638</v>
      </c>
      <c r="R1407">
        <v>655.88</v>
      </c>
      <c r="S1407">
        <v>0.37445874245288802</v>
      </c>
      <c r="T1407" t="s">
        <v>3635</v>
      </c>
      <c r="U1407" t="s">
        <v>3633</v>
      </c>
    </row>
    <row r="1408" spans="1:21" x14ac:dyDescent="0.25">
      <c r="A1408" t="s">
        <v>2663</v>
      </c>
      <c r="B1408" s="1">
        <v>45721</v>
      </c>
      <c r="C1408" t="s">
        <v>2664</v>
      </c>
      <c r="D1408" t="s">
        <v>30</v>
      </c>
      <c r="E1408" t="s">
        <v>169</v>
      </c>
      <c r="F1408" t="s">
        <v>68</v>
      </c>
      <c r="G1408" t="s">
        <v>69</v>
      </c>
      <c r="H1408" t="s">
        <v>79</v>
      </c>
      <c r="I1408">
        <v>3</v>
      </c>
      <c r="J1408">
        <v>55.66</v>
      </c>
      <c r="K1408">
        <v>5</v>
      </c>
      <c r="L1408">
        <v>158.63</v>
      </c>
      <c r="M1408">
        <v>16.73</v>
      </c>
      <c r="N1408">
        <v>58.41</v>
      </c>
      <c r="O1408" t="s">
        <v>22</v>
      </c>
      <c r="P1408">
        <v>2025</v>
      </c>
      <c r="Q1408" t="s">
        <v>3638</v>
      </c>
      <c r="R1408">
        <v>150.6985</v>
      </c>
      <c r="S1408">
        <v>0.38759509882314702</v>
      </c>
      <c r="T1408" t="s">
        <v>3632</v>
      </c>
      <c r="U1408" t="s">
        <v>3633</v>
      </c>
    </row>
    <row r="1409" spans="1:21" x14ac:dyDescent="0.25">
      <c r="A1409" t="s">
        <v>2665</v>
      </c>
      <c r="B1409" s="1">
        <v>45721</v>
      </c>
      <c r="C1409" t="s">
        <v>2666</v>
      </c>
      <c r="D1409" t="s">
        <v>30</v>
      </c>
      <c r="E1409" t="s">
        <v>129</v>
      </c>
      <c r="F1409" t="s">
        <v>19</v>
      </c>
      <c r="G1409" t="s">
        <v>20</v>
      </c>
      <c r="H1409" t="s">
        <v>199</v>
      </c>
      <c r="I1409">
        <v>1</v>
      </c>
      <c r="J1409">
        <v>112.7</v>
      </c>
      <c r="K1409">
        <v>5</v>
      </c>
      <c r="L1409">
        <v>107.06</v>
      </c>
      <c r="M1409">
        <v>6.08</v>
      </c>
      <c r="N1409">
        <v>38.99</v>
      </c>
      <c r="O1409" t="s">
        <v>34</v>
      </c>
      <c r="P1409">
        <v>2025</v>
      </c>
      <c r="Q1409" t="s">
        <v>3638</v>
      </c>
      <c r="R1409">
        <v>101.70699999999999</v>
      </c>
      <c r="S1409">
        <v>0.38335611118212098</v>
      </c>
      <c r="T1409" t="s">
        <v>3632</v>
      </c>
      <c r="U1409" t="s">
        <v>3633</v>
      </c>
    </row>
    <row r="1410" spans="1:21" x14ac:dyDescent="0.25">
      <c r="A1410" t="s">
        <v>2667</v>
      </c>
      <c r="B1410" s="1">
        <v>45721</v>
      </c>
      <c r="C1410" t="s">
        <v>2668</v>
      </c>
      <c r="D1410" t="s">
        <v>17</v>
      </c>
      <c r="E1410" t="s">
        <v>31</v>
      </c>
      <c r="F1410" t="s">
        <v>19</v>
      </c>
      <c r="G1410" t="s">
        <v>20</v>
      </c>
      <c r="H1410" t="s">
        <v>38</v>
      </c>
      <c r="I1410">
        <v>4</v>
      </c>
      <c r="J1410">
        <v>71.02</v>
      </c>
      <c r="K1410">
        <v>15</v>
      </c>
      <c r="L1410">
        <v>241.47</v>
      </c>
      <c r="M1410">
        <v>7.41</v>
      </c>
      <c r="N1410">
        <v>77.819999999999993</v>
      </c>
      <c r="O1410" t="s">
        <v>39</v>
      </c>
      <c r="P1410">
        <v>2025</v>
      </c>
      <c r="Q1410" t="s">
        <v>3638</v>
      </c>
      <c r="R1410">
        <v>205.24950000000001</v>
      </c>
      <c r="S1410">
        <v>0.37914830486797801</v>
      </c>
      <c r="T1410" t="s">
        <v>3632</v>
      </c>
      <c r="U1410" t="s">
        <v>3633</v>
      </c>
    </row>
    <row r="1411" spans="1:21" x14ac:dyDescent="0.25">
      <c r="A1411" t="s">
        <v>2669</v>
      </c>
      <c r="B1411" s="1">
        <v>45722</v>
      </c>
      <c r="C1411" t="s">
        <v>2415</v>
      </c>
      <c r="D1411" t="s">
        <v>30</v>
      </c>
      <c r="E1411" t="s">
        <v>31</v>
      </c>
      <c r="F1411" t="s">
        <v>19</v>
      </c>
      <c r="G1411" t="s">
        <v>32</v>
      </c>
      <c r="H1411" t="s">
        <v>73</v>
      </c>
      <c r="I1411">
        <v>3</v>
      </c>
      <c r="J1411">
        <v>3.72</v>
      </c>
      <c r="K1411">
        <v>0</v>
      </c>
      <c r="L1411">
        <v>11.16</v>
      </c>
      <c r="M1411">
        <v>9.25</v>
      </c>
      <c r="N1411">
        <v>-3.11</v>
      </c>
      <c r="O1411" t="s">
        <v>39</v>
      </c>
      <c r="P1411">
        <v>2025</v>
      </c>
      <c r="Q1411" t="s">
        <v>3638</v>
      </c>
      <c r="R1411">
        <v>11.16</v>
      </c>
      <c r="S1411">
        <v>-0.27867383512544802</v>
      </c>
      <c r="T1411" t="s">
        <v>3634</v>
      </c>
      <c r="U1411" t="s">
        <v>3636</v>
      </c>
    </row>
    <row r="1412" spans="1:21" x14ac:dyDescent="0.25">
      <c r="A1412" t="s">
        <v>2670</v>
      </c>
      <c r="B1412" s="1">
        <v>45723</v>
      </c>
      <c r="C1412" t="s">
        <v>547</v>
      </c>
      <c r="D1412" t="s">
        <v>30</v>
      </c>
      <c r="E1412" t="s">
        <v>148</v>
      </c>
      <c r="F1412" t="s">
        <v>60</v>
      </c>
      <c r="G1412" t="s">
        <v>32</v>
      </c>
      <c r="H1412" t="s">
        <v>101</v>
      </c>
      <c r="I1412">
        <v>2</v>
      </c>
      <c r="J1412">
        <v>11.45</v>
      </c>
      <c r="K1412">
        <v>5</v>
      </c>
      <c r="L1412">
        <v>21.75</v>
      </c>
      <c r="M1412">
        <v>11.85</v>
      </c>
      <c r="N1412">
        <v>-0.4</v>
      </c>
      <c r="O1412" t="s">
        <v>56</v>
      </c>
      <c r="P1412">
        <v>2025</v>
      </c>
      <c r="Q1412" t="s">
        <v>3638</v>
      </c>
      <c r="R1412">
        <v>20.662500000000001</v>
      </c>
      <c r="S1412">
        <v>-1.9358741681790699E-2</v>
      </c>
      <c r="T1412" t="s">
        <v>3634</v>
      </c>
      <c r="U1412" t="s">
        <v>3636</v>
      </c>
    </row>
    <row r="1413" spans="1:21" x14ac:dyDescent="0.25">
      <c r="A1413" t="s">
        <v>2671</v>
      </c>
      <c r="B1413" s="1">
        <v>45723</v>
      </c>
      <c r="C1413" t="s">
        <v>2672</v>
      </c>
      <c r="D1413" t="s">
        <v>49</v>
      </c>
      <c r="E1413" t="s">
        <v>18</v>
      </c>
      <c r="F1413" t="s">
        <v>19</v>
      </c>
      <c r="G1413" t="s">
        <v>32</v>
      </c>
      <c r="H1413" t="s">
        <v>149</v>
      </c>
      <c r="I1413">
        <v>6</v>
      </c>
      <c r="J1413">
        <v>14.94</v>
      </c>
      <c r="K1413">
        <v>15</v>
      </c>
      <c r="L1413">
        <v>76.19</v>
      </c>
      <c r="M1413">
        <v>10.4</v>
      </c>
      <c r="N1413">
        <v>25.45</v>
      </c>
      <c r="O1413" t="s">
        <v>34</v>
      </c>
      <c r="P1413">
        <v>2025</v>
      </c>
      <c r="Q1413" t="s">
        <v>3638</v>
      </c>
      <c r="R1413">
        <v>64.761499999999998</v>
      </c>
      <c r="S1413">
        <v>0.39298039730395401</v>
      </c>
      <c r="T1413" t="s">
        <v>3634</v>
      </c>
      <c r="U1413" t="s">
        <v>3633</v>
      </c>
    </row>
    <row r="1414" spans="1:21" x14ac:dyDescent="0.25">
      <c r="A1414" t="s">
        <v>2673</v>
      </c>
      <c r="B1414" s="1">
        <v>45723</v>
      </c>
      <c r="C1414" t="s">
        <v>2674</v>
      </c>
      <c r="D1414" t="s">
        <v>30</v>
      </c>
      <c r="E1414" t="s">
        <v>37</v>
      </c>
      <c r="F1414" t="s">
        <v>26</v>
      </c>
      <c r="G1414" t="s">
        <v>20</v>
      </c>
      <c r="H1414" t="s">
        <v>38</v>
      </c>
      <c r="I1414">
        <v>1</v>
      </c>
      <c r="J1414">
        <v>52.34</v>
      </c>
      <c r="K1414">
        <v>5</v>
      </c>
      <c r="L1414">
        <v>49.72</v>
      </c>
      <c r="M1414">
        <v>7.84</v>
      </c>
      <c r="N1414">
        <v>13.09</v>
      </c>
      <c r="O1414" t="s">
        <v>56</v>
      </c>
      <c r="P1414">
        <v>2025</v>
      </c>
      <c r="Q1414" t="s">
        <v>3638</v>
      </c>
      <c r="R1414">
        <v>47.234000000000002</v>
      </c>
      <c r="S1414">
        <v>0.27713088029809002</v>
      </c>
      <c r="T1414" t="s">
        <v>3634</v>
      </c>
      <c r="U1414" t="s">
        <v>3633</v>
      </c>
    </row>
    <row r="1415" spans="1:21" x14ac:dyDescent="0.25">
      <c r="A1415" t="s">
        <v>2675</v>
      </c>
      <c r="B1415" s="1">
        <v>45724</v>
      </c>
      <c r="C1415" t="s">
        <v>2676</v>
      </c>
      <c r="D1415" t="s">
        <v>17</v>
      </c>
      <c r="E1415" t="s">
        <v>148</v>
      </c>
      <c r="F1415" t="s">
        <v>60</v>
      </c>
      <c r="G1415" t="s">
        <v>42</v>
      </c>
      <c r="H1415" t="s">
        <v>371</v>
      </c>
      <c r="I1415">
        <v>6</v>
      </c>
      <c r="J1415">
        <v>128.18</v>
      </c>
      <c r="K1415">
        <v>5</v>
      </c>
      <c r="L1415">
        <v>730.63</v>
      </c>
      <c r="M1415">
        <v>15.96</v>
      </c>
      <c r="N1415">
        <v>253.22</v>
      </c>
      <c r="O1415" t="s">
        <v>22</v>
      </c>
      <c r="P1415">
        <v>2025</v>
      </c>
      <c r="Q1415" t="s">
        <v>3638</v>
      </c>
      <c r="R1415">
        <v>694.09849999999994</v>
      </c>
      <c r="S1415">
        <v>0.36481853800289199</v>
      </c>
      <c r="T1415" t="s">
        <v>3635</v>
      </c>
      <c r="U1415" t="s">
        <v>3633</v>
      </c>
    </row>
    <row r="1416" spans="1:21" x14ac:dyDescent="0.25">
      <c r="A1416" t="s">
        <v>2677</v>
      </c>
      <c r="B1416" s="1">
        <v>45725</v>
      </c>
      <c r="C1416" t="s">
        <v>1177</v>
      </c>
      <c r="D1416" t="s">
        <v>49</v>
      </c>
      <c r="E1416" t="s">
        <v>25</v>
      </c>
      <c r="F1416" t="s">
        <v>26</v>
      </c>
      <c r="G1416" t="s">
        <v>32</v>
      </c>
      <c r="H1416" t="s">
        <v>33</v>
      </c>
      <c r="I1416">
        <v>1</v>
      </c>
      <c r="J1416">
        <v>7.4</v>
      </c>
      <c r="K1416">
        <v>0</v>
      </c>
      <c r="L1416">
        <v>7.4</v>
      </c>
      <c r="M1416">
        <v>8.0500000000000007</v>
      </c>
      <c r="N1416">
        <v>-3.98</v>
      </c>
      <c r="O1416" t="s">
        <v>39</v>
      </c>
      <c r="P1416">
        <v>2025</v>
      </c>
      <c r="Q1416" t="s">
        <v>3638</v>
      </c>
      <c r="R1416">
        <v>7.4</v>
      </c>
      <c r="S1416">
        <v>-0.53783783783783801</v>
      </c>
      <c r="T1416" t="s">
        <v>3634</v>
      </c>
      <c r="U1416" t="s">
        <v>3636</v>
      </c>
    </row>
    <row r="1417" spans="1:21" x14ac:dyDescent="0.25">
      <c r="A1417" t="s">
        <v>2678</v>
      </c>
      <c r="B1417" s="1">
        <v>45725</v>
      </c>
      <c r="C1417" t="s">
        <v>2679</v>
      </c>
      <c r="D1417" t="s">
        <v>17</v>
      </c>
      <c r="E1417" t="s">
        <v>18</v>
      </c>
      <c r="F1417" t="s">
        <v>19</v>
      </c>
      <c r="G1417" t="s">
        <v>32</v>
      </c>
      <c r="H1417" t="s">
        <v>101</v>
      </c>
      <c r="I1417">
        <v>1</v>
      </c>
      <c r="J1417">
        <v>12.48</v>
      </c>
      <c r="K1417">
        <v>10</v>
      </c>
      <c r="L1417">
        <v>11.23</v>
      </c>
      <c r="M1417">
        <v>5.52</v>
      </c>
      <c r="N1417">
        <v>0.09</v>
      </c>
      <c r="O1417" t="s">
        <v>34</v>
      </c>
      <c r="P1417">
        <v>2025</v>
      </c>
      <c r="Q1417" t="s">
        <v>3638</v>
      </c>
      <c r="R1417">
        <v>10.106999999999999</v>
      </c>
      <c r="S1417">
        <v>8.9047195013357092E-3</v>
      </c>
      <c r="T1417" t="s">
        <v>3634</v>
      </c>
      <c r="U1417" t="s">
        <v>3633</v>
      </c>
    </row>
    <row r="1418" spans="1:21" x14ac:dyDescent="0.25">
      <c r="A1418" t="s">
        <v>2680</v>
      </c>
      <c r="B1418" s="1">
        <v>45726</v>
      </c>
      <c r="C1418" t="s">
        <v>1653</v>
      </c>
      <c r="D1418" t="s">
        <v>30</v>
      </c>
      <c r="E1418" t="s">
        <v>53</v>
      </c>
      <c r="F1418" t="s">
        <v>54</v>
      </c>
      <c r="G1418" t="s">
        <v>42</v>
      </c>
      <c r="H1418" t="s">
        <v>89</v>
      </c>
      <c r="I1418">
        <v>1</v>
      </c>
      <c r="J1418">
        <v>418.59</v>
      </c>
      <c r="K1418">
        <v>0</v>
      </c>
      <c r="L1418">
        <v>418.59</v>
      </c>
      <c r="M1418">
        <v>12.47</v>
      </c>
      <c r="N1418">
        <v>154.97</v>
      </c>
      <c r="O1418" t="s">
        <v>34</v>
      </c>
      <c r="P1418">
        <v>2025</v>
      </c>
      <c r="Q1418" t="s">
        <v>3638</v>
      </c>
      <c r="R1418">
        <v>418.59</v>
      </c>
      <c r="S1418">
        <v>0.37021906877851801</v>
      </c>
      <c r="T1418" t="s">
        <v>3632</v>
      </c>
      <c r="U1418" t="s">
        <v>3633</v>
      </c>
    </row>
    <row r="1419" spans="1:21" x14ac:dyDescent="0.25">
      <c r="A1419" t="s">
        <v>2681</v>
      </c>
      <c r="B1419" s="1">
        <v>45727</v>
      </c>
      <c r="C1419" t="s">
        <v>2682</v>
      </c>
      <c r="D1419" t="s">
        <v>30</v>
      </c>
      <c r="E1419" t="s">
        <v>121</v>
      </c>
      <c r="F1419" t="s">
        <v>68</v>
      </c>
      <c r="G1419" t="s">
        <v>20</v>
      </c>
      <c r="H1419" t="s">
        <v>106</v>
      </c>
      <c r="I1419">
        <v>2</v>
      </c>
      <c r="J1419">
        <v>28.19</v>
      </c>
      <c r="K1419">
        <v>5</v>
      </c>
      <c r="L1419">
        <v>53.56</v>
      </c>
      <c r="M1419">
        <v>12.32</v>
      </c>
      <c r="N1419">
        <v>10.23</v>
      </c>
      <c r="O1419" t="s">
        <v>22</v>
      </c>
      <c r="P1419">
        <v>2025</v>
      </c>
      <c r="Q1419" t="s">
        <v>3638</v>
      </c>
      <c r="R1419">
        <v>50.881999999999998</v>
      </c>
      <c r="S1419">
        <v>0.20105341771156801</v>
      </c>
      <c r="T1419" t="s">
        <v>3634</v>
      </c>
      <c r="U1419" t="s">
        <v>3633</v>
      </c>
    </row>
    <row r="1420" spans="1:21" x14ac:dyDescent="0.25">
      <c r="A1420" t="s">
        <v>2683</v>
      </c>
      <c r="B1420" s="1">
        <v>45728</v>
      </c>
      <c r="C1420" t="s">
        <v>389</v>
      </c>
      <c r="D1420" t="s">
        <v>49</v>
      </c>
      <c r="E1420" t="s">
        <v>169</v>
      </c>
      <c r="F1420" t="s">
        <v>68</v>
      </c>
      <c r="G1420" t="s">
        <v>20</v>
      </c>
      <c r="H1420" t="s">
        <v>264</v>
      </c>
      <c r="I1420">
        <v>9</v>
      </c>
      <c r="J1420">
        <v>45.95</v>
      </c>
      <c r="K1420">
        <v>20</v>
      </c>
      <c r="L1420">
        <v>330.84</v>
      </c>
      <c r="M1420">
        <v>24.56</v>
      </c>
      <c r="N1420">
        <v>78.83</v>
      </c>
      <c r="O1420" t="s">
        <v>34</v>
      </c>
      <c r="P1420">
        <v>2025</v>
      </c>
      <c r="Q1420" t="s">
        <v>3638</v>
      </c>
      <c r="R1420">
        <v>264.67200000000003</v>
      </c>
      <c r="S1420">
        <v>0.297840345786483</v>
      </c>
      <c r="T1420" t="s">
        <v>3632</v>
      </c>
      <c r="U1420" t="s">
        <v>3633</v>
      </c>
    </row>
    <row r="1421" spans="1:21" x14ac:dyDescent="0.25">
      <c r="A1421" t="s">
        <v>2684</v>
      </c>
      <c r="B1421" s="1">
        <v>45730</v>
      </c>
      <c r="C1421" t="s">
        <v>2685</v>
      </c>
      <c r="D1421" t="s">
        <v>49</v>
      </c>
      <c r="E1421" t="s">
        <v>31</v>
      </c>
      <c r="F1421" t="s">
        <v>19</v>
      </c>
      <c r="G1421" t="s">
        <v>69</v>
      </c>
      <c r="H1421" t="s">
        <v>70</v>
      </c>
      <c r="I1421">
        <v>1</v>
      </c>
      <c r="J1421">
        <v>48.23</v>
      </c>
      <c r="K1421">
        <v>0</v>
      </c>
      <c r="L1421">
        <v>48.23</v>
      </c>
      <c r="M1421">
        <v>6.21</v>
      </c>
      <c r="N1421">
        <v>17.899999999999999</v>
      </c>
      <c r="O1421" t="s">
        <v>56</v>
      </c>
      <c r="P1421">
        <v>2025</v>
      </c>
      <c r="Q1421" t="s">
        <v>3638</v>
      </c>
      <c r="R1421">
        <v>48.23</v>
      </c>
      <c r="S1421">
        <v>0.37113829566659801</v>
      </c>
      <c r="T1421" t="s">
        <v>3634</v>
      </c>
      <c r="U1421" t="s">
        <v>3633</v>
      </c>
    </row>
    <row r="1422" spans="1:21" x14ac:dyDescent="0.25">
      <c r="A1422" t="s">
        <v>2686</v>
      </c>
      <c r="B1422" s="1">
        <v>45731</v>
      </c>
      <c r="C1422" t="s">
        <v>1164</v>
      </c>
      <c r="D1422" t="s">
        <v>49</v>
      </c>
      <c r="E1422" t="s">
        <v>31</v>
      </c>
      <c r="F1422" t="s">
        <v>19</v>
      </c>
      <c r="G1422" t="s">
        <v>32</v>
      </c>
      <c r="H1422" t="s">
        <v>110</v>
      </c>
      <c r="I1422">
        <v>5</v>
      </c>
      <c r="J1422">
        <v>13.18</v>
      </c>
      <c r="K1422">
        <v>20</v>
      </c>
      <c r="L1422">
        <v>52.72</v>
      </c>
      <c r="M1422">
        <v>12.13</v>
      </c>
      <c r="N1422">
        <v>10.93</v>
      </c>
      <c r="O1422" t="s">
        <v>56</v>
      </c>
      <c r="P1422">
        <v>2025</v>
      </c>
      <c r="Q1422" t="s">
        <v>3638</v>
      </c>
      <c r="R1422">
        <v>42.176000000000002</v>
      </c>
      <c r="S1422">
        <v>0.25915212443095598</v>
      </c>
      <c r="T1422" t="s">
        <v>3634</v>
      </c>
      <c r="U1422" t="s">
        <v>3633</v>
      </c>
    </row>
    <row r="1423" spans="1:21" x14ac:dyDescent="0.25">
      <c r="A1423" t="s">
        <v>2687</v>
      </c>
      <c r="B1423" s="1">
        <v>45731</v>
      </c>
      <c r="C1423" t="s">
        <v>2688</v>
      </c>
      <c r="D1423" t="s">
        <v>30</v>
      </c>
      <c r="E1423" t="s">
        <v>18</v>
      </c>
      <c r="F1423" t="s">
        <v>19</v>
      </c>
      <c r="G1423" t="s">
        <v>69</v>
      </c>
      <c r="H1423" t="s">
        <v>243</v>
      </c>
      <c r="I1423">
        <v>1</v>
      </c>
      <c r="J1423">
        <v>17.18</v>
      </c>
      <c r="K1423">
        <v>0</v>
      </c>
      <c r="L1423">
        <v>17.18</v>
      </c>
      <c r="M1423">
        <v>7.15</v>
      </c>
      <c r="N1423">
        <v>1.44</v>
      </c>
      <c r="O1423" t="s">
        <v>39</v>
      </c>
      <c r="P1423">
        <v>2025</v>
      </c>
      <c r="Q1423" t="s">
        <v>3638</v>
      </c>
      <c r="R1423">
        <v>17.18</v>
      </c>
      <c r="S1423">
        <v>8.3818393480791606E-2</v>
      </c>
      <c r="T1423" t="s">
        <v>3634</v>
      </c>
      <c r="U1423" t="s">
        <v>3633</v>
      </c>
    </row>
    <row r="1424" spans="1:21" x14ac:dyDescent="0.25">
      <c r="A1424" t="s">
        <v>2689</v>
      </c>
      <c r="B1424" s="1">
        <v>45731</v>
      </c>
      <c r="C1424" t="s">
        <v>831</v>
      </c>
      <c r="D1424" t="s">
        <v>30</v>
      </c>
      <c r="E1424" t="s">
        <v>135</v>
      </c>
      <c r="F1424" t="s">
        <v>26</v>
      </c>
      <c r="G1424" t="s">
        <v>42</v>
      </c>
      <c r="H1424" t="s">
        <v>46</v>
      </c>
      <c r="I1424">
        <v>2</v>
      </c>
      <c r="J1424">
        <v>135.69</v>
      </c>
      <c r="K1424">
        <v>10</v>
      </c>
      <c r="L1424">
        <v>244.24</v>
      </c>
      <c r="M1424">
        <v>8.42</v>
      </c>
      <c r="N1424">
        <v>72.989999999999995</v>
      </c>
      <c r="O1424" t="s">
        <v>39</v>
      </c>
      <c r="P1424">
        <v>2025</v>
      </c>
      <c r="Q1424" t="s">
        <v>3638</v>
      </c>
      <c r="R1424">
        <v>219.816</v>
      </c>
      <c r="S1424">
        <v>0.332050442188012</v>
      </c>
      <c r="T1424" t="s">
        <v>3632</v>
      </c>
      <c r="U1424" t="s">
        <v>3633</v>
      </c>
    </row>
    <row r="1425" spans="1:21" x14ac:dyDescent="0.25">
      <c r="A1425" t="s">
        <v>2690</v>
      </c>
      <c r="B1425" s="1">
        <v>45732</v>
      </c>
      <c r="C1425" t="s">
        <v>2691</v>
      </c>
      <c r="D1425" t="s">
        <v>49</v>
      </c>
      <c r="E1425" t="s">
        <v>76</v>
      </c>
      <c r="F1425" t="s">
        <v>26</v>
      </c>
      <c r="G1425" t="s">
        <v>69</v>
      </c>
      <c r="H1425" t="s">
        <v>160</v>
      </c>
      <c r="I1425">
        <v>1</v>
      </c>
      <c r="J1425">
        <v>34.17</v>
      </c>
      <c r="K1425">
        <v>5</v>
      </c>
      <c r="L1425">
        <v>32.46</v>
      </c>
      <c r="M1425">
        <v>8.6999999999999993</v>
      </c>
      <c r="N1425">
        <v>6.68</v>
      </c>
      <c r="O1425" t="s">
        <v>56</v>
      </c>
      <c r="P1425">
        <v>2025</v>
      </c>
      <c r="Q1425" t="s">
        <v>3638</v>
      </c>
      <c r="R1425">
        <v>30.837</v>
      </c>
      <c r="S1425">
        <v>0.216622888088984</v>
      </c>
      <c r="T1425" t="s">
        <v>3634</v>
      </c>
      <c r="U1425" t="s">
        <v>3633</v>
      </c>
    </row>
    <row r="1426" spans="1:21" x14ac:dyDescent="0.25">
      <c r="A1426" t="s">
        <v>2692</v>
      </c>
      <c r="B1426" s="1">
        <v>45732</v>
      </c>
      <c r="C1426" t="s">
        <v>2693</v>
      </c>
      <c r="D1426" t="s">
        <v>49</v>
      </c>
      <c r="E1426" t="s">
        <v>37</v>
      </c>
      <c r="F1426" t="s">
        <v>26</v>
      </c>
      <c r="G1426" t="s">
        <v>20</v>
      </c>
      <c r="H1426" t="s">
        <v>38</v>
      </c>
      <c r="I1426">
        <v>2</v>
      </c>
      <c r="J1426">
        <v>51.32</v>
      </c>
      <c r="K1426">
        <v>20</v>
      </c>
      <c r="L1426">
        <v>82.11</v>
      </c>
      <c r="M1426">
        <v>11.91</v>
      </c>
      <c r="N1426">
        <v>13.75</v>
      </c>
      <c r="O1426" t="s">
        <v>34</v>
      </c>
      <c r="P1426">
        <v>2025</v>
      </c>
      <c r="Q1426" t="s">
        <v>3638</v>
      </c>
      <c r="R1426">
        <v>65.688000000000002</v>
      </c>
      <c r="S1426">
        <v>0.20932285957861399</v>
      </c>
      <c r="T1426" t="s">
        <v>3634</v>
      </c>
      <c r="U1426" t="s">
        <v>3633</v>
      </c>
    </row>
    <row r="1427" spans="1:21" x14ac:dyDescent="0.25">
      <c r="A1427" t="s">
        <v>2694</v>
      </c>
      <c r="B1427" s="1">
        <v>45732</v>
      </c>
      <c r="C1427" t="s">
        <v>1227</v>
      </c>
      <c r="D1427" t="s">
        <v>49</v>
      </c>
      <c r="E1427" t="s">
        <v>31</v>
      </c>
      <c r="F1427" t="s">
        <v>19</v>
      </c>
      <c r="G1427" t="s">
        <v>69</v>
      </c>
      <c r="H1427" t="s">
        <v>79</v>
      </c>
      <c r="I1427">
        <v>9</v>
      </c>
      <c r="J1427">
        <v>64.33</v>
      </c>
      <c r="K1427">
        <v>5</v>
      </c>
      <c r="L1427">
        <v>550.02</v>
      </c>
      <c r="M1427">
        <v>22.61</v>
      </c>
      <c r="N1427">
        <v>237.92</v>
      </c>
      <c r="O1427" t="s">
        <v>39</v>
      </c>
      <c r="P1427">
        <v>2025</v>
      </c>
      <c r="Q1427" t="s">
        <v>3638</v>
      </c>
      <c r="R1427">
        <v>522.51900000000001</v>
      </c>
      <c r="S1427">
        <v>0.455332724743024</v>
      </c>
      <c r="T1427" t="s">
        <v>3635</v>
      </c>
      <c r="U1427" t="s">
        <v>3633</v>
      </c>
    </row>
    <row r="1428" spans="1:21" x14ac:dyDescent="0.25">
      <c r="A1428" t="s">
        <v>2695</v>
      </c>
      <c r="B1428" s="1">
        <v>45733</v>
      </c>
      <c r="C1428" t="s">
        <v>2696</v>
      </c>
      <c r="D1428" t="s">
        <v>30</v>
      </c>
      <c r="E1428" t="s">
        <v>248</v>
      </c>
      <c r="F1428" t="s">
        <v>26</v>
      </c>
      <c r="G1428" t="s">
        <v>42</v>
      </c>
      <c r="H1428" t="s">
        <v>371</v>
      </c>
      <c r="I1428">
        <v>3</v>
      </c>
      <c r="J1428">
        <v>137.47</v>
      </c>
      <c r="K1428">
        <v>10</v>
      </c>
      <c r="L1428">
        <v>371.17</v>
      </c>
      <c r="M1428">
        <v>12.7</v>
      </c>
      <c r="N1428">
        <v>111.02</v>
      </c>
      <c r="O1428" t="s">
        <v>39</v>
      </c>
      <c r="P1428">
        <v>2025</v>
      </c>
      <c r="Q1428" t="s">
        <v>3638</v>
      </c>
      <c r="R1428">
        <v>334.053</v>
      </c>
      <c r="S1428">
        <v>0.33234247260165301</v>
      </c>
      <c r="T1428" t="s">
        <v>3632</v>
      </c>
      <c r="U1428" t="s">
        <v>3633</v>
      </c>
    </row>
    <row r="1429" spans="1:21" x14ac:dyDescent="0.25">
      <c r="A1429" t="s">
        <v>2697</v>
      </c>
      <c r="B1429" s="1">
        <v>45734</v>
      </c>
      <c r="C1429" t="s">
        <v>413</v>
      </c>
      <c r="D1429" t="s">
        <v>30</v>
      </c>
      <c r="E1429" t="s">
        <v>85</v>
      </c>
      <c r="F1429" t="s">
        <v>60</v>
      </c>
      <c r="G1429" t="s">
        <v>69</v>
      </c>
      <c r="H1429" t="s">
        <v>163</v>
      </c>
      <c r="I1429">
        <v>1</v>
      </c>
      <c r="J1429">
        <v>61.85</v>
      </c>
      <c r="K1429">
        <v>0</v>
      </c>
      <c r="L1429">
        <v>61.85</v>
      </c>
      <c r="M1429">
        <v>11.16</v>
      </c>
      <c r="N1429">
        <v>19.77</v>
      </c>
      <c r="O1429" t="s">
        <v>39</v>
      </c>
      <c r="P1429">
        <v>2025</v>
      </c>
      <c r="Q1429" t="s">
        <v>3638</v>
      </c>
      <c r="R1429">
        <v>61.85</v>
      </c>
      <c r="S1429">
        <v>0.319644300727567</v>
      </c>
      <c r="T1429" t="s">
        <v>3634</v>
      </c>
      <c r="U1429" t="s">
        <v>3633</v>
      </c>
    </row>
    <row r="1430" spans="1:21" x14ac:dyDescent="0.25">
      <c r="A1430" t="s">
        <v>2698</v>
      </c>
      <c r="B1430" s="1">
        <v>45734</v>
      </c>
      <c r="C1430" t="s">
        <v>2699</v>
      </c>
      <c r="D1430" t="s">
        <v>17</v>
      </c>
      <c r="E1430" t="s">
        <v>63</v>
      </c>
      <c r="F1430" t="s">
        <v>54</v>
      </c>
      <c r="G1430" t="s">
        <v>20</v>
      </c>
      <c r="H1430" t="s">
        <v>106</v>
      </c>
      <c r="I1430">
        <v>4</v>
      </c>
      <c r="J1430">
        <v>67.37</v>
      </c>
      <c r="K1430">
        <v>10</v>
      </c>
      <c r="L1430">
        <v>242.53</v>
      </c>
      <c r="M1430">
        <v>15.81</v>
      </c>
      <c r="N1430">
        <v>78.510000000000005</v>
      </c>
      <c r="O1430" t="s">
        <v>39</v>
      </c>
      <c r="P1430">
        <v>2025</v>
      </c>
      <c r="Q1430" t="s">
        <v>3638</v>
      </c>
      <c r="R1430">
        <v>218.27699999999999</v>
      </c>
      <c r="S1430">
        <v>0.35968058934289898</v>
      </c>
      <c r="T1430" t="s">
        <v>3632</v>
      </c>
      <c r="U1430" t="s">
        <v>3633</v>
      </c>
    </row>
    <row r="1431" spans="1:21" x14ac:dyDescent="0.25">
      <c r="A1431" t="s">
        <v>2700</v>
      </c>
      <c r="B1431" s="1">
        <v>45735</v>
      </c>
      <c r="C1431" t="s">
        <v>2701</v>
      </c>
      <c r="D1431" t="s">
        <v>30</v>
      </c>
      <c r="E1431" t="s">
        <v>31</v>
      </c>
      <c r="F1431" t="s">
        <v>19</v>
      </c>
      <c r="G1431" t="s">
        <v>20</v>
      </c>
      <c r="H1431" t="s">
        <v>38</v>
      </c>
      <c r="I1431">
        <v>3</v>
      </c>
      <c r="J1431">
        <v>81.59</v>
      </c>
      <c r="K1431">
        <v>5</v>
      </c>
      <c r="L1431">
        <v>232.53</v>
      </c>
      <c r="M1431">
        <v>7.31</v>
      </c>
      <c r="N1431">
        <v>90.6</v>
      </c>
      <c r="O1431" t="s">
        <v>39</v>
      </c>
      <c r="P1431">
        <v>2025</v>
      </c>
      <c r="Q1431" t="s">
        <v>3638</v>
      </c>
      <c r="R1431">
        <v>220.90350000000001</v>
      </c>
      <c r="S1431">
        <v>0.41013383672055898</v>
      </c>
      <c r="T1431" t="s">
        <v>3632</v>
      </c>
      <c r="U1431" t="s">
        <v>3633</v>
      </c>
    </row>
    <row r="1432" spans="1:21" x14ac:dyDescent="0.25">
      <c r="A1432" t="s">
        <v>2702</v>
      </c>
      <c r="B1432" s="1">
        <v>45736</v>
      </c>
      <c r="C1432" t="s">
        <v>2703</v>
      </c>
      <c r="D1432" t="s">
        <v>30</v>
      </c>
      <c r="E1432" t="s">
        <v>166</v>
      </c>
      <c r="F1432" t="s">
        <v>60</v>
      </c>
      <c r="G1432" t="s">
        <v>42</v>
      </c>
      <c r="H1432" t="s">
        <v>255</v>
      </c>
      <c r="I1432">
        <v>3</v>
      </c>
      <c r="J1432">
        <v>48.66</v>
      </c>
      <c r="K1432">
        <v>5</v>
      </c>
      <c r="L1432">
        <v>138.68</v>
      </c>
      <c r="M1432">
        <v>11.5</v>
      </c>
      <c r="N1432">
        <v>39.590000000000003</v>
      </c>
      <c r="O1432" t="s">
        <v>22</v>
      </c>
      <c r="P1432">
        <v>2025</v>
      </c>
      <c r="Q1432" t="s">
        <v>3638</v>
      </c>
      <c r="R1432">
        <v>131.74600000000001</v>
      </c>
      <c r="S1432">
        <v>0.30050248204879099</v>
      </c>
      <c r="T1432" t="s">
        <v>3632</v>
      </c>
      <c r="U1432" t="s">
        <v>3633</v>
      </c>
    </row>
    <row r="1433" spans="1:21" x14ac:dyDescent="0.25">
      <c r="A1433" t="s">
        <v>2704</v>
      </c>
      <c r="B1433" s="1">
        <v>45736</v>
      </c>
      <c r="C1433" t="s">
        <v>2705</v>
      </c>
      <c r="D1433" t="s">
        <v>17</v>
      </c>
      <c r="E1433" t="s">
        <v>18</v>
      </c>
      <c r="F1433" t="s">
        <v>19</v>
      </c>
      <c r="G1433" t="s">
        <v>69</v>
      </c>
      <c r="H1433" t="s">
        <v>196</v>
      </c>
      <c r="I1433">
        <v>7</v>
      </c>
      <c r="J1433">
        <v>29.97</v>
      </c>
      <c r="K1433">
        <v>5</v>
      </c>
      <c r="L1433">
        <v>199.3</v>
      </c>
      <c r="M1433">
        <v>15.57</v>
      </c>
      <c r="N1433">
        <v>78.84</v>
      </c>
      <c r="O1433" t="s">
        <v>56</v>
      </c>
      <c r="P1433">
        <v>2025</v>
      </c>
      <c r="Q1433" t="s">
        <v>3638</v>
      </c>
      <c r="R1433">
        <v>189.33500000000001</v>
      </c>
      <c r="S1433">
        <v>0.41640478516914498</v>
      </c>
      <c r="T1433" t="s">
        <v>3632</v>
      </c>
      <c r="U1433" t="s">
        <v>3633</v>
      </c>
    </row>
    <row r="1434" spans="1:21" x14ac:dyDescent="0.25">
      <c r="A1434" t="s">
        <v>2706</v>
      </c>
      <c r="B1434" s="1">
        <v>45737</v>
      </c>
      <c r="C1434" t="s">
        <v>2122</v>
      </c>
      <c r="D1434" t="s">
        <v>17</v>
      </c>
      <c r="E1434" t="s">
        <v>53</v>
      </c>
      <c r="F1434" t="s">
        <v>54</v>
      </c>
      <c r="G1434" t="s">
        <v>20</v>
      </c>
      <c r="H1434" t="s">
        <v>170</v>
      </c>
      <c r="I1434">
        <v>1</v>
      </c>
      <c r="J1434">
        <v>29.02</v>
      </c>
      <c r="K1434">
        <v>5</v>
      </c>
      <c r="L1434">
        <v>27.57</v>
      </c>
      <c r="M1434">
        <v>11.87</v>
      </c>
      <c r="N1434">
        <v>-0.26</v>
      </c>
      <c r="O1434" t="s">
        <v>22</v>
      </c>
      <c r="P1434">
        <v>2025</v>
      </c>
      <c r="Q1434" t="s">
        <v>3638</v>
      </c>
      <c r="R1434">
        <v>26.191500000000001</v>
      </c>
      <c r="S1434">
        <v>-9.9268846763262905E-3</v>
      </c>
      <c r="T1434" t="s">
        <v>3634</v>
      </c>
      <c r="U1434" t="s">
        <v>3636</v>
      </c>
    </row>
    <row r="1435" spans="1:21" x14ac:dyDescent="0.25">
      <c r="A1435" t="s">
        <v>2707</v>
      </c>
      <c r="B1435" s="1">
        <v>45738</v>
      </c>
      <c r="C1435" t="s">
        <v>2708</v>
      </c>
      <c r="D1435" t="s">
        <v>17</v>
      </c>
      <c r="E1435" t="s">
        <v>135</v>
      </c>
      <c r="F1435" t="s">
        <v>26</v>
      </c>
      <c r="G1435" t="s">
        <v>42</v>
      </c>
      <c r="H1435" t="s">
        <v>118</v>
      </c>
      <c r="I1435">
        <v>2</v>
      </c>
      <c r="J1435">
        <v>78.8</v>
      </c>
      <c r="K1435">
        <v>5</v>
      </c>
      <c r="L1435">
        <v>149.72</v>
      </c>
      <c r="M1435">
        <v>11.19</v>
      </c>
      <c r="N1435">
        <v>43.97</v>
      </c>
      <c r="O1435" t="s">
        <v>39</v>
      </c>
      <c r="P1435">
        <v>2025</v>
      </c>
      <c r="Q1435" t="s">
        <v>3638</v>
      </c>
      <c r="R1435">
        <v>142.23400000000001</v>
      </c>
      <c r="S1435">
        <v>0.30913846197111799</v>
      </c>
      <c r="T1435" t="s">
        <v>3632</v>
      </c>
      <c r="U1435" t="s">
        <v>3633</v>
      </c>
    </row>
    <row r="1436" spans="1:21" x14ac:dyDescent="0.25">
      <c r="A1436" t="s">
        <v>2709</v>
      </c>
      <c r="B1436" s="1">
        <v>45738</v>
      </c>
      <c r="C1436" t="s">
        <v>2710</v>
      </c>
      <c r="D1436" t="s">
        <v>30</v>
      </c>
      <c r="E1436" t="s">
        <v>25</v>
      </c>
      <c r="F1436" t="s">
        <v>26</v>
      </c>
      <c r="G1436" t="s">
        <v>20</v>
      </c>
      <c r="H1436" t="s">
        <v>38</v>
      </c>
      <c r="I1436">
        <v>2</v>
      </c>
      <c r="J1436">
        <v>67.91</v>
      </c>
      <c r="K1436">
        <v>0</v>
      </c>
      <c r="L1436">
        <v>135.82</v>
      </c>
      <c r="M1436">
        <v>8.98</v>
      </c>
      <c r="N1436">
        <v>52.14</v>
      </c>
      <c r="O1436" t="s">
        <v>39</v>
      </c>
      <c r="P1436">
        <v>2025</v>
      </c>
      <c r="Q1436" t="s">
        <v>3638</v>
      </c>
      <c r="R1436">
        <v>135.82</v>
      </c>
      <c r="S1436">
        <v>0.38389044323369198</v>
      </c>
      <c r="T1436" t="s">
        <v>3632</v>
      </c>
      <c r="U1436" t="s">
        <v>3633</v>
      </c>
    </row>
    <row r="1437" spans="1:21" x14ac:dyDescent="0.25">
      <c r="A1437" t="s">
        <v>2711</v>
      </c>
      <c r="B1437" s="1">
        <v>45741</v>
      </c>
      <c r="C1437" t="s">
        <v>2712</v>
      </c>
      <c r="D1437" t="s">
        <v>49</v>
      </c>
      <c r="E1437" t="s">
        <v>31</v>
      </c>
      <c r="F1437" t="s">
        <v>19</v>
      </c>
      <c r="G1437" t="s">
        <v>32</v>
      </c>
      <c r="H1437" t="s">
        <v>50</v>
      </c>
      <c r="I1437">
        <v>3</v>
      </c>
      <c r="J1437">
        <v>17.48</v>
      </c>
      <c r="K1437">
        <v>10</v>
      </c>
      <c r="L1437">
        <v>47.2</v>
      </c>
      <c r="M1437">
        <v>7.91</v>
      </c>
      <c r="N1437">
        <v>15.69</v>
      </c>
      <c r="O1437" t="s">
        <v>39</v>
      </c>
      <c r="P1437">
        <v>2025</v>
      </c>
      <c r="Q1437" t="s">
        <v>3638</v>
      </c>
      <c r="R1437">
        <v>42.48</v>
      </c>
      <c r="S1437">
        <v>0.36935028248587598</v>
      </c>
      <c r="T1437" t="s">
        <v>3634</v>
      </c>
      <c r="U1437" t="s">
        <v>3633</v>
      </c>
    </row>
    <row r="1438" spans="1:21" x14ac:dyDescent="0.25">
      <c r="A1438" t="s">
        <v>2713</v>
      </c>
      <c r="B1438" s="1">
        <v>45742</v>
      </c>
      <c r="C1438" t="s">
        <v>2714</v>
      </c>
      <c r="D1438" t="s">
        <v>49</v>
      </c>
      <c r="E1438" t="s">
        <v>135</v>
      </c>
      <c r="F1438" t="s">
        <v>26</v>
      </c>
      <c r="G1438" t="s">
        <v>69</v>
      </c>
      <c r="H1438" t="s">
        <v>70</v>
      </c>
      <c r="I1438">
        <v>2</v>
      </c>
      <c r="J1438">
        <v>55.31</v>
      </c>
      <c r="K1438">
        <v>10</v>
      </c>
      <c r="L1438">
        <v>99.56</v>
      </c>
      <c r="M1438">
        <v>10.62</v>
      </c>
      <c r="N1438">
        <v>33.630000000000003</v>
      </c>
      <c r="O1438" t="s">
        <v>39</v>
      </c>
      <c r="P1438">
        <v>2025</v>
      </c>
      <c r="Q1438" t="s">
        <v>3638</v>
      </c>
      <c r="R1438">
        <v>89.603999999999999</v>
      </c>
      <c r="S1438">
        <v>0.37531806615776098</v>
      </c>
      <c r="T1438" t="s">
        <v>3634</v>
      </c>
      <c r="U1438" t="s">
        <v>3633</v>
      </c>
    </row>
    <row r="1439" spans="1:21" x14ac:dyDescent="0.25">
      <c r="A1439" t="s">
        <v>2715</v>
      </c>
      <c r="B1439" s="1">
        <v>45742</v>
      </c>
      <c r="C1439" t="s">
        <v>2716</v>
      </c>
      <c r="D1439" t="s">
        <v>49</v>
      </c>
      <c r="E1439" t="s">
        <v>31</v>
      </c>
      <c r="F1439" t="s">
        <v>19</v>
      </c>
      <c r="G1439" t="s">
        <v>20</v>
      </c>
      <c r="H1439" t="s">
        <v>175</v>
      </c>
      <c r="I1439">
        <v>5</v>
      </c>
      <c r="J1439">
        <v>25.46</v>
      </c>
      <c r="K1439">
        <v>5</v>
      </c>
      <c r="L1439">
        <v>120.94</v>
      </c>
      <c r="M1439">
        <v>16.36</v>
      </c>
      <c r="N1439">
        <v>34.56</v>
      </c>
      <c r="O1439" t="s">
        <v>34</v>
      </c>
      <c r="P1439">
        <v>2025</v>
      </c>
      <c r="Q1439" t="s">
        <v>3638</v>
      </c>
      <c r="R1439">
        <v>114.893</v>
      </c>
      <c r="S1439">
        <v>0.30080161541608302</v>
      </c>
      <c r="T1439" t="s">
        <v>3632</v>
      </c>
      <c r="U1439" t="s">
        <v>3633</v>
      </c>
    </row>
    <row r="1440" spans="1:21" x14ac:dyDescent="0.25">
      <c r="A1440" t="s">
        <v>2717</v>
      </c>
      <c r="B1440" s="1">
        <v>45742</v>
      </c>
      <c r="C1440" t="s">
        <v>2718</v>
      </c>
      <c r="D1440" t="s">
        <v>17</v>
      </c>
      <c r="E1440" t="s">
        <v>37</v>
      </c>
      <c r="F1440" t="s">
        <v>26</v>
      </c>
      <c r="G1440" t="s">
        <v>32</v>
      </c>
      <c r="H1440" t="s">
        <v>132</v>
      </c>
      <c r="I1440">
        <v>4</v>
      </c>
      <c r="J1440">
        <v>19.04</v>
      </c>
      <c r="K1440">
        <v>5</v>
      </c>
      <c r="L1440">
        <v>72.349999999999994</v>
      </c>
      <c r="M1440">
        <v>13.88</v>
      </c>
      <c r="N1440">
        <v>24.2</v>
      </c>
      <c r="O1440" t="s">
        <v>34</v>
      </c>
      <c r="P1440">
        <v>2025</v>
      </c>
      <c r="Q1440" t="s">
        <v>3638</v>
      </c>
      <c r="R1440">
        <v>68.732500000000002</v>
      </c>
      <c r="S1440">
        <v>0.35208962281307998</v>
      </c>
      <c r="T1440" t="s">
        <v>3634</v>
      </c>
      <c r="U1440" t="s">
        <v>3633</v>
      </c>
    </row>
    <row r="1441" spans="1:21" x14ac:dyDescent="0.25">
      <c r="A1441" t="s">
        <v>2719</v>
      </c>
      <c r="B1441" s="1">
        <v>45742</v>
      </c>
      <c r="C1441" t="s">
        <v>2720</v>
      </c>
      <c r="D1441" t="s">
        <v>30</v>
      </c>
      <c r="E1441" t="s">
        <v>135</v>
      </c>
      <c r="F1441" t="s">
        <v>26</v>
      </c>
      <c r="G1441" t="s">
        <v>42</v>
      </c>
      <c r="H1441" t="s">
        <v>255</v>
      </c>
      <c r="I1441">
        <v>2</v>
      </c>
      <c r="J1441">
        <v>29.19</v>
      </c>
      <c r="K1441">
        <v>20</v>
      </c>
      <c r="L1441">
        <v>46.7</v>
      </c>
      <c r="M1441">
        <v>11.71</v>
      </c>
      <c r="N1441">
        <v>-0.04</v>
      </c>
      <c r="O1441" t="s">
        <v>34</v>
      </c>
      <c r="P1441">
        <v>2025</v>
      </c>
      <c r="Q1441" t="s">
        <v>3638</v>
      </c>
      <c r="R1441">
        <v>37.36</v>
      </c>
      <c r="S1441">
        <v>-1.0706638115631701E-3</v>
      </c>
      <c r="T1441" t="s">
        <v>3634</v>
      </c>
      <c r="U1441" t="s">
        <v>3636</v>
      </c>
    </row>
    <row r="1442" spans="1:21" x14ac:dyDescent="0.25">
      <c r="A1442" t="s">
        <v>2721</v>
      </c>
      <c r="B1442" s="1">
        <v>45743</v>
      </c>
      <c r="C1442" t="s">
        <v>2722</v>
      </c>
      <c r="D1442" t="s">
        <v>30</v>
      </c>
      <c r="E1442" t="s">
        <v>138</v>
      </c>
      <c r="F1442" t="s">
        <v>54</v>
      </c>
      <c r="G1442" t="s">
        <v>20</v>
      </c>
      <c r="H1442" t="s">
        <v>122</v>
      </c>
      <c r="I1442">
        <v>2</v>
      </c>
      <c r="J1442">
        <v>136.47999999999999</v>
      </c>
      <c r="K1442">
        <v>15</v>
      </c>
      <c r="L1442">
        <v>232.02</v>
      </c>
      <c r="M1442">
        <v>15.42</v>
      </c>
      <c r="N1442">
        <v>66.47</v>
      </c>
      <c r="O1442" t="s">
        <v>56</v>
      </c>
      <c r="P1442">
        <v>2025</v>
      </c>
      <c r="Q1442" t="s">
        <v>3638</v>
      </c>
      <c r="R1442">
        <v>197.21700000000001</v>
      </c>
      <c r="S1442">
        <v>0.33703991035255598</v>
      </c>
      <c r="T1442" t="s">
        <v>3632</v>
      </c>
      <c r="U1442" t="s">
        <v>3633</v>
      </c>
    </row>
    <row r="1443" spans="1:21" x14ac:dyDescent="0.25">
      <c r="A1443" t="s">
        <v>2723</v>
      </c>
      <c r="B1443" s="1">
        <v>45743</v>
      </c>
      <c r="C1443" t="s">
        <v>1090</v>
      </c>
      <c r="D1443" t="s">
        <v>30</v>
      </c>
      <c r="E1443" t="s">
        <v>148</v>
      </c>
      <c r="F1443" t="s">
        <v>60</v>
      </c>
      <c r="G1443" t="s">
        <v>32</v>
      </c>
      <c r="H1443" t="s">
        <v>101</v>
      </c>
      <c r="I1443">
        <v>2</v>
      </c>
      <c r="J1443">
        <v>20.22</v>
      </c>
      <c r="K1443">
        <v>25</v>
      </c>
      <c r="L1443">
        <v>30.33</v>
      </c>
      <c r="M1443">
        <v>10.69</v>
      </c>
      <c r="N1443">
        <v>1.44</v>
      </c>
      <c r="O1443" t="s">
        <v>39</v>
      </c>
      <c r="P1443">
        <v>2025</v>
      </c>
      <c r="Q1443" t="s">
        <v>3638</v>
      </c>
      <c r="R1443">
        <v>22.747499999999999</v>
      </c>
      <c r="S1443">
        <v>6.3303659742828894E-2</v>
      </c>
      <c r="T1443" t="s">
        <v>3634</v>
      </c>
      <c r="U1443" t="s">
        <v>3633</v>
      </c>
    </row>
    <row r="1444" spans="1:21" x14ac:dyDescent="0.25">
      <c r="A1444" t="s">
        <v>2724</v>
      </c>
      <c r="B1444" s="1">
        <v>45743</v>
      </c>
      <c r="C1444" t="s">
        <v>1475</v>
      </c>
      <c r="D1444" t="s">
        <v>30</v>
      </c>
      <c r="E1444" t="s">
        <v>129</v>
      </c>
      <c r="F1444" t="s">
        <v>19</v>
      </c>
      <c r="G1444" t="s">
        <v>20</v>
      </c>
      <c r="H1444" t="s">
        <v>175</v>
      </c>
      <c r="I1444">
        <v>2</v>
      </c>
      <c r="J1444">
        <v>48.96</v>
      </c>
      <c r="K1444">
        <v>5</v>
      </c>
      <c r="L1444">
        <v>93.02</v>
      </c>
      <c r="M1444">
        <v>9.1</v>
      </c>
      <c r="N1444">
        <v>30.06</v>
      </c>
      <c r="O1444" t="s">
        <v>39</v>
      </c>
      <c r="P1444">
        <v>2025</v>
      </c>
      <c r="Q1444" t="s">
        <v>3638</v>
      </c>
      <c r="R1444">
        <v>88.369</v>
      </c>
      <c r="S1444">
        <v>0.34016453733775398</v>
      </c>
      <c r="T1444" t="s">
        <v>3634</v>
      </c>
      <c r="U1444" t="s">
        <v>3633</v>
      </c>
    </row>
    <row r="1445" spans="1:21" x14ac:dyDescent="0.25">
      <c r="A1445" t="s">
        <v>2725</v>
      </c>
      <c r="B1445" s="1">
        <v>45744</v>
      </c>
      <c r="C1445" t="s">
        <v>916</v>
      </c>
      <c r="D1445" t="s">
        <v>49</v>
      </c>
      <c r="E1445" t="s">
        <v>18</v>
      </c>
      <c r="F1445" t="s">
        <v>19</v>
      </c>
      <c r="G1445" t="s">
        <v>69</v>
      </c>
      <c r="H1445" t="s">
        <v>163</v>
      </c>
      <c r="I1445">
        <v>1</v>
      </c>
      <c r="J1445">
        <v>47.73</v>
      </c>
      <c r="K1445">
        <v>5</v>
      </c>
      <c r="L1445">
        <v>45.34</v>
      </c>
      <c r="M1445">
        <v>5.94</v>
      </c>
      <c r="N1445">
        <v>15.54</v>
      </c>
      <c r="O1445" t="s">
        <v>39</v>
      </c>
      <c r="P1445">
        <v>2025</v>
      </c>
      <c r="Q1445" t="s">
        <v>3638</v>
      </c>
      <c r="R1445">
        <v>43.073</v>
      </c>
      <c r="S1445">
        <v>0.36078285701019203</v>
      </c>
      <c r="T1445" t="s">
        <v>3634</v>
      </c>
      <c r="U1445" t="s">
        <v>3633</v>
      </c>
    </row>
    <row r="1446" spans="1:21" x14ac:dyDescent="0.25">
      <c r="A1446" t="s">
        <v>2726</v>
      </c>
      <c r="B1446" s="1">
        <v>45745</v>
      </c>
      <c r="C1446" t="s">
        <v>2727</v>
      </c>
      <c r="D1446" t="s">
        <v>30</v>
      </c>
      <c r="E1446" t="s">
        <v>92</v>
      </c>
      <c r="F1446" t="s">
        <v>60</v>
      </c>
      <c r="G1446" t="s">
        <v>42</v>
      </c>
      <c r="H1446" t="s">
        <v>89</v>
      </c>
      <c r="I1446">
        <v>1</v>
      </c>
      <c r="J1446">
        <v>268.81</v>
      </c>
      <c r="K1446">
        <v>20</v>
      </c>
      <c r="L1446">
        <v>215.05</v>
      </c>
      <c r="M1446">
        <v>10.37</v>
      </c>
      <c r="N1446">
        <v>43.39</v>
      </c>
      <c r="O1446" t="s">
        <v>34</v>
      </c>
      <c r="P1446">
        <v>2025</v>
      </c>
      <c r="Q1446" t="s">
        <v>3638</v>
      </c>
      <c r="R1446">
        <v>172.04</v>
      </c>
      <c r="S1446">
        <v>0.25220878865380097</v>
      </c>
      <c r="T1446" t="s">
        <v>3632</v>
      </c>
      <c r="U1446" t="s">
        <v>3633</v>
      </c>
    </row>
    <row r="1447" spans="1:21" x14ac:dyDescent="0.25">
      <c r="A1447" t="s">
        <v>2728</v>
      </c>
      <c r="B1447" s="1">
        <v>45746</v>
      </c>
      <c r="C1447" t="s">
        <v>2729</v>
      </c>
      <c r="D1447" t="s">
        <v>49</v>
      </c>
      <c r="E1447" t="s">
        <v>63</v>
      </c>
      <c r="F1447" t="s">
        <v>54</v>
      </c>
      <c r="G1447" t="s">
        <v>20</v>
      </c>
      <c r="H1447" t="s">
        <v>170</v>
      </c>
      <c r="I1447">
        <v>9</v>
      </c>
      <c r="J1447">
        <v>50.88</v>
      </c>
      <c r="K1447">
        <v>10</v>
      </c>
      <c r="L1447">
        <v>412.13</v>
      </c>
      <c r="M1447">
        <v>17.34</v>
      </c>
      <c r="N1447">
        <v>142.93</v>
      </c>
      <c r="O1447" t="s">
        <v>39</v>
      </c>
      <c r="P1447">
        <v>2025</v>
      </c>
      <c r="Q1447" t="s">
        <v>3638</v>
      </c>
      <c r="R1447">
        <v>370.91699999999997</v>
      </c>
      <c r="S1447">
        <v>0.38534227333877902</v>
      </c>
      <c r="T1447" t="s">
        <v>3632</v>
      </c>
      <c r="U1447" t="s">
        <v>3633</v>
      </c>
    </row>
    <row r="1448" spans="1:21" x14ac:dyDescent="0.25">
      <c r="A1448" t="s">
        <v>2730</v>
      </c>
      <c r="B1448" s="1">
        <v>45746</v>
      </c>
      <c r="C1448" t="s">
        <v>2731</v>
      </c>
      <c r="D1448" t="s">
        <v>30</v>
      </c>
      <c r="E1448" t="s">
        <v>31</v>
      </c>
      <c r="F1448" t="s">
        <v>19</v>
      </c>
      <c r="G1448" t="s">
        <v>20</v>
      </c>
      <c r="H1448" t="s">
        <v>170</v>
      </c>
      <c r="I1448">
        <v>4</v>
      </c>
      <c r="J1448">
        <v>43.48</v>
      </c>
      <c r="K1448">
        <v>10</v>
      </c>
      <c r="L1448">
        <v>156.53</v>
      </c>
      <c r="M1448">
        <v>9.4600000000000009</v>
      </c>
      <c r="N1448">
        <v>51.41</v>
      </c>
      <c r="O1448" t="s">
        <v>34</v>
      </c>
      <c r="P1448">
        <v>2025</v>
      </c>
      <c r="Q1448" t="s">
        <v>3638</v>
      </c>
      <c r="R1448">
        <v>140.87700000000001</v>
      </c>
      <c r="S1448">
        <v>0.36492827076101803</v>
      </c>
      <c r="T1448" t="s">
        <v>3632</v>
      </c>
      <c r="U1448" t="s">
        <v>3633</v>
      </c>
    </row>
    <row r="1449" spans="1:21" x14ac:dyDescent="0.25">
      <c r="A1449" t="s">
        <v>2732</v>
      </c>
      <c r="B1449" s="1">
        <v>45747</v>
      </c>
      <c r="C1449" t="s">
        <v>2733</v>
      </c>
      <c r="D1449" t="s">
        <v>30</v>
      </c>
      <c r="E1449" t="s">
        <v>92</v>
      </c>
      <c r="F1449" t="s">
        <v>60</v>
      </c>
      <c r="G1449" t="s">
        <v>42</v>
      </c>
      <c r="H1449" t="s">
        <v>64</v>
      </c>
      <c r="I1449">
        <v>5</v>
      </c>
      <c r="J1449">
        <v>45.17</v>
      </c>
      <c r="K1449">
        <v>0</v>
      </c>
      <c r="L1449">
        <v>225.85</v>
      </c>
      <c r="M1449">
        <v>16.440000000000001</v>
      </c>
      <c r="N1449">
        <v>73.900000000000006</v>
      </c>
      <c r="O1449" t="s">
        <v>34</v>
      </c>
      <c r="P1449">
        <v>2025</v>
      </c>
      <c r="Q1449" t="s">
        <v>3638</v>
      </c>
      <c r="R1449">
        <v>225.85</v>
      </c>
      <c r="S1449">
        <v>0.32720832410892198</v>
      </c>
      <c r="T1449" t="s">
        <v>3632</v>
      </c>
      <c r="U1449" t="s">
        <v>3633</v>
      </c>
    </row>
    <row r="1450" spans="1:21" x14ac:dyDescent="0.25">
      <c r="A1450" t="s">
        <v>2734</v>
      </c>
      <c r="B1450" s="1">
        <v>45747</v>
      </c>
      <c r="C1450" t="s">
        <v>2735</v>
      </c>
      <c r="D1450" t="s">
        <v>17</v>
      </c>
      <c r="E1450" t="s">
        <v>37</v>
      </c>
      <c r="F1450" t="s">
        <v>26</v>
      </c>
      <c r="G1450" t="s">
        <v>20</v>
      </c>
      <c r="H1450" t="s">
        <v>21</v>
      </c>
      <c r="I1450">
        <v>1</v>
      </c>
      <c r="J1450">
        <v>77.8</v>
      </c>
      <c r="K1450">
        <v>15</v>
      </c>
      <c r="L1450">
        <v>66.13</v>
      </c>
      <c r="M1450">
        <v>9.26</v>
      </c>
      <c r="N1450">
        <v>14.08</v>
      </c>
      <c r="O1450" t="s">
        <v>56</v>
      </c>
      <c r="P1450">
        <v>2025</v>
      </c>
      <c r="Q1450" t="s">
        <v>3638</v>
      </c>
      <c r="R1450">
        <v>56.210500000000003</v>
      </c>
      <c r="S1450">
        <v>0.25048700865496698</v>
      </c>
      <c r="T1450" t="s">
        <v>3634</v>
      </c>
      <c r="U1450" t="s">
        <v>3633</v>
      </c>
    </row>
    <row r="1451" spans="1:21" x14ac:dyDescent="0.25">
      <c r="A1451" t="s">
        <v>2736</v>
      </c>
      <c r="B1451" s="1">
        <v>45747</v>
      </c>
      <c r="C1451" t="s">
        <v>2737</v>
      </c>
      <c r="D1451" t="s">
        <v>17</v>
      </c>
      <c r="E1451" t="s">
        <v>166</v>
      </c>
      <c r="F1451" t="s">
        <v>60</v>
      </c>
      <c r="G1451" t="s">
        <v>32</v>
      </c>
      <c r="H1451" t="s">
        <v>132</v>
      </c>
      <c r="I1451">
        <v>11</v>
      </c>
      <c r="J1451">
        <v>14.79</v>
      </c>
      <c r="K1451">
        <v>25</v>
      </c>
      <c r="L1451">
        <v>122.02</v>
      </c>
      <c r="M1451">
        <v>23.11</v>
      </c>
      <c r="N1451">
        <v>25.7</v>
      </c>
      <c r="O1451" t="s">
        <v>56</v>
      </c>
      <c r="P1451">
        <v>2025</v>
      </c>
      <c r="Q1451" t="s">
        <v>3638</v>
      </c>
      <c r="R1451">
        <v>91.515000000000001</v>
      </c>
      <c r="S1451">
        <v>0.280828279517019</v>
      </c>
      <c r="T1451" t="s">
        <v>3632</v>
      </c>
      <c r="U1451" t="s">
        <v>3633</v>
      </c>
    </row>
    <row r="1452" spans="1:21" x14ac:dyDescent="0.25">
      <c r="A1452" t="s">
        <v>2738</v>
      </c>
      <c r="B1452" s="1">
        <v>45748</v>
      </c>
      <c r="C1452" t="s">
        <v>1369</v>
      </c>
      <c r="D1452" t="s">
        <v>17</v>
      </c>
      <c r="E1452" t="s">
        <v>138</v>
      </c>
      <c r="F1452" t="s">
        <v>54</v>
      </c>
      <c r="G1452" t="s">
        <v>32</v>
      </c>
      <c r="H1452" t="s">
        <v>115</v>
      </c>
      <c r="I1452">
        <v>6</v>
      </c>
      <c r="J1452">
        <v>17.829999999999998</v>
      </c>
      <c r="K1452">
        <v>5</v>
      </c>
      <c r="L1452">
        <v>101.63</v>
      </c>
      <c r="M1452">
        <v>21.4</v>
      </c>
      <c r="N1452">
        <v>32.090000000000003</v>
      </c>
      <c r="O1452" t="s">
        <v>56</v>
      </c>
      <c r="P1452">
        <v>2025</v>
      </c>
      <c r="Q1452" t="s">
        <v>3639</v>
      </c>
      <c r="R1452">
        <v>96.548500000000004</v>
      </c>
      <c r="S1452">
        <v>0.33237181313018799</v>
      </c>
      <c r="T1452" t="s">
        <v>3632</v>
      </c>
      <c r="U1452" t="s">
        <v>3633</v>
      </c>
    </row>
    <row r="1453" spans="1:21" x14ac:dyDescent="0.25">
      <c r="A1453" t="s">
        <v>2739</v>
      </c>
      <c r="B1453" s="1">
        <v>45749</v>
      </c>
      <c r="C1453" t="s">
        <v>2740</v>
      </c>
      <c r="D1453" t="s">
        <v>17</v>
      </c>
      <c r="E1453" t="s">
        <v>129</v>
      </c>
      <c r="F1453" t="s">
        <v>19</v>
      </c>
      <c r="G1453" t="s">
        <v>42</v>
      </c>
      <c r="H1453" t="s">
        <v>43</v>
      </c>
      <c r="I1453">
        <v>8</v>
      </c>
      <c r="J1453">
        <v>222.57</v>
      </c>
      <c r="K1453">
        <v>0</v>
      </c>
      <c r="L1453">
        <v>1780.56</v>
      </c>
      <c r="M1453">
        <v>10.29</v>
      </c>
      <c r="N1453">
        <v>701.93</v>
      </c>
      <c r="O1453" t="s">
        <v>39</v>
      </c>
      <c r="P1453">
        <v>2025</v>
      </c>
      <c r="Q1453" t="s">
        <v>3639</v>
      </c>
      <c r="R1453">
        <v>1780.56</v>
      </c>
      <c r="S1453">
        <v>0.39421867277710398</v>
      </c>
      <c r="T1453" t="s">
        <v>3635</v>
      </c>
      <c r="U1453" t="s">
        <v>3633</v>
      </c>
    </row>
    <row r="1454" spans="1:21" x14ac:dyDescent="0.25">
      <c r="A1454" t="s">
        <v>2741</v>
      </c>
      <c r="B1454" s="1">
        <v>45749</v>
      </c>
      <c r="C1454" t="s">
        <v>2742</v>
      </c>
      <c r="D1454" t="s">
        <v>30</v>
      </c>
      <c r="E1454" t="s">
        <v>129</v>
      </c>
      <c r="F1454" t="s">
        <v>19</v>
      </c>
      <c r="G1454" t="s">
        <v>20</v>
      </c>
      <c r="H1454" t="s">
        <v>264</v>
      </c>
      <c r="I1454">
        <v>3</v>
      </c>
      <c r="J1454">
        <v>42.99</v>
      </c>
      <c r="K1454">
        <v>0</v>
      </c>
      <c r="L1454">
        <v>128.97</v>
      </c>
      <c r="M1454">
        <v>6.89</v>
      </c>
      <c r="N1454">
        <v>51.15</v>
      </c>
      <c r="O1454" t="s">
        <v>34</v>
      </c>
      <c r="P1454">
        <v>2025</v>
      </c>
      <c r="Q1454" t="s">
        <v>3639</v>
      </c>
      <c r="R1454">
        <v>128.97</v>
      </c>
      <c r="S1454">
        <v>0.39660386136310799</v>
      </c>
      <c r="T1454" t="s">
        <v>3632</v>
      </c>
      <c r="U1454" t="s">
        <v>3633</v>
      </c>
    </row>
    <row r="1455" spans="1:21" x14ac:dyDescent="0.25">
      <c r="A1455" t="s">
        <v>2743</v>
      </c>
      <c r="B1455" s="1">
        <v>45749</v>
      </c>
      <c r="C1455" t="s">
        <v>2744</v>
      </c>
      <c r="D1455" t="s">
        <v>30</v>
      </c>
      <c r="E1455" t="s">
        <v>85</v>
      </c>
      <c r="F1455" t="s">
        <v>60</v>
      </c>
      <c r="G1455" t="s">
        <v>32</v>
      </c>
      <c r="H1455" t="s">
        <v>132</v>
      </c>
      <c r="I1455">
        <v>14</v>
      </c>
      <c r="J1455">
        <v>11.48</v>
      </c>
      <c r="K1455">
        <v>0</v>
      </c>
      <c r="L1455">
        <v>160.72</v>
      </c>
      <c r="M1455">
        <v>39.83</v>
      </c>
      <c r="N1455">
        <v>48.57</v>
      </c>
      <c r="O1455" t="s">
        <v>39</v>
      </c>
      <c r="P1455">
        <v>2025</v>
      </c>
      <c r="Q1455" t="s">
        <v>3639</v>
      </c>
      <c r="R1455">
        <v>160.72</v>
      </c>
      <c r="S1455">
        <v>0.30220258835241398</v>
      </c>
      <c r="T1455" t="s">
        <v>3632</v>
      </c>
      <c r="U1455" t="s">
        <v>3633</v>
      </c>
    </row>
    <row r="1456" spans="1:21" x14ac:dyDescent="0.25">
      <c r="A1456" t="s">
        <v>2745</v>
      </c>
      <c r="B1456" s="1">
        <v>45751</v>
      </c>
      <c r="C1456" t="s">
        <v>2440</v>
      </c>
      <c r="D1456" t="s">
        <v>30</v>
      </c>
      <c r="E1456" t="s">
        <v>129</v>
      </c>
      <c r="F1456" t="s">
        <v>19</v>
      </c>
      <c r="G1456" t="s">
        <v>20</v>
      </c>
      <c r="H1456" t="s">
        <v>170</v>
      </c>
      <c r="I1456">
        <v>3</v>
      </c>
      <c r="J1456">
        <v>25.43</v>
      </c>
      <c r="K1456">
        <v>5</v>
      </c>
      <c r="L1456">
        <v>72.48</v>
      </c>
      <c r="M1456">
        <v>11.34</v>
      </c>
      <c r="N1456">
        <v>19.18</v>
      </c>
      <c r="O1456" t="s">
        <v>34</v>
      </c>
      <c r="P1456">
        <v>2025</v>
      </c>
      <c r="Q1456" t="s">
        <v>3639</v>
      </c>
      <c r="R1456">
        <v>68.855999999999995</v>
      </c>
      <c r="S1456">
        <v>0.278552341117695</v>
      </c>
      <c r="T1456" t="s">
        <v>3634</v>
      </c>
      <c r="U1456" t="s">
        <v>3633</v>
      </c>
    </row>
    <row r="1457" spans="1:21" x14ac:dyDescent="0.25">
      <c r="A1457" t="s">
        <v>2746</v>
      </c>
      <c r="B1457" s="1">
        <v>45751</v>
      </c>
      <c r="C1457" t="s">
        <v>2747</v>
      </c>
      <c r="D1457" t="s">
        <v>17</v>
      </c>
      <c r="E1457" t="s">
        <v>248</v>
      </c>
      <c r="F1457" t="s">
        <v>26</v>
      </c>
      <c r="G1457" t="s">
        <v>42</v>
      </c>
      <c r="H1457" t="s">
        <v>255</v>
      </c>
      <c r="I1457">
        <v>2</v>
      </c>
      <c r="J1457">
        <v>34.92</v>
      </c>
      <c r="K1457">
        <v>0</v>
      </c>
      <c r="L1457">
        <v>69.84</v>
      </c>
      <c r="M1457">
        <v>11.92</v>
      </c>
      <c r="N1457">
        <v>16.02</v>
      </c>
      <c r="O1457" t="s">
        <v>22</v>
      </c>
      <c r="P1457">
        <v>2025</v>
      </c>
      <c r="Q1457" t="s">
        <v>3639</v>
      </c>
      <c r="R1457">
        <v>69.84</v>
      </c>
      <c r="S1457">
        <v>0.22938144329896901</v>
      </c>
      <c r="T1457" t="s">
        <v>3634</v>
      </c>
      <c r="U1457" t="s">
        <v>3633</v>
      </c>
    </row>
    <row r="1458" spans="1:21" x14ac:dyDescent="0.25">
      <c r="A1458" t="s">
        <v>2748</v>
      </c>
      <c r="B1458" s="1">
        <v>45751</v>
      </c>
      <c r="C1458" t="s">
        <v>1296</v>
      </c>
      <c r="D1458" t="s">
        <v>30</v>
      </c>
      <c r="E1458" t="s">
        <v>148</v>
      </c>
      <c r="F1458" t="s">
        <v>60</v>
      </c>
      <c r="G1458" t="s">
        <v>69</v>
      </c>
      <c r="H1458" t="s">
        <v>70</v>
      </c>
      <c r="I1458">
        <v>3</v>
      </c>
      <c r="J1458">
        <v>24.3</v>
      </c>
      <c r="K1458">
        <v>5</v>
      </c>
      <c r="L1458">
        <v>69.25</v>
      </c>
      <c r="M1458">
        <v>10.77</v>
      </c>
      <c r="N1458">
        <v>22.03</v>
      </c>
      <c r="O1458" t="s">
        <v>39</v>
      </c>
      <c r="P1458">
        <v>2025</v>
      </c>
      <c r="Q1458" t="s">
        <v>3639</v>
      </c>
      <c r="R1458">
        <v>65.787499999999994</v>
      </c>
      <c r="S1458">
        <v>0.33486604598137998</v>
      </c>
      <c r="T1458" t="s">
        <v>3634</v>
      </c>
      <c r="U1458" t="s">
        <v>3633</v>
      </c>
    </row>
    <row r="1459" spans="1:21" x14ac:dyDescent="0.25">
      <c r="A1459" t="s">
        <v>2749</v>
      </c>
      <c r="B1459" s="1">
        <v>45751</v>
      </c>
      <c r="C1459" t="s">
        <v>1148</v>
      </c>
      <c r="D1459" t="s">
        <v>49</v>
      </c>
      <c r="E1459" t="s">
        <v>67</v>
      </c>
      <c r="F1459" t="s">
        <v>68</v>
      </c>
      <c r="G1459" t="s">
        <v>32</v>
      </c>
      <c r="H1459" t="s">
        <v>50</v>
      </c>
      <c r="I1459">
        <v>2</v>
      </c>
      <c r="J1459">
        <v>13.42</v>
      </c>
      <c r="K1459">
        <v>5</v>
      </c>
      <c r="L1459">
        <v>25.5</v>
      </c>
      <c r="M1459">
        <v>12.38</v>
      </c>
      <c r="N1459">
        <v>1.04</v>
      </c>
      <c r="O1459" t="s">
        <v>39</v>
      </c>
      <c r="P1459">
        <v>2025</v>
      </c>
      <c r="Q1459" t="s">
        <v>3639</v>
      </c>
      <c r="R1459">
        <v>24.225000000000001</v>
      </c>
      <c r="S1459">
        <v>4.2930856553147601E-2</v>
      </c>
      <c r="T1459" t="s">
        <v>3634</v>
      </c>
      <c r="U1459" t="s">
        <v>3633</v>
      </c>
    </row>
    <row r="1460" spans="1:21" x14ac:dyDescent="0.25">
      <c r="A1460" t="s">
        <v>2750</v>
      </c>
      <c r="B1460" s="1">
        <v>45752</v>
      </c>
      <c r="C1460" t="s">
        <v>2751</v>
      </c>
      <c r="D1460" t="s">
        <v>17</v>
      </c>
      <c r="E1460" t="s">
        <v>129</v>
      </c>
      <c r="F1460" t="s">
        <v>19</v>
      </c>
      <c r="G1460" t="s">
        <v>20</v>
      </c>
      <c r="H1460" t="s">
        <v>175</v>
      </c>
      <c r="I1460">
        <v>2</v>
      </c>
      <c r="J1460">
        <v>42.23</v>
      </c>
      <c r="K1460">
        <v>10</v>
      </c>
      <c r="L1460">
        <v>76.010000000000005</v>
      </c>
      <c r="M1460">
        <v>9.52</v>
      </c>
      <c r="N1460">
        <v>20.04</v>
      </c>
      <c r="O1460" t="s">
        <v>39</v>
      </c>
      <c r="P1460">
        <v>2025</v>
      </c>
      <c r="Q1460" t="s">
        <v>3639</v>
      </c>
      <c r="R1460">
        <v>68.409000000000006</v>
      </c>
      <c r="S1460">
        <v>0.29294391088891802</v>
      </c>
      <c r="T1460" t="s">
        <v>3634</v>
      </c>
      <c r="U1460" t="s">
        <v>3633</v>
      </c>
    </row>
    <row r="1461" spans="1:21" x14ac:dyDescent="0.25">
      <c r="A1461" t="s">
        <v>2752</v>
      </c>
      <c r="B1461" s="1">
        <v>45752</v>
      </c>
      <c r="C1461" t="s">
        <v>2370</v>
      </c>
      <c r="D1461" t="s">
        <v>17</v>
      </c>
      <c r="E1461" t="s">
        <v>166</v>
      </c>
      <c r="F1461" t="s">
        <v>60</v>
      </c>
      <c r="G1461" t="s">
        <v>20</v>
      </c>
      <c r="H1461" t="s">
        <v>175</v>
      </c>
      <c r="I1461">
        <v>4</v>
      </c>
      <c r="J1461">
        <v>53.71</v>
      </c>
      <c r="K1461">
        <v>10</v>
      </c>
      <c r="L1461">
        <v>193.36</v>
      </c>
      <c r="M1461">
        <v>13.76</v>
      </c>
      <c r="N1461">
        <v>61.44</v>
      </c>
      <c r="O1461" t="s">
        <v>34</v>
      </c>
      <c r="P1461">
        <v>2025</v>
      </c>
      <c r="Q1461" t="s">
        <v>3639</v>
      </c>
      <c r="R1461">
        <v>174.024</v>
      </c>
      <c r="S1461">
        <v>0.35305475106881801</v>
      </c>
      <c r="T1461" t="s">
        <v>3632</v>
      </c>
      <c r="U1461" t="s">
        <v>3633</v>
      </c>
    </row>
    <row r="1462" spans="1:21" x14ac:dyDescent="0.25">
      <c r="A1462" t="s">
        <v>2753</v>
      </c>
      <c r="B1462" s="1">
        <v>45752</v>
      </c>
      <c r="C1462" t="s">
        <v>722</v>
      </c>
      <c r="D1462" t="s">
        <v>30</v>
      </c>
      <c r="E1462" t="s">
        <v>129</v>
      </c>
      <c r="F1462" t="s">
        <v>19</v>
      </c>
      <c r="G1462" t="s">
        <v>20</v>
      </c>
      <c r="H1462" t="s">
        <v>170</v>
      </c>
      <c r="I1462">
        <v>7</v>
      </c>
      <c r="J1462">
        <v>23.09</v>
      </c>
      <c r="K1462">
        <v>0</v>
      </c>
      <c r="L1462">
        <v>161.63</v>
      </c>
      <c r="M1462">
        <v>20.84</v>
      </c>
      <c r="N1462">
        <v>51.89</v>
      </c>
      <c r="O1462" t="s">
        <v>56</v>
      </c>
      <c r="P1462">
        <v>2025</v>
      </c>
      <c r="Q1462" t="s">
        <v>3639</v>
      </c>
      <c r="R1462">
        <v>161.63</v>
      </c>
      <c r="S1462">
        <v>0.32104188578852899</v>
      </c>
      <c r="T1462" t="s">
        <v>3632</v>
      </c>
      <c r="U1462" t="s">
        <v>3633</v>
      </c>
    </row>
    <row r="1463" spans="1:21" x14ac:dyDescent="0.25">
      <c r="A1463" t="s">
        <v>2754</v>
      </c>
      <c r="B1463" s="1">
        <v>45753</v>
      </c>
      <c r="C1463" t="s">
        <v>2755</v>
      </c>
      <c r="D1463" t="s">
        <v>17</v>
      </c>
      <c r="E1463" t="s">
        <v>25</v>
      </c>
      <c r="F1463" t="s">
        <v>26</v>
      </c>
      <c r="G1463" t="s">
        <v>20</v>
      </c>
      <c r="H1463" t="s">
        <v>27</v>
      </c>
      <c r="I1463">
        <v>4</v>
      </c>
      <c r="J1463">
        <v>164.84</v>
      </c>
      <c r="K1463">
        <v>5</v>
      </c>
      <c r="L1463">
        <v>626.39</v>
      </c>
      <c r="M1463">
        <v>11.35</v>
      </c>
      <c r="N1463">
        <v>252.39</v>
      </c>
      <c r="O1463" t="s">
        <v>22</v>
      </c>
      <c r="P1463">
        <v>2025</v>
      </c>
      <c r="Q1463" t="s">
        <v>3639</v>
      </c>
      <c r="R1463">
        <v>595.07050000000004</v>
      </c>
      <c r="S1463">
        <v>0.424134619343422</v>
      </c>
      <c r="T1463" t="s">
        <v>3635</v>
      </c>
      <c r="U1463" t="s">
        <v>3633</v>
      </c>
    </row>
    <row r="1464" spans="1:21" x14ac:dyDescent="0.25">
      <c r="A1464" t="s">
        <v>2756</v>
      </c>
      <c r="B1464" s="1">
        <v>45753</v>
      </c>
      <c r="C1464" t="s">
        <v>2757</v>
      </c>
      <c r="D1464" t="s">
        <v>49</v>
      </c>
      <c r="E1464" t="s">
        <v>25</v>
      </c>
      <c r="F1464" t="s">
        <v>26</v>
      </c>
      <c r="G1464" t="s">
        <v>20</v>
      </c>
      <c r="H1464" t="s">
        <v>21</v>
      </c>
      <c r="I1464">
        <v>1</v>
      </c>
      <c r="J1464">
        <v>219.67</v>
      </c>
      <c r="K1464">
        <v>0</v>
      </c>
      <c r="L1464">
        <v>219.67</v>
      </c>
      <c r="M1464">
        <v>7.71</v>
      </c>
      <c r="N1464">
        <v>91.14</v>
      </c>
      <c r="O1464" t="s">
        <v>22</v>
      </c>
      <c r="P1464">
        <v>2025</v>
      </c>
      <c r="Q1464" t="s">
        <v>3639</v>
      </c>
      <c r="R1464">
        <v>219.67</v>
      </c>
      <c r="S1464">
        <v>0.41489506987754399</v>
      </c>
      <c r="T1464" t="s">
        <v>3632</v>
      </c>
      <c r="U1464" t="s">
        <v>3633</v>
      </c>
    </row>
    <row r="1465" spans="1:21" x14ac:dyDescent="0.25">
      <c r="A1465" t="s">
        <v>2758</v>
      </c>
      <c r="B1465" s="1">
        <v>45754</v>
      </c>
      <c r="C1465" t="s">
        <v>2312</v>
      </c>
      <c r="D1465" t="s">
        <v>30</v>
      </c>
      <c r="E1465" t="s">
        <v>85</v>
      </c>
      <c r="F1465" t="s">
        <v>60</v>
      </c>
      <c r="G1465" t="s">
        <v>32</v>
      </c>
      <c r="H1465" t="s">
        <v>115</v>
      </c>
      <c r="I1465">
        <v>4</v>
      </c>
      <c r="J1465">
        <v>16.100000000000001</v>
      </c>
      <c r="K1465">
        <v>25</v>
      </c>
      <c r="L1465">
        <v>48.3</v>
      </c>
      <c r="M1465">
        <v>13.08</v>
      </c>
      <c r="N1465">
        <v>6.24</v>
      </c>
      <c r="O1465" t="s">
        <v>39</v>
      </c>
      <c r="P1465">
        <v>2025</v>
      </c>
      <c r="Q1465" t="s">
        <v>3639</v>
      </c>
      <c r="R1465">
        <v>36.225000000000001</v>
      </c>
      <c r="S1465">
        <v>0.17225672877846801</v>
      </c>
      <c r="T1465" t="s">
        <v>3634</v>
      </c>
      <c r="U1465" t="s">
        <v>3633</v>
      </c>
    </row>
    <row r="1466" spans="1:21" x14ac:dyDescent="0.25">
      <c r="A1466" t="s">
        <v>2759</v>
      </c>
      <c r="B1466" s="1">
        <v>45754</v>
      </c>
      <c r="C1466" t="s">
        <v>2760</v>
      </c>
      <c r="D1466" t="s">
        <v>17</v>
      </c>
      <c r="E1466" t="s">
        <v>129</v>
      </c>
      <c r="F1466" t="s">
        <v>19</v>
      </c>
      <c r="G1466" t="s">
        <v>69</v>
      </c>
      <c r="H1466" t="s">
        <v>79</v>
      </c>
      <c r="I1466">
        <v>1</v>
      </c>
      <c r="J1466">
        <v>90.62</v>
      </c>
      <c r="K1466">
        <v>15</v>
      </c>
      <c r="L1466">
        <v>77.03</v>
      </c>
      <c r="M1466">
        <v>7.48</v>
      </c>
      <c r="N1466">
        <v>24.24</v>
      </c>
      <c r="O1466" t="s">
        <v>22</v>
      </c>
      <c r="P1466">
        <v>2025</v>
      </c>
      <c r="Q1466" t="s">
        <v>3639</v>
      </c>
      <c r="R1466">
        <v>65.475499999999997</v>
      </c>
      <c r="S1466">
        <v>0.37021481317439398</v>
      </c>
      <c r="T1466" t="s">
        <v>3634</v>
      </c>
      <c r="U1466" t="s">
        <v>3633</v>
      </c>
    </row>
    <row r="1467" spans="1:21" x14ac:dyDescent="0.25">
      <c r="A1467" t="s">
        <v>2761</v>
      </c>
      <c r="B1467" s="1">
        <v>45754</v>
      </c>
      <c r="C1467" t="s">
        <v>1211</v>
      </c>
      <c r="D1467" t="s">
        <v>17</v>
      </c>
      <c r="E1467" t="s">
        <v>135</v>
      </c>
      <c r="F1467" t="s">
        <v>26</v>
      </c>
      <c r="G1467" t="s">
        <v>32</v>
      </c>
      <c r="H1467" t="s">
        <v>149</v>
      </c>
      <c r="I1467">
        <v>2</v>
      </c>
      <c r="J1467">
        <v>9.7799999999999994</v>
      </c>
      <c r="K1467">
        <v>15</v>
      </c>
      <c r="L1467">
        <v>16.63</v>
      </c>
      <c r="M1467">
        <v>10.08</v>
      </c>
      <c r="N1467">
        <v>-2.25</v>
      </c>
      <c r="O1467" t="s">
        <v>56</v>
      </c>
      <c r="P1467">
        <v>2025</v>
      </c>
      <c r="Q1467" t="s">
        <v>3639</v>
      </c>
      <c r="R1467">
        <v>14.1355</v>
      </c>
      <c r="S1467">
        <v>-0.15917371157723501</v>
      </c>
      <c r="T1467" t="s">
        <v>3634</v>
      </c>
      <c r="U1467" t="s">
        <v>3636</v>
      </c>
    </row>
    <row r="1468" spans="1:21" x14ac:dyDescent="0.25">
      <c r="A1468" t="s">
        <v>2762</v>
      </c>
      <c r="B1468" s="1">
        <v>45755</v>
      </c>
      <c r="C1468" t="s">
        <v>2731</v>
      </c>
      <c r="D1468" t="s">
        <v>30</v>
      </c>
      <c r="E1468" t="s">
        <v>18</v>
      </c>
      <c r="F1468" t="s">
        <v>19</v>
      </c>
      <c r="G1468" t="s">
        <v>42</v>
      </c>
      <c r="H1468" t="s">
        <v>43</v>
      </c>
      <c r="I1468">
        <v>6</v>
      </c>
      <c r="J1468">
        <v>154.97</v>
      </c>
      <c r="K1468">
        <v>10</v>
      </c>
      <c r="L1468">
        <v>836.84</v>
      </c>
      <c r="M1468">
        <v>13.94</v>
      </c>
      <c r="N1468">
        <v>265.01</v>
      </c>
      <c r="O1468" t="s">
        <v>34</v>
      </c>
      <c r="P1468">
        <v>2025</v>
      </c>
      <c r="Q1468" t="s">
        <v>3639</v>
      </c>
      <c r="R1468">
        <v>753.15599999999995</v>
      </c>
      <c r="S1468">
        <v>0.35186601447774402</v>
      </c>
      <c r="T1468" t="s">
        <v>3635</v>
      </c>
      <c r="U1468" t="s">
        <v>3633</v>
      </c>
    </row>
    <row r="1469" spans="1:21" x14ac:dyDescent="0.25">
      <c r="A1469" t="s">
        <v>2763</v>
      </c>
      <c r="B1469" s="1">
        <v>45755</v>
      </c>
      <c r="C1469" t="s">
        <v>2764</v>
      </c>
      <c r="D1469" t="s">
        <v>30</v>
      </c>
      <c r="E1469" t="s">
        <v>59</v>
      </c>
      <c r="F1469" t="s">
        <v>60</v>
      </c>
      <c r="G1469" t="s">
        <v>32</v>
      </c>
      <c r="H1469" t="s">
        <v>50</v>
      </c>
      <c r="I1469">
        <v>2</v>
      </c>
      <c r="J1469">
        <v>20.57</v>
      </c>
      <c r="K1469">
        <v>5</v>
      </c>
      <c r="L1469">
        <v>39.08</v>
      </c>
      <c r="M1469">
        <v>12.63</v>
      </c>
      <c r="N1469">
        <v>7.94</v>
      </c>
      <c r="O1469" t="s">
        <v>56</v>
      </c>
      <c r="P1469">
        <v>2025</v>
      </c>
      <c r="Q1469" t="s">
        <v>3639</v>
      </c>
      <c r="R1469">
        <v>37.125999999999998</v>
      </c>
      <c r="S1469">
        <v>0.213866293163821</v>
      </c>
      <c r="T1469" t="s">
        <v>3634</v>
      </c>
      <c r="U1469" t="s">
        <v>3633</v>
      </c>
    </row>
    <row r="1470" spans="1:21" x14ac:dyDescent="0.25">
      <c r="A1470" t="s">
        <v>2765</v>
      </c>
      <c r="B1470" s="1">
        <v>45756</v>
      </c>
      <c r="C1470" t="s">
        <v>2766</v>
      </c>
      <c r="D1470" t="s">
        <v>49</v>
      </c>
      <c r="E1470" t="s">
        <v>37</v>
      </c>
      <c r="F1470" t="s">
        <v>26</v>
      </c>
      <c r="G1470" t="s">
        <v>20</v>
      </c>
      <c r="H1470" t="s">
        <v>21</v>
      </c>
      <c r="I1470">
        <v>1</v>
      </c>
      <c r="J1470">
        <v>116.2</v>
      </c>
      <c r="K1470">
        <v>0</v>
      </c>
      <c r="L1470">
        <v>116.2</v>
      </c>
      <c r="M1470">
        <v>7.59</v>
      </c>
      <c r="N1470">
        <v>44.7</v>
      </c>
      <c r="O1470" t="s">
        <v>34</v>
      </c>
      <c r="P1470">
        <v>2025</v>
      </c>
      <c r="Q1470" t="s">
        <v>3639</v>
      </c>
      <c r="R1470">
        <v>116.2</v>
      </c>
      <c r="S1470">
        <v>0.38468158347676401</v>
      </c>
      <c r="T1470" t="s">
        <v>3632</v>
      </c>
      <c r="U1470" t="s">
        <v>3633</v>
      </c>
    </row>
    <row r="1471" spans="1:21" x14ac:dyDescent="0.25">
      <c r="A1471" t="s">
        <v>2767</v>
      </c>
      <c r="B1471" s="1">
        <v>45757</v>
      </c>
      <c r="C1471" t="s">
        <v>2768</v>
      </c>
      <c r="D1471" t="s">
        <v>30</v>
      </c>
      <c r="E1471" t="s">
        <v>148</v>
      </c>
      <c r="F1471" t="s">
        <v>60</v>
      </c>
      <c r="G1471" t="s">
        <v>20</v>
      </c>
      <c r="H1471" t="s">
        <v>55</v>
      </c>
      <c r="I1471">
        <v>5</v>
      </c>
      <c r="J1471">
        <v>27.29</v>
      </c>
      <c r="K1471">
        <v>10</v>
      </c>
      <c r="L1471">
        <v>122.8</v>
      </c>
      <c r="M1471">
        <v>20.239999999999998</v>
      </c>
      <c r="N1471">
        <v>27.51</v>
      </c>
      <c r="O1471" t="s">
        <v>34</v>
      </c>
      <c r="P1471">
        <v>2025</v>
      </c>
      <c r="Q1471" t="s">
        <v>3639</v>
      </c>
      <c r="R1471">
        <v>110.52</v>
      </c>
      <c r="S1471">
        <v>0.248914223669924</v>
      </c>
      <c r="T1471" t="s">
        <v>3632</v>
      </c>
      <c r="U1471" t="s">
        <v>3633</v>
      </c>
    </row>
    <row r="1472" spans="1:21" x14ac:dyDescent="0.25">
      <c r="A1472" t="s">
        <v>2769</v>
      </c>
      <c r="B1472" s="1">
        <v>45757</v>
      </c>
      <c r="C1472" t="s">
        <v>2770</v>
      </c>
      <c r="D1472" t="s">
        <v>49</v>
      </c>
      <c r="E1472" t="s">
        <v>135</v>
      </c>
      <c r="F1472" t="s">
        <v>26</v>
      </c>
      <c r="G1472" t="s">
        <v>42</v>
      </c>
      <c r="H1472" t="s">
        <v>371</v>
      </c>
      <c r="I1472">
        <v>4</v>
      </c>
      <c r="J1472">
        <v>128.69999999999999</v>
      </c>
      <c r="K1472">
        <v>0</v>
      </c>
      <c r="L1472">
        <v>514.79999999999995</v>
      </c>
      <c r="M1472">
        <v>10.27</v>
      </c>
      <c r="N1472">
        <v>195.65</v>
      </c>
      <c r="O1472" t="s">
        <v>34</v>
      </c>
      <c r="P1472">
        <v>2025</v>
      </c>
      <c r="Q1472" t="s">
        <v>3639</v>
      </c>
      <c r="R1472">
        <v>514.79999999999995</v>
      </c>
      <c r="S1472">
        <v>0.38005050505050503</v>
      </c>
      <c r="T1472" t="s">
        <v>3635</v>
      </c>
      <c r="U1472" t="s">
        <v>3633</v>
      </c>
    </row>
    <row r="1473" spans="1:21" x14ac:dyDescent="0.25">
      <c r="A1473" t="s">
        <v>2771</v>
      </c>
      <c r="B1473" s="1">
        <v>45757</v>
      </c>
      <c r="C1473" t="s">
        <v>2772</v>
      </c>
      <c r="D1473" t="s">
        <v>49</v>
      </c>
      <c r="E1473" t="s">
        <v>53</v>
      </c>
      <c r="F1473" t="s">
        <v>54</v>
      </c>
      <c r="G1473" t="s">
        <v>20</v>
      </c>
      <c r="H1473" t="s">
        <v>122</v>
      </c>
      <c r="I1473">
        <v>3</v>
      </c>
      <c r="J1473">
        <v>93.28</v>
      </c>
      <c r="K1473">
        <v>10</v>
      </c>
      <c r="L1473">
        <v>251.86</v>
      </c>
      <c r="M1473">
        <v>18</v>
      </c>
      <c r="N1473">
        <v>79.95</v>
      </c>
      <c r="O1473" t="s">
        <v>39</v>
      </c>
      <c r="P1473">
        <v>2025</v>
      </c>
      <c r="Q1473" t="s">
        <v>3639</v>
      </c>
      <c r="R1473">
        <v>226.67400000000001</v>
      </c>
      <c r="S1473">
        <v>0.35270917705603599</v>
      </c>
      <c r="T1473" t="s">
        <v>3632</v>
      </c>
      <c r="U1473" t="s">
        <v>3633</v>
      </c>
    </row>
    <row r="1474" spans="1:21" x14ac:dyDescent="0.25">
      <c r="A1474" t="s">
        <v>2773</v>
      </c>
      <c r="B1474" s="1">
        <v>45758</v>
      </c>
      <c r="C1474" t="s">
        <v>2774</v>
      </c>
      <c r="D1474" t="s">
        <v>49</v>
      </c>
      <c r="E1474" t="s">
        <v>169</v>
      </c>
      <c r="F1474" t="s">
        <v>68</v>
      </c>
      <c r="G1474" t="s">
        <v>42</v>
      </c>
      <c r="H1474" t="s">
        <v>46</v>
      </c>
      <c r="I1474">
        <v>1</v>
      </c>
      <c r="J1474">
        <v>193.39</v>
      </c>
      <c r="K1474">
        <v>10</v>
      </c>
      <c r="L1474">
        <v>174.05</v>
      </c>
      <c r="M1474">
        <v>12.06</v>
      </c>
      <c r="N1474">
        <v>45.96</v>
      </c>
      <c r="O1474" t="s">
        <v>34</v>
      </c>
      <c r="P1474">
        <v>2025</v>
      </c>
      <c r="Q1474" t="s">
        <v>3639</v>
      </c>
      <c r="R1474">
        <v>156.64500000000001</v>
      </c>
      <c r="S1474">
        <v>0.29340227903859001</v>
      </c>
      <c r="T1474" t="s">
        <v>3632</v>
      </c>
      <c r="U1474" t="s">
        <v>3633</v>
      </c>
    </row>
    <row r="1475" spans="1:21" x14ac:dyDescent="0.25">
      <c r="A1475" t="s">
        <v>2775</v>
      </c>
      <c r="B1475" s="1">
        <v>45758</v>
      </c>
      <c r="C1475" t="s">
        <v>2776</v>
      </c>
      <c r="D1475" t="s">
        <v>30</v>
      </c>
      <c r="E1475" t="s">
        <v>53</v>
      </c>
      <c r="F1475" t="s">
        <v>54</v>
      </c>
      <c r="G1475" t="s">
        <v>69</v>
      </c>
      <c r="H1475" t="s">
        <v>243</v>
      </c>
      <c r="I1475">
        <v>11</v>
      </c>
      <c r="J1475">
        <v>31.57</v>
      </c>
      <c r="K1475">
        <v>5</v>
      </c>
      <c r="L1475">
        <v>329.91</v>
      </c>
      <c r="M1475">
        <v>24.65</v>
      </c>
      <c r="N1475">
        <v>131.63</v>
      </c>
      <c r="O1475" t="s">
        <v>34</v>
      </c>
      <c r="P1475">
        <v>2025</v>
      </c>
      <c r="Q1475" t="s">
        <v>3639</v>
      </c>
      <c r="R1475">
        <v>313.41449999999998</v>
      </c>
      <c r="S1475">
        <v>0.41998695018896698</v>
      </c>
      <c r="T1475" t="s">
        <v>3632</v>
      </c>
      <c r="U1475" t="s">
        <v>3633</v>
      </c>
    </row>
    <row r="1476" spans="1:21" x14ac:dyDescent="0.25">
      <c r="A1476" t="s">
        <v>2777</v>
      </c>
      <c r="B1476" s="1">
        <v>45758</v>
      </c>
      <c r="C1476" t="s">
        <v>2778</v>
      </c>
      <c r="D1476" t="s">
        <v>49</v>
      </c>
      <c r="E1476" t="s">
        <v>129</v>
      </c>
      <c r="F1476" t="s">
        <v>19</v>
      </c>
      <c r="G1476" t="s">
        <v>42</v>
      </c>
      <c r="H1476" t="s">
        <v>234</v>
      </c>
      <c r="I1476">
        <v>9</v>
      </c>
      <c r="J1476">
        <v>33.729999999999997</v>
      </c>
      <c r="K1476">
        <v>15</v>
      </c>
      <c r="L1476">
        <v>258.02999999999997</v>
      </c>
      <c r="M1476">
        <v>13.96</v>
      </c>
      <c r="N1476">
        <v>61.93</v>
      </c>
      <c r="O1476" t="s">
        <v>34</v>
      </c>
      <c r="P1476">
        <v>2025</v>
      </c>
      <c r="Q1476" t="s">
        <v>3639</v>
      </c>
      <c r="R1476">
        <v>219.32550000000001</v>
      </c>
      <c r="S1476">
        <v>0.28236570758986101</v>
      </c>
      <c r="T1476" t="s">
        <v>3632</v>
      </c>
      <c r="U1476" t="s">
        <v>3633</v>
      </c>
    </row>
    <row r="1477" spans="1:21" x14ac:dyDescent="0.25">
      <c r="A1477" t="s">
        <v>2779</v>
      </c>
      <c r="B1477" s="1">
        <v>45758</v>
      </c>
      <c r="C1477" t="s">
        <v>2780</v>
      </c>
      <c r="D1477" t="s">
        <v>30</v>
      </c>
      <c r="E1477" t="s">
        <v>63</v>
      </c>
      <c r="F1477" t="s">
        <v>54</v>
      </c>
      <c r="G1477" t="s">
        <v>32</v>
      </c>
      <c r="H1477" t="s">
        <v>101</v>
      </c>
      <c r="I1477">
        <v>1</v>
      </c>
      <c r="J1477">
        <v>14.71</v>
      </c>
      <c r="K1477">
        <v>10</v>
      </c>
      <c r="L1477">
        <v>13.24</v>
      </c>
      <c r="M1477">
        <v>11.69</v>
      </c>
      <c r="N1477">
        <v>-5.07</v>
      </c>
      <c r="O1477" t="s">
        <v>39</v>
      </c>
      <c r="P1477">
        <v>2025</v>
      </c>
      <c r="Q1477" t="s">
        <v>3639</v>
      </c>
      <c r="R1477">
        <v>11.916</v>
      </c>
      <c r="S1477">
        <v>-0.42547834843907401</v>
      </c>
      <c r="T1477" t="s">
        <v>3634</v>
      </c>
      <c r="U1477" t="s">
        <v>3636</v>
      </c>
    </row>
    <row r="1478" spans="1:21" x14ac:dyDescent="0.25">
      <c r="A1478" t="s">
        <v>2781</v>
      </c>
      <c r="B1478" s="1">
        <v>45758</v>
      </c>
      <c r="C1478" t="s">
        <v>370</v>
      </c>
      <c r="D1478" t="s">
        <v>30</v>
      </c>
      <c r="E1478" t="s">
        <v>37</v>
      </c>
      <c r="F1478" t="s">
        <v>26</v>
      </c>
      <c r="G1478" t="s">
        <v>20</v>
      </c>
      <c r="H1478" t="s">
        <v>199</v>
      </c>
      <c r="I1478">
        <v>1</v>
      </c>
      <c r="J1478">
        <v>115.93</v>
      </c>
      <c r="K1478">
        <v>5</v>
      </c>
      <c r="L1478">
        <v>110.13</v>
      </c>
      <c r="M1478">
        <v>9.2899999999999991</v>
      </c>
      <c r="N1478">
        <v>37.08</v>
      </c>
      <c r="O1478" t="s">
        <v>34</v>
      </c>
      <c r="P1478">
        <v>2025</v>
      </c>
      <c r="Q1478" t="s">
        <v>3639</v>
      </c>
      <c r="R1478">
        <v>104.62350000000001</v>
      </c>
      <c r="S1478">
        <v>0.35441368335029899</v>
      </c>
      <c r="T1478" t="s">
        <v>3632</v>
      </c>
      <c r="U1478" t="s">
        <v>3633</v>
      </c>
    </row>
    <row r="1479" spans="1:21" x14ac:dyDescent="0.25">
      <c r="A1479" t="s">
        <v>2782</v>
      </c>
      <c r="B1479" s="1">
        <v>45758</v>
      </c>
      <c r="C1479" t="s">
        <v>2783</v>
      </c>
      <c r="D1479" t="s">
        <v>17</v>
      </c>
      <c r="E1479" t="s">
        <v>85</v>
      </c>
      <c r="F1479" t="s">
        <v>60</v>
      </c>
      <c r="G1479" t="s">
        <v>69</v>
      </c>
      <c r="H1479" t="s">
        <v>70</v>
      </c>
      <c r="I1479">
        <v>1</v>
      </c>
      <c r="J1479">
        <v>39.65</v>
      </c>
      <c r="K1479">
        <v>0</v>
      </c>
      <c r="L1479">
        <v>39.65</v>
      </c>
      <c r="M1479">
        <v>11.01</v>
      </c>
      <c r="N1479">
        <v>8.81</v>
      </c>
      <c r="O1479" t="s">
        <v>56</v>
      </c>
      <c r="P1479">
        <v>2025</v>
      </c>
      <c r="Q1479" t="s">
        <v>3639</v>
      </c>
      <c r="R1479">
        <v>39.65</v>
      </c>
      <c r="S1479">
        <v>0.22219419924337999</v>
      </c>
      <c r="T1479" t="s">
        <v>3634</v>
      </c>
      <c r="U1479" t="s">
        <v>3633</v>
      </c>
    </row>
    <row r="1480" spans="1:21" x14ac:dyDescent="0.25">
      <c r="A1480" t="s">
        <v>2784</v>
      </c>
      <c r="B1480" s="1">
        <v>45759</v>
      </c>
      <c r="C1480" t="s">
        <v>2785</v>
      </c>
      <c r="D1480" t="s">
        <v>17</v>
      </c>
      <c r="E1480" t="s">
        <v>129</v>
      </c>
      <c r="F1480" t="s">
        <v>19</v>
      </c>
      <c r="G1480" t="s">
        <v>32</v>
      </c>
      <c r="H1480" t="s">
        <v>149</v>
      </c>
      <c r="I1480">
        <v>1</v>
      </c>
      <c r="J1480">
        <v>13.25</v>
      </c>
      <c r="K1480">
        <v>5</v>
      </c>
      <c r="L1480">
        <v>12.59</v>
      </c>
      <c r="M1480">
        <v>5.69</v>
      </c>
      <c r="N1480">
        <v>0.94</v>
      </c>
      <c r="O1480" t="s">
        <v>39</v>
      </c>
      <c r="P1480">
        <v>2025</v>
      </c>
      <c r="Q1480" t="s">
        <v>3639</v>
      </c>
      <c r="R1480">
        <v>11.9605</v>
      </c>
      <c r="S1480">
        <v>7.8592032105681206E-2</v>
      </c>
      <c r="T1480" t="s">
        <v>3634</v>
      </c>
      <c r="U1480" t="s">
        <v>3633</v>
      </c>
    </row>
    <row r="1481" spans="1:21" x14ac:dyDescent="0.25">
      <c r="A1481" t="s">
        <v>2786</v>
      </c>
      <c r="B1481" s="1">
        <v>45759</v>
      </c>
      <c r="C1481" t="s">
        <v>2787</v>
      </c>
      <c r="D1481" t="s">
        <v>49</v>
      </c>
      <c r="E1481" t="s">
        <v>25</v>
      </c>
      <c r="F1481" t="s">
        <v>26</v>
      </c>
      <c r="G1481" t="s">
        <v>32</v>
      </c>
      <c r="H1481" t="s">
        <v>115</v>
      </c>
      <c r="I1481">
        <v>3</v>
      </c>
      <c r="J1481">
        <v>9.3800000000000008</v>
      </c>
      <c r="K1481">
        <v>5</v>
      </c>
      <c r="L1481">
        <v>26.73</v>
      </c>
      <c r="M1481">
        <v>8.9499999999999993</v>
      </c>
      <c r="N1481">
        <v>5.12</v>
      </c>
      <c r="O1481" t="s">
        <v>39</v>
      </c>
      <c r="P1481">
        <v>2025</v>
      </c>
      <c r="Q1481" t="s">
        <v>3639</v>
      </c>
      <c r="R1481">
        <v>25.3935</v>
      </c>
      <c r="S1481">
        <v>0.20162640045680999</v>
      </c>
      <c r="T1481" t="s">
        <v>3634</v>
      </c>
      <c r="U1481" t="s">
        <v>3633</v>
      </c>
    </row>
    <row r="1482" spans="1:21" x14ac:dyDescent="0.25">
      <c r="A1482" t="s">
        <v>2788</v>
      </c>
      <c r="B1482" s="1">
        <v>45759</v>
      </c>
      <c r="C1482" t="s">
        <v>2789</v>
      </c>
      <c r="D1482" t="s">
        <v>17</v>
      </c>
      <c r="E1482" t="s">
        <v>85</v>
      </c>
      <c r="F1482" t="s">
        <v>60</v>
      </c>
      <c r="G1482" t="s">
        <v>20</v>
      </c>
      <c r="H1482" t="s">
        <v>106</v>
      </c>
      <c r="I1482">
        <v>4</v>
      </c>
      <c r="J1482">
        <v>55.11</v>
      </c>
      <c r="K1482">
        <v>10</v>
      </c>
      <c r="L1482">
        <v>198.4</v>
      </c>
      <c r="M1482">
        <v>13.84</v>
      </c>
      <c r="N1482">
        <v>63.32</v>
      </c>
      <c r="O1482" t="s">
        <v>22</v>
      </c>
      <c r="P1482">
        <v>2025</v>
      </c>
      <c r="Q1482" t="s">
        <v>3639</v>
      </c>
      <c r="R1482">
        <v>178.56</v>
      </c>
      <c r="S1482">
        <v>0.354614695340502</v>
      </c>
      <c r="T1482" t="s">
        <v>3632</v>
      </c>
      <c r="U1482" t="s">
        <v>3633</v>
      </c>
    </row>
    <row r="1483" spans="1:21" x14ac:dyDescent="0.25">
      <c r="A1483" t="s">
        <v>2790</v>
      </c>
      <c r="B1483" s="1">
        <v>45759</v>
      </c>
      <c r="C1483" t="s">
        <v>2791</v>
      </c>
      <c r="D1483" t="s">
        <v>17</v>
      </c>
      <c r="E1483" t="s">
        <v>31</v>
      </c>
      <c r="F1483" t="s">
        <v>19</v>
      </c>
      <c r="G1483" t="s">
        <v>20</v>
      </c>
      <c r="H1483" t="s">
        <v>199</v>
      </c>
      <c r="I1483">
        <v>3</v>
      </c>
      <c r="J1483">
        <v>60.01</v>
      </c>
      <c r="K1483">
        <v>10</v>
      </c>
      <c r="L1483">
        <v>162.03</v>
      </c>
      <c r="M1483">
        <v>11.24</v>
      </c>
      <c r="N1483">
        <v>51.77</v>
      </c>
      <c r="O1483" t="s">
        <v>34</v>
      </c>
      <c r="P1483">
        <v>2025</v>
      </c>
      <c r="Q1483" t="s">
        <v>3639</v>
      </c>
      <c r="R1483">
        <v>145.827</v>
      </c>
      <c r="S1483">
        <v>0.35500970327854198</v>
      </c>
      <c r="T1483" t="s">
        <v>3632</v>
      </c>
      <c r="U1483" t="s">
        <v>3633</v>
      </c>
    </row>
    <row r="1484" spans="1:21" x14ac:dyDescent="0.25">
      <c r="A1484" t="s">
        <v>2792</v>
      </c>
      <c r="B1484" s="1">
        <v>45759</v>
      </c>
      <c r="C1484" t="s">
        <v>2793</v>
      </c>
      <c r="D1484" t="s">
        <v>30</v>
      </c>
      <c r="E1484" t="s">
        <v>59</v>
      </c>
      <c r="F1484" t="s">
        <v>60</v>
      </c>
      <c r="G1484" t="s">
        <v>32</v>
      </c>
      <c r="H1484" t="s">
        <v>132</v>
      </c>
      <c r="I1484">
        <v>2</v>
      </c>
      <c r="J1484">
        <v>19.7</v>
      </c>
      <c r="K1484">
        <v>10</v>
      </c>
      <c r="L1484">
        <v>35.46</v>
      </c>
      <c r="M1484">
        <v>10.39</v>
      </c>
      <c r="N1484">
        <v>7.34</v>
      </c>
      <c r="O1484" t="s">
        <v>34</v>
      </c>
      <c r="P1484">
        <v>2025</v>
      </c>
      <c r="Q1484" t="s">
        <v>3639</v>
      </c>
      <c r="R1484">
        <v>31.914000000000001</v>
      </c>
      <c r="S1484">
        <v>0.22999310647364801</v>
      </c>
      <c r="T1484" t="s">
        <v>3634</v>
      </c>
      <c r="U1484" t="s">
        <v>3633</v>
      </c>
    </row>
    <row r="1485" spans="1:21" x14ac:dyDescent="0.25">
      <c r="A1485" t="s">
        <v>2794</v>
      </c>
      <c r="B1485" s="1">
        <v>45760</v>
      </c>
      <c r="C1485" t="s">
        <v>2795</v>
      </c>
      <c r="D1485" t="s">
        <v>49</v>
      </c>
      <c r="E1485" t="s">
        <v>169</v>
      </c>
      <c r="F1485" t="s">
        <v>68</v>
      </c>
      <c r="G1485" t="s">
        <v>32</v>
      </c>
      <c r="H1485" t="s">
        <v>348</v>
      </c>
      <c r="I1485">
        <v>1</v>
      </c>
      <c r="J1485">
        <v>8.77</v>
      </c>
      <c r="K1485">
        <v>20</v>
      </c>
      <c r="L1485">
        <v>7.02</v>
      </c>
      <c r="M1485">
        <v>11.14</v>
      </c>
      <c r="N1485">
        <v>-8.07</v>
      </c>
      <c r="O1485" t="s">
        <v>39</v>
      </c>
      <c r="P1485">
        <v>2025</v>
      </c>
      <c r="Q1485" t="s">
        <v>3639</v>
      </c>
      <c r="R1485">
        <v>5.6159999999999997</v>
      </c>
      <c r="S1485">
        <v>-1.43696581196581</v>
      </c>
      <c r="T1485" t="s">
        <v>3634</v>
      </c>
      <c r="U1485" t="s">
        <v>3636</v>
      </c>
    </row>
    <row r="1486" spans="1:21" x14ac:dyDescent="0.25">
      <c r="A1486" t="s">
        <v>2796</v>
      </c>
      <c r="B1486" s="1">
        <v>45760</v>
      </c>
      <c r="C1486" t="s">
        <v>2797</v>
      </c>
      <c r="D1486" t="s">
        <v>30</v>
      </c>
      <c r="E1486" t="s">
        <v>25</v>
      </c>
      <c r="F1486" t="s">
        <v>26</v>
      </c>
      <c r="G1486" t="s">
        <v>20</v>
      </c>
      <c r="H1486" t="s">
        <v>55</v>
      </c>
      <c r="I1486">
        <v>2</v>
      </c>
      <c r="J1486">
        <v>44.96</v>
      </c>
      <c r="K1486">
        <v>0</v>
      </c>
      <c r="L1486">
        <v>89.92</v>
      </c>
      <c r="M1486">
        <v>11.48</v>
      </c>
      <c r="N1486">
        <v>28.98</v>
      </c>
      <c r="O1486" t="s">
        <v>34</v>
      </c>
      <c r="P1486">
        <v>2025</v>
      </c>
      <c r="Q1486" t="s">
        <v>3639</v>
      </c>
      <c r="R1486">
        <v>89.92</v>
      </c>
      <c r="S1486">
        <v>0.32228647686832701</v>
      </c>
      <c r="T1486" t="s">
        <v>3634</v>
      </c>
      <c r="U1486" t="s">
        <v>3633</v>
      </c>
    </row>
    <row r="1487" spans="1:21" x14ac:dyDescent="0.25">
      <c r="A1487" t="s">
        <v>2798</v>
      </c>
      <c r="B1487" s="1">
        <v>45760</v>
      </c>
      <c r="C1487" t="s">
        <v>1999</v>
      </c>
      <c r="D1487" t="s">
        <v>30</v>
      </c>
      <c r="E1487" t="s">
        <v>37</v>
      </c>
      <c r="F1487" t="s">
        <v>26</v>
      </c>
      <c r="G1487" t="s">
        <v>32</v>
      </c>
      <c r="H1487" t="s">
        <v>115</v>
      </c>
      <c r="I1487">
        <v>4</v>
      </c>
      <c r="J1487">
        <v>19.2</v>
      </c>
      <c r="K1487">
        <v>10</v>
      </c>
      <c r="L1487">
        <v>69.12</v>
      </c>
      <c r="M1487">
        <v>12.91</v>
      </c>
      <c r="N1487">
        <v>21.65</v>
      </c>
      <c r="O1487" t="s">
        <v>34</v>
      </c>
      <c r="P1487">
        <v>2025</v>
      </c>
      <c r="Q1487" t="s">
        <v>3639</v>
      </c>
      <c r="R1487">
        <v>62.207999999999998</v>
      </c>
      <c r="S1487">
        <v>0.34802597736625501</v>
      </c>
      <c r="T1487" t="s">
        <v>3634</v>
      </c>
      <c r="U1487" t="s">
        <v>3633</v>
      </c>
    </row>
    <row r="1488" spans="1:21" x14ac:dyDescent="0.25">
      <c r="A1488" t="s">
        <v>2799</v>
      </c>
      <c r="B1488" s="1">
        <v>45761</v>
      </c>
      <c r="C1488" t="s">
        <v>1262</v>
      </c>
      <c r="D1488" t="s">
        <v>17</v>
      </c>
      <c r="E1488" t="s">
        <v>121</v>
      </c>
      <c r="F1488" t="s">
        <v>68</v>
      </c>
      <c r="G1488" t="s">
        <v>42</v>
      </c>
      <c r="H1488" t="s">
        <v>89</v>
      </c>
      <c r="I1488">
        <v>2</v>
      </c>
      <c r="J1488">
        <v>165.71</v>
      </c>
      <c r="K1488">
        <v>0</v>
      </c>
      <c r="L1488">
        <v>331.42</v>
      </c>
      <c r="M1488">
        <v>12.42</v>
      </c>
      <c r="N1488">
        <v>120.15</v>
      </c>
      <c r="O1488" t="s">
        <v>56</v>
      </c>
      <c r="P1488">
        <v>2025</v>
      </c>
      <c r="Q1488" t="s">
        <v>3639</v>
      </c>
      <c r="R1488">
        <v>331.42</v>
      </c>
      <c r="S1488">
        <v>0.36253092752398802</v>
      </c>
      <c r="T1488" t="s">
        <v>3632</v>
      </c>
      <c r="U1488" t="s">
        <v>3633</v>
      </c>
    </row>
    <row r="1489" spans="1:21" x14ac:dyDescent="0.25">
      <c r="A1489" t="s">
        <v>2800</v>
      </c>
      <c r="B1489" s="1">
        <v>45761</v>
      </c>
      <c r="C1489" t="s">
        <v>2801</v>
      </c>
      <c r="D1489" t="s">
        <v>30</v>
      </c>
      <c r="E1489" t="s">
        <v>129</v>
      </c>
      <c r="F1489" t="s">
        <v>19</v>
      </c>
      <c r="G1489" t="s">
        <v>20</v>
      </c>
      <c r="H1489" t="s">
        <v>199</v>
      </c>
      <c r="I1489">
        <v>1</v>
      </c>
      <c r="J1489">
        <v>155.22</v>
      </c>
      <c r="K1489">
        <v>15</v>
      </c>
      <c r="L1489">
        <v>131.94</v>
      </c>
      <c r="M1489">
        <v>6.82</v>
      </c>
      <c r="N1489">
        <v>39.75</v>
      </c>
      <c r="O1489" t="s">
        <v>34</v>
      </c>
      <c r="P1489">
        <v>2025</v>
      </c>
      <c r="Q1489" t="s">
        <v>3639</v>
      </c>
      <c r="R1489">
        <v>112.149</v>
      </c>
      <c r="S1489">
        <v>0.35443918358612198</v>
      </c>
      <c r="T1489" t="s">
        <v>3632</v>
      </c>
      <c r="U1489" t="s">
        <v>3633</v>
      </c>
    </row>
    <row r="1490" spans="1:21" x14ac:dyDescent="0.25">
      <c r="A1490" t="s">
        <v>2802</v>
      </c>
      <c r="B1490" s="1">
        <v>45763</v>
      </c>
      <c r="C1490" t="s">
        <v>2803</v>
      </c>
      <c r="D1490" t="s">
        <v>30</v>
      </c>
      <c r="E1490" t="s">
        <v>138</v>
      </c>
      <c r="F1490" t="s">
        <v>54</v>
      </c>
      <c r="G1490" t="s">
        <v>20</v>
      </c>
      <c r="H1490" t="s">
        <v>21</v>
      </c>
      <c r="I1490">
        <v>2</v>
      </c>
      <c r="J1490">
        <v>238.98</v>
      </c>
      <c r="K1490">
        <v>5</v>
      </c>
      <c r="L1490">
        <v>454.06</v>
      </c>
      <c r="M1490">
        <v>12.39</v>
      </c>
      <c r="N1490">
        <v>178.79</v>
      </c>
      <c r="O1490" t="s">
        <v>22</v>
      </c>
      <c r="P1490">
        <v>2025</v>
      </c>
      <c r="Q1490" t="s">
        <v>3639</v>
      </c>
      <c r="R1490">
        <v>431.35700000000003</v>
      </c>
      <c r="S1490">
        <v>0.41448266748887802</v>
      </c>
      <c r="T1490" t="s">
        <v>3632</v>
      </c>
      <c r="U1490" t="s">
        <v>3633</v>
      </c>
    </row>
    <row r="1491" spans="1:21" x14ac:dyDescent="0.25">
      <c r="A1491" t="s">
        <v>2804</v>
      </c>
      <c r="B1491" s="1">
        <v>45764</v>
      </c>
      <c r="C1491" t="s">
        <v>128</v>
      </c>
      <c r="D1491" t="s">
        <v>17</v>
      </c>
      <c r="E1491" t="s">
        <v>109</v>
      </c>
      <c r="F1491" t="s">
        <v>54</v>
      </c>
      <c r="G1491" t="s">
        <v>32</v>
      </c>
      <c r="H1491" t="s">
        <v>115</v>
      </c>
      <c r="I1491">
        <v>1</v>
      </c>
      <c r="J1491">
        <v>14.87</v>
      </c>
      <c r="K1491">
        <v>15</v>
      </c>
      <c r="L1491">
        <v>12.64</v>
      </c>
      <c r="M1491">
        <v>12.93</v>
      </c>
      <c r="N1491">
        <v>-6.98</v>
      </c>
      <c r="O1491" t="s">
        <v>56</v>
      </c>
      <c r="P1491">
        <v>2025</v>
      </c>
      <c r="Q1491" t="s">
        <v>3639</v>
      </c>
      <c r="R1491">
        <v>10.744</v>
      </c>
      <c r="S1491">
        <v>-0.64966492926284403</v>
      </c>
      <c r="T1491" t="s">
        <v>3634</v>
      </c>
      <c r="U1491" t="s">
        <v>3636</v>
      </c>
    </row>
    <row r="1492" spans="1:21" x14ac:dyDescent="0.25">
      <c r="A1492" t="s">
        <v>2805</v>
      </c>
      <c r="B1492" s="1">
        <v>45764</v>
      </c>
      <c r="C1492" t="s">
        <v>748</v>
      </c>
      <c r="D1492" t="s">
        <v>30</v>
      </c>
      <c r="E1492" t="s">
        <v>53</v>
      </c>
      <c r="F1492" t="s">
        <v>54</v>
      </c>
      <c r="G1492" t="s">
        <v>32</v>
      </c>
      <c r="H1492" t="s">
        <v>33</v>
      </c>
      <c r="I1492">
        <v>2</v>
      </c>
      <c r="J1492">
        <v>12.81</v>
      </c>
      <c r="K1492">
        <v>0</v>
      </c>
      <c r="L1492">
        <v>25.62</v>
      </c>
      <c r="M1492">
        <v>14.26</v>
      </c>
      <c r="N1492">
        <v>-0.17</v>
      </c>
      <c r="O1492" t="s">
        <v>56</v>
      </c>
      <c r="P1492">
        <v>2025</v>
      </c>
      <c r="Q1492" t="s">
        <v>3639</v>
      </c>
      <c r="R1492">
        <v>25.62</v>
      </c>
      <c r="S1492">
        <v>-6.6354410616705703E-3</v>
      </c>
      <c r="T1492" t="s">
        <v>3634</v>
      </c>
      <c r="U1492" t="s">
        <v>3636</v>
      </c>
    </row>
    <row r="1493" spans="1:21" x14ac:dyDescent="0.25">
      <c r="A1493" t="s">
        <v>2806</v>
      </c>
      <c r="B1493" s="1">
        <v>45765</v>
      </c>
      <c r="C1493" t="s">
        <v>2807</v>
      </c>
      <c r="D1493" t="s">
        <v>49</v>
      </c>
      <c r="E1493" t="s">
        <v>166</v>
      </c>
      <c r="F1493" t="s">
        <v>60</v>
      </c>
      <c r="G1493" t="s">
        <v>32</v>
      </c>
      <c r="H1493" t="s">
        <v>33</v>
      </c>
      <c r="I1493">
        <v>2</v>
      </c>
      <c r="J1493">
        <v>14.06</v>
      </c>
      <c r="K1493">
        <v>15</v>
      </c>
      <c r="L1493">
        <v>23.9</v>
      </c>
      <c r="M1493">
        <v>10.76</v>
      </c>
      <c r="N1493">
        <v>0.49</v>
      </c>
      <c r="O1493" t="s">
        <v>56</v>
      </c>
      <c r="P1493">
        <v>2025</v>
      </c>
      <c r="Q1493" t="s">
        <v>3639</v>
      </c>
      <c r="R1493">
        <v>20.315000000000001</v>
      </c>
      <c r="S1493">
        <v>2.4120108294363798E-2</v>
      </c>
      <c r="T1493" t="s">
        <v>3634</v>
      </c>
      <c r="U1493" t="s">
        <v>3633</v>
      </c>
    </row>
    <row r="1494" spans="1:21" x14ac:dyDescent="0.25">
      <c r="A1494" t="s">
        <v>2808</v>
      </c>
      <c r="B1494" s="1">
        <v>45765</v>
      </c>
      <c r="C1494" t="s">
        <v>1507</v>
      </c>
      <c r="D1494" t="s">
        <v>30</v>
      </c>
      <c r="E1494" t="s">
        <v>31</v>
      </c>
      <c r="F1494" t="s">
        <v>19</v>
      </c>
      <c r="G1494" t="s">
        <v>32</v>
      </c>
      <c r="H1494" t="s">
        <v>73</v>
      </c>
      <c r="I1494">
        <v>1</v>
      </c>
      <c r="J1494">
        <v>9.33</v>
      </c>
      <c r="K1494">
        <v>0</v>
      </c>
      <c r="L1494">
        <v>9.33</v>
      </c>
      <c r="M1494">
        <v>6.05</v>
      </c>
      <c r="N1494">
        <v>-0.92</v>
      </c>
      <c r="O1494" t="s">
        <v>22</v>
      </c>
      <c r="P1494">
        <v>2025</v>
      </c>
      <c r="Q1494" t="s">
        <v>3639</v>
      </c>
      <c r="R1494">
        <v>9.33</v>
      </c>
      <c r="S1494">
        <v>-9.8606645230439396E-2</v>
      </c>
      <c r="T1494" t="s">
        <v>3634</v>
      </c>
      <c r="U1494" t="s">
        <v>3636</v>
      </c>
    </row>
    <row r="1495" spans="1:21" x14ac:dyDescent="0.25">
      <c r="A1495" t="s">
        <v>2809</v>
      </c>
      <c r="B1495" s="1">
        <v>45765</v>
      </c>
      <c r="C1495" t="s">
        <v>962</v>
      </c>
      <c r="D1495" t="s">
        <v>49</v>
      </c>
      <c r="E1495" t="s">
        <v>166</v>
      </c>
      <c r="F1495" t="s">
        <v>60</v>
      </c>
      <c r="G1495" t="s">
        <v>69</v>
      </c>
      <c r="H1495" t="s">
        <v>86</v>
      </c>
      <c r="I1495">
        <v>10</v>
      </c>
      <c r="J1495">
        <v>147.28</v>
      </c>
      <c r="K1495">
        <v>0</v>
      </c>
      <c r="L1495">
        <v>1472.8</v>
      </c>
      <c r="M1495">
        <v>27.39</v>
      </c>
      <c r="N1495">
        <v>709.01</v>
      </c>
      <c r="O1495" t="s">
        <v>39</v>
      </c>
      <c r="P1495">
        <v>2025</v>
      </c>
      <c r="Q1495" t="s">
        <v>3639</v>
      </c>
      <c r="R1495">
        <v>1472.8</v>
      </c>
      <c r="S1495">
        <v>0.48140277023356898</v>
      </c>
      <c r="T1495" t="s">
        <v>3635</v>
      </c>
      <c r="U1495" t="s">
        <v>3633</v>
      </c>
    </row>
    <row r="1496" spans="1:21" x14ac:dyDescent="0.25">
      <c r="A1496" t="s">
        <v>2810</v>
      </c>
      <c r="B1496" s="1">
        <v>45765</v>
      </c>
      <c r="C1496" t="s">
        <v>2811</v>
      </c>
      <c r="D1496" t="s">
        <v>30</v>
      </c>
      <c r="E1496" t="s">
        <v>59</v>
      </c>
      <c r="F1496" t="s">
        <v>60</v>
      </c>
      <c r="G1496" t="s">
        <v>69</v>
      </c>
      <c r="H1496" t="s">
        <v>79</v>
      </c>
      <c r="I1496">
        <v>2</v>
      </c>
      <c r="J1496">
        <v>32.49</v>
      </c>
      <c r="K1496">
        <v>5</v>
      </c>
      <c r="L1496">
        <v>61.73</v>
      </c>
      <c r="M1496">
        <v>11.25</v>
      </c>
      <c r="N1496">
        <v>17.989999999999998</v>
      </c>
      <c r="O1496" t="s">
        <v>34</v>
      </c>
      <c r="P1496">
        <v>2025</v>
      </c>
      <c r="Q1496" t="s">
        <v>3639</v>
      </c>
      <c r="R1496">
        <v>58.643500000000003</v>
      </c>
      <c r="S1496">
        <v>0.30676886611474402</v>
      </c>
      <c r="T1496" t="s">
        <v>3634</v>
      </c>
      <c r="U1496" t="s">
        <v>3633</v>
      </c>
    </row>
    <row r="1497" spans="1:21" x14ac:dyDescent="0.25">
      <c r="A1497" t="s">
        <v>2812</v>
      </c>
      <c r="B1497" s="1">
        <v>45766</v>
      </c>
      <c r="C1497" t="s">
        <v>2813</v>
      </c>
      <c r="D1497" t="s">
        <v>30</v>
      </c>
      <c r="E1497" t="s">
        <v>92</v>
      </c>
      <c r="F1497" t="s">
        <v>60</v>
      </c>
      <c r="G1497" t="s">
        <v>42</v>
      </c>
      <c r="H1497" t="s">
        <v>46</v>
      </c>
      <c r="I1497">
        <v>4</v>
      </c>
      <c r="J1497">
        <v>67.489999999999995</v>
      </c>
      <c r="K1497">
        <v>10</v>
      </c>
      <c r="L1497">
        <v>242.96</v>
      </c>
      <c r="M1497">
        <v>11.71</v>
      </c>
      <c r="N1497">
        <v>69.27</v>
      </c>
      <c r="O1497" t="s">
        <v>34</v>
      </c>
      <c r="P1497">
        <v>2025</v>
      </c>
      <c r="Q1497" t="s">
        <v>3639</v>
      </c>
      <c r="R1497">
        <v>218.66399999999999</v>
      </c>
      <c r="S1497">
        <v>0.31678739984634002</v>
      </c>
      <c r="T1497" t="s">
        <v>3632</v>
      </c>
      <c r="U1497" t="s">
        <v>3633</v>
      </c>
    </row>
    <row r="1498" spans="1:21" x14ac:dyDescent="0.25">
      <c r="A1498" t="s">
        <v>2814</v>
      </c>
      <c r="B1498" s="1">
        <v>45766</v>
      </c>
      <c r="C1498" t="s">
        <v>2024</v>
      </c>
      <c r="D1498" t="s">
        <v>30</v>
      </c>
      <c r="E1498" t="s">
        <v>25</v>
      </c>
      <c r="F1498" t="s">
        <v>26</v>
      </c>
      <c r="G1498" t="s">
        <v>42</v>
      </c>
      <c r="H1498" t="s">
        <v>93</v>
      </c>
      <c r="I1498">
        <v>7</v>
      </c>
      <c r="J1498">
        <v>294.08999999999997</v>
      </c>
      <c r="K1498">
        <v>0</v>
      </c>
      <c r="L1498">
        <v>2058.63</v>
      </c>
      <c r="M1498">
        <v>15.1</v>
      </c>
      <c r="N1498">
        <v>808.35</v>
      </c>
      <c r="O1498" t="s">
        <v>39</v>
      </c>
      <c r="P1498">
        <v>2025</v>
      </c>
      <c r="Q1498" t="s">
        <v>3639</v>
      </c>
      <c r="R1498">
        <v>2058.63</v>
      </c>
      <c r="S1498">
        <v>0.39266405327815102</v>
      </c>
      <c r="T1498" t="s">
        <v>3635</v>
      </c>
      <c r="U1498" t="s">
        <v>3633</v>
      </c>
    </row>
    <row r="1499" spans="1:21" x14ac:dyDescent="0.25">
      <c r="A1499" t="s">
        <v>2815</v>
      </c>
      <c r="B1499" s="1">
        <v>45767</v>
      </c>
      <c r="C1499" t="s">
        <v>805</v>
      </c>
      <c r="D1499" t="s">
        <v>17</v>
      </c>
      <c r="E1499" t="s">
        <v>169</v>
      </c>
      <c r="F1499" t="s">
        <v>68</v>
      </c>
      <c r="G1499" t="s">
        <v>20</v>
      </c>
      <c r="H1499" t="s">
        <v>264</v>
      </c>
      <c r="I1499">
        <v>5</v>
      </c>
      <c r="J1499">
        <v>61.12</v>
      </c>
      <c r="K1499">
        <v>20</v>
      </c>
      <c r="L1499">
        <v>244.48</v>
      </c>
      <c r="M1499">
        <v>22.01</v>
      </c>
      <c r="N1499">
        <v>54.39</v>
      </c>
      <c r="O1499" t="s">
        <v>34</v>
      </c>
      <c r="P1499">
        <v>2025</v>
      </c>
      <c r="Q1499" t="s">
        <v>3639</v>
      </c>
      <c r="R1499">
        <v>195.584</v>
      </c>
      <c r="S1499">
        <v>0.27809023232984298</v>
      </c>
      <c r="T1499" t="s">
        <v>3632</v>
      </c>
      <c r="U1499" t="s">
        <v>3633</v>
      </c>
    </row>
    <row r="1500" spans="1:21" x14ac:dyDescent="0.25">
      <c r="A1500" t="s">
        <v>2816</v>
      </c>
      <c r="B1500" s="1">
        <v>45767</v>
      </c>
      <c r="C1500" t="s">
        <v>2817</v>
      </c>
      <c r="D1500" t="s">
        <v>17</v>
      </c>
      <c r="E1500" t="s">
        <v>63</v>
      </c>
      <c r="F1500" t="s">
        <v>54</v>
      </c>
      <c r="G1500" t="s">
        <v>20</v>
      </c>
      <c r="H1500" t="s">
        <v>170</v>
      </c>
      <c r="I1500">
        <v>4</v>
      </c>
      <c r="J1500">
        <v>46.7</v>
      </c>
      <c r="K1500">
        <v>0</v>
      </c>
      <c r="L1500">
        <v>186.8</v>
      </c>
      <c r="M1500">
        <v>17.05</v>
      </c>
      <c r="N1500">
        <v>67.010000000000005</v>
      </c>
      <c r="O1500" t="s">
        <v>34</v>
      </c>
      <c r="P1500">
        <v>2025</v>
      </c>
      <c r="Q1500" t="s">
        <v>3639</v>
      </c>
      <c r="R1500">
        <v>186.8</v>
      </c>
      <c r="S1500">
        <v>0.35872591006423998</v>
      </c>
      <c r="T1500" t="s">
        <v>3632</v>
      </c>
      <c r="U1500" t="s">
        <v>3633</v>
      </c>
    </row>
    <row r="1501" spans="1:21" x14ac:dyDescent="0.25">
      <c r="A1501" t="s">
        <v>2818</v>
      </c>
      <c r="B1501" s="1">
        <v>45767</v>
      </c>
      <c r="C1501" t="s">
        <v>1651</v>
      </c>
      <c r="D1501" t="s">
        <v>30</v>
      </c>
      <c r="E1501" t="s">
        <v>169</v>
      </c>
      <c r="F1501" t="s">
        <v>68</v>
      </c>
      <c r="G1501" t="s">
        <v>20</v>
      </c>
      <c r="H1501" t="s">
        <v>175</v>
      </c>
      <c r="I1501">
        <v>4</v>
      </c>
      <c r="J1501">
        <v>25.36</v>
      </c>
      <c r="K1501">
        <v>20</v>
      </c>
      <c r="L1501">
        <v>81.150000000000006</v>
      </c>
      <c r="M1501">
        <v>14.4</v>
      </c>
      <c r="N1501">
        <v>10.96</v>
      </c>
      <c r="O1501" t="s">
        <v>22</v>
      </c>
      <c r="P1501">
        <v>2025</v>
      </c>
      <c r="Q1501" t="s">
        <v>3639</v>
      </c>
      <c r="R1501">
        <v>64.92</v>
      </c>
      <c r="S1501">
        <v>0.16882316697473801</v>
      </c>
      <c r="T1501" t="s">
        <v>3634</v>
      </c>
      <c r="U1501" t="s">
        <v>3633</v>
      </c>
    </row>
    <row r="1502" spans="1:21" x14ac:dyDescent="0.25">
      <c r="A1502" t="s">
        <v>2819</v>
      </c>
      <c r="B1502" s="1">
        <v>45768</v>
      </c>
      <c r="C1502" t="s">
        <v>2820</v>
      </c>
      <c r="D1502" t="s">
        <v>17</v>
      </c>
      <c r="E1502" t="s">
        <v>18</v>
      </c>
      <c r="F1502" t="s">
        <v>19</v>
      </c>
      <c r="G1502" t="s">
        <v>42</v>
      </c>
      <c r="H1502" t="s">
        <v>64</v>
      </c>
      <c r="I1502">
        <v>13</v>
      </c>
      <c r="J1502">
        <v>84.96</v>
      </c>
      <c r="K1502">
        <v>15</v>
      </c>
      <c r="L1502">
        <v>938.81</v>
      </c>
      <c r="M1502">
        <v>32.07</v>
      </c>
      <c r="N1502">
        <v>244.05</v>
      </c>
      <c r="O1502" t="s">
        <v>22</v>
      </c>
      <c r="P1502">
        <v>2025</v>
      </c>
      <c r="Q1502" t="s">
        <v>3639</v>
      </c>
      <c r="R1502">
        <v>797.98850000000004</v>
      </c>
      <c r="S1502">
        <v>0.30583147501499103</v>
      </c>
      <c r="T1502" t="s">
        <v>3635</v>
      </c>
      <c r="U1502" t="s">
        <v>3633</v>
      </c>
    </row>
    <row r="1503" spans="1:21" x14ac:dyDescent="0.25">
      <c r="A1503" t="s">
        <v>2821</v>
      </c>
      <c r="B1503" s="1">
        <v>45768</v>
      </c>
      <c r="C1503" t="s">
        <v>2822</v>
      </c>
      <c r="D1503" t="s">
        <v>49</v>
      </c>
      <c r="E1503" t="s">
        <v>18</v>
      </c>
      <c r="F1503" t="s">
        <v>19</v>
      </c>
      <c r="G1503" t="s">
        <v>32</v>
      </c>
      <c r="H1503" t="s">
        <v>33</v>
      </c>
      <c r="I1503">
        <v>1</v>
      </c>
      <c r="J1503">
        <v>15.62</v>
      </c>
      <c r="K1503">
        <v>0</v>
      </c>
      <c r="L1503">
        <v>15.62</v>
      </c>
      <c r="M1503">
        <v>6.6</v>
      </c>
      <c r="N1503">
        <v>1.99</v>
      </c>
      <c r="O1503" t="s">
        <v>56</v>
      </c>
      <c r="P1503">
        <v>2025</v>
      </c>
      <c r="Q1503" t="s">
        <v>3639</v>
      </c>
      <c r="R1503">
        <v>15.62</v>
      </c>
      <c r="S1503">
        <v>0.12740076824583901</v>
      </c>
      <c r="T1503" t="s">
        <v>3634</v>
      </c>
      <c r="U1503" t="s">
        <v>3633</v>
      </c>
    </row>
    <row r="1504" spans="1:21" x14ac:dyDescent="0.25">
      <c r="A1504" t="s">
        <v>2823</v>
      </c>
      <c r="B1504" s="1">
        <v>45769</v>
      </c>
      <c r="C1504" t="s">
        <v>2824</v>
      </c>
      <c r="D1504" t="s">
        <v>30</v>
      </c>
      <c r="E1504" t="s">
        <v>31</v>
      </c>
      <c r="F1504" t="s">
        <v>19</v>
      </c>
      <c r="G1504" t="s">
        <v>20</v>
      </c>
      <c r="H1504" t="s">
        <v>199</v>
      </c>
      <c r="I1504">
        <v>3</v>
      </c>
      <c r="J1504">
        <v>155.55000000000001</v>
      </c>
      <c r="K1504">
        <v>0</v>
      </c>
      <c r="L1504">
        <v>466.65</v>
      </c>
      <c r="M1504">
        <v>9.51</v>
      </c>
      <c r="N1504">
        <v>200.48</v>
      </c>
      <c r="O1504" t="s">
        <v>39</v>
      </c>
      <c r="P1504">
        <v>2025</v>
      </c>
      <c r="Q1504" t="s">
        <v>3639</v>
      </c>
      <c r="R1504">
        <v>466.65</v>
      </c>
      <c r="S1504">
        <v>0.42961534340512197</v>
      </c>
      <c r="T1504" t="s">
        <v>3632</v>
      </c>
      <c r="U1504" t="s">
        <v>3633</v>
      </c>
    </row>
    <row r="1505" spans="1:21" x14ac:dyDescent="0.25">
      <c r="A1505" t="s">
        <v>2825</v>
      </c>
      <c r="B1505" s="1">
        <v>45769</v>
      </c>
      <c r="C1505" t="s">
        <v>2826</v>
      </c>
      <c r="D1505" t="s">
        <v>17</v>
      </c>
      <c r="E1505" t="s">
        <v>121</v>
      </c>
      <c r="F1505" t="s">
        <v>68</v>
      </c>
      <c r="G1505" t="s">
        <v>69</v>
      </c>
      <c r="H1505" t="s">
        <v>196</v>
      </c>
      <c r="I1505">
        <v>2</v>
      </c>
      <c r="J1505">
        <v>10.67</v>
      </c>
      <c r="K1505">
        <v>15</v>
      </c>
      <c r="L1505">
        <v>18.14</v>
      </c>
      <c r="M1505">
        <v>13.02</v>
      </c>
      <c r="N1505">
        <v>-5.55</v>
      </c>
      <c r="O1505" t="s">
        <v>56</v>
      </c>
      <c r="P1505">
        <v>2025</v>
      </c>
      <c r="Q1505" t="s">
        <v>3639</v>
      </c>
      <c r="R1505">
        <v>15.419</v>
      </c>
      <c r="S1505">
        <v>-0.35994552175886901</v>
      </c>
      <c r="T1505" t="s">
        <v>3634</v>
      </c>
      <c r="U1505" t="s">
        <v>3636</v>
      </c>
    </row>
    <row r="1506" spans="1:21" x14ac:dyDescent="0.25">
      <c r="A1506" t="s">
        <v>2827</v>
      </c>
      <c r="B1506" s="1">
        <v>45769</v>
      </c>
      <c r="C1506" t="s">
        <v>2828</v>
      </c>
      <c r="D1506" t="s">
        <v>17</v>
      </c>
      <c r="E1506" t="s">
        <v>135</v>
      </c>
      <c r="F1506" t="s">
        <v>26</v>
      </c>
      <c r="G1506" t="s">
        <v>42</v>
      </c>
      <c r="H1506" t="s">
        <v>371</v>
      </c>
      <c r="I1506">
        <v>3</v>
      </c>
      <c r="J1506">
        <v>138.55000000000001</v>
      </c>
      <c r="K1506">
        <v>0</v>
      </c>
      <c r="L1506">
        <v>415.65</v>
      </c>
      <c r="M1506">
        <v>9.02</v>
      </c>
      <c r="N1506">
        <v>157.24</v>
      </c>
      <c r="O1506" t="s">
        <v>39</v>
      </c>
      <c r="P1506">
        <v>2025</v>
      </c>
      <c r="Q1506" t="s">
        <v>3639</v>
      </c>
      <c r="R1506">
        <v>415.65</v>
      </c>
      <c r="S1506">
        <v>0.37829904968122202</v>
      </c>
      <c r="T1506" t="s">
        <v>3632</v>
      </c>
      <c r="U1506" t="s">
        <v>3633</v>
      </c>
    </row>
    <row r="1507" spans="1:21" x14ac:dyDescent="0.25">
      <c r="A1507" t="s">
        <v>2829</v>
      </c>
      <c r="B1507" s="1">
        <v>45771</v>
      </c>
      <c r="C1507" t="s">
        <v>2830</v>
      </c>
      <c r="D1507" t="s">
        <v>30</v>
      </c>
      <c r="E1507" t="s">
        <v>59</v>
      </c>
      <c r="F1507" t="s">
        <v>60</v>
      </c>
      <c r="G1507" t="s">
        <v>20</v>
      </c>
      <c r="H1507" t="s">
        <v>38</v>
      </c>
      <c r="I1507">
        <v>2</v>
      </c>
      <c r="J1507">
        <v>76.94</v>
      </c>
      <c r="K1507">
        <v>10</v>
      </c>
      <c r="L1507">
        <v>138.49</v>
      </c>
      <c r="M1507">
        <v>12.94</v>
      </c>
      <c r="N1507">
        <v>40.92</v>
      </c>
      <c r="O1507" t="s">
        <v>34</v>
      </c>
      <c r="P1507">
        <v>2025</v>
      </c>
      <c r="Q1507" t="s">
        <v>3639</v>
      </c>
      <c r="R1507">
        <v>124.64100000000001</v>
      </c>
      <c r="S1507">
        <v>0.328302885888271</v>
      </c>
      <c r="T1507" t="s">
        <v>3632</v>
      </c>
      <c r="U1507" t="s">
        <v>3633</v>
      </c>
    </row>
    <row r="1508" spans="1:21" x14ac:dyDescent="0.25">
      <c r="A1508" t="s">
        <v>2831</v>
      </c>
      <c r="B1508" s="1">
        <v>45772</v>
      </c>
      <c r="C1508" t="s">
        <v>752</v>
      </c>
      <c r="D1508" t="s">
        <v>30</v>
      </c>
      <c r="E1508" t="s">
        <v>53</v>
      </c>
      <c r="F1508" t="s">
        <v>54</v>
      </c>
      <c r="G1508" t="s">
        <v>20</v>
      </c>
      <c r="H1508" t="s">
        <v>264</v>
      </c>
      <c r="I1508">
        <v>10</v>
      </c>
      <c r="J1508">
        <v>31.3</v>
      </c>
      <c r="K1508">
        <v>10</v>
      </c>
      <c r="L1508">
        <v>281.7</v>
      </c>
      <c r="M1508">
        <v>16.36</v>
      </c>
      <c r="N1508">
        <v>93.19</v>
      </c>
      <c r="O1508" t="s">
        <v>39</v>
      </c>
      <c r="P1508">
        <v>2025</v>
      </c>
      <c r="Q1508" t="s">
        <v>3639</v>
      </c>
      <c r="R1508">
        <v>253.53</v>
      </c>
      <c r="S1508">
        <v>0.36756991283082902</v>
      </c>
      <c r="T1508" t="s">
        <v>3632</v>
      </c>
      <c r="U1508" t="s">
        <v>3633</v>
      </c>
    </row>
    <row r="1509" spans="1:21" x14ac:dyDescent="0.25">
      <c r="A1509" t="s">
        <v>2832</v>
      </c>
      <c r="B1509" s="1">
        <v>45772</v>
      </c>
      <c r="C1509" t="s">
        <v>1822</v>
      </c>
      <c r="D1509" t="s">
        <v>30</v>
      </c>
      <c r="E1509" t="s">
        <v>92</v>
      </c>
      <c r="F1509" t="s">
        <v>60</v>
      </c>
      <c r="G1509" t="s">
        <v>42</v>
      </c>
      <c r="H1509" t="s">
        <v>43</v>
      </c>
      <c r="I1509">
        <v>2</v>
      </c>
      <c r="J1509">
        <v>320.60000000000002</v>
      </c>
      <c r="K1509">
        <v>0</v>
      </c>
      <c r="L1509">
        <v>641.20000000000005</v>
      </c>
      <c r="M1509">
        <v>12.1</v>
      </c>
      <c r="N1509">
        <v>244.38</v>
      </c>
      <c r="O1509" t="s">
        <v>34</v>
      </c>
      <c r="P1509">
        <v>2025</v>
      </c>
      <c r="Q1509" t="s">
        <v>3639</v>
      </c>
      <c r="R1509">
        <v>641.20000000000005</v>
      </c>
      <c r="S1509">
        <v>0.38112913287585798</v>
      </c>
      <c r="T1509" t="s">
        <v>3635</v>
      </c>
      <c r="U1509" t="s">
        <v>3633</v>
      </c>
    </row>
    <row r="1510" spans="1:21" x14ac:dyDescent="0.25">
      <c r="A1510" t="s">
        <v>2833</v>
      </c>
      <c r="B1510" s="1">
        <v>45773</v>
      </c>
      <c r="C1510" t="s">
        <v>2834</v>
      </c>
      <c r="D1510" t="s">
        <v>49</v>
      </c>
      <c r="E1510" t="s">
        <v>121</v>
      </c>
      <c r="F1510" t="s">
        <v>68</v>
      </c>
      <c r="G1510" t="s">
        <v>20</v>
      </c>
      <c r="H1510" t="s">
        <v>27</v>
      </c>
      <c r="I1510">
        <v>1</v>
      </c>
      <c r="J1510">
        <v>172.2</v>
      </c>
      <c r="K1510">
        <v>0</v>
      </c>
      <c r="L1510">
        <v>172.2</v>
      </c>
      <c r="M1510">
        <v>12.38</v>
      </c>
      <c r="N1510">
        <v>65.11</v>
      </c>
      <c r="O1510" t="s">
        <v>34</v>
      </c>
      <c r="P1510">
        <v>2025</v>
      </c>
      <c r="Q1510" t="s">
        <v>3639</v>
      </c>
      <c r="R1510">
        <v>172.2</v>
      </c>
      <c r="S1510">
        <v>0.37810685249709602</v>
      </c>
      <c r="T1510" t="s">
        <v>3632</v>
      </c>
      <c r="U1510" t="s">
        <v>3633</v>
      </c>
    </row>
    <row r="1511" spans="1:21" x14ac:dyDescent="0.25">
      <c r="A1511" t="s">
        <v>2835</v>
      </c>
      <c r="B1511" s="1">
        <v>45774</v>
      </c>
      <c r="C1511" t="s">
        <v>2200</v>
      </c>
      <c r="D1511" t="s">
        <v>30</v>
      </c>
      <c r="E1511" t="s">
        <v>135</v>
      </c>
      <c r="F1511" t="s">
        <v>26</v>
      </c>
      <c r="G1511" t="s">
        <v>42</v>
      </c>
      <c r="H1511" t="s">
        <v>294</v>
      </c>
      <c r="I1511">
        <v>2</v>
      </c>
      <c r="J1511">
        <v>163.76</v>
      </c>
      <c r="K1511">
        <v>15</v>
      </c>
      <c r="L1511">
        <v>278.39</v>
      </c>
      <c r="M1511">
        <v>11.15</v>
      </c>
      <c r="N1511">
        <v>70.73</v>
      </c>
      <c r="O1511" t="s">
        <v>39</v>
      </c>
      <c r="P1511">
        <v>2025</v>
      </c>
      <c r="Q1511" t="s">
        <v>3639</v>
      </c>
      <c r="R1511">
        <v>236.63149999999999</v>
      </c>
      <c r="S1511">
        <v>0.298903569474056</v>
      </c>
      <c r="T1511" t="s">
        <v>3632</v>
      </c>
      <c r="U1511" t="s">
        <v>3633</v>
      </c>
    </row>
    <row r="1512" spans="1:21" x14ac:dyDescent="0.25">
      <c r="A1512" t="s">
        <v>2836</v>
      </c>
      <c r="B1512" s="1">
        <v>45774</v>
      </c>
      <c r="C1512" t="s">
        <v>2837</v>
      </c>
      <c r="D1512" t="s">
        <v>30</v>
      </c>
      <c r="E1512" t="s">
        <v>18</v>
      </c>
      <c r="F1512" t="s">
        <v>19</v>
      </c>
      <c r="G1512" t="s">
        <v>20</v>
      </c>
      <c r="H1512" t="s">
        <v>55</v>
      </c>
      <c r="I1512">
        <v>2</v>
      </c>
      <c r="J1512">
        <v>36.57</v>
      </c>
      <c r="K1512">
        <v>15</v>
      </c>
      <c r="L1512">
        <v>62.17</v>
      </c>
      <c r="M1512">
        <v>8.5299999999999994</v>
      </c>
      <c r="N1512">
        <v>13.41</v>
      </c>
      <c r="O1512" t="s">
        <v>39</v>
      </c>
      <c r="P1512">
        <v>2025</v>
      </c>
      <c r="Q1512" t="s">
        <v>3639</v>
      </c>
      <c r="R1512">
        <v>52.844499999999996</v>
      </c>
      <c r="S1512">
        <v>0.253763400164634</v>
      </c>
      <c r="T1512" t="s">
        <v>3634</v>
      </c>
      <c r="U1512" t="s">
        <v>3633</v>
      </c>
    </row>
    <row r="1513" spans="1:21" x14ac:dyDescent="0.25">
      <c r="A1513" t="s">
        <v>2838</v>
      </c>
      <c r="B1513" s="1">
        <v>45775</v>
      </c>
      <c r="C1513" t="s">
        <v>1511</v>
      </c>
      <c r="D1513" t="s">
        <v>17</v>
      </c>
      <c r="E1513" t="s">
        <v>85</v>
      </c>
      <c r="F1513" t="s">
        <v>60</v>
      </c>
      <c r="G1513" t="s">
        <v>20</v>
      </c>
      <c r="H1513" t="s">
        <v>175</v>
      </c>
      <c r="I1513">
        <v>7</v>
      </c>
      <c r="J1513">
        <v>19.93</v>
      </c>
      <c r="K1513">
        <v>10</v>
      </c>
      <c r="L1513">
        <v>125.56</v>
      </c>
      <c r="M1513">
        <v>20.75</v>
      </c>
      <c r="N1513">
        <v>28.08</v>
      </c>
      <c r="O1513" t="s">
        <v>39</v>
      </c>
      <c r="P1513">
        <v>2025</v>
      </c>
      <c r="Q1513" t="s">
        <v>3639</v>
      </c>
      <c r="R1513">
        <v>113.004</v>
      </c>
      <c r="S1513">
        <v>0.24848677922905399</v>
      </c>
      <c r="T1513" t="s">
        <v>3632</v>
      </c>
      <c r="U1513" t="s">
        <v>3633</v>
      </c>
    </row>
    <row r="1514" spans="1:21" x14ac:dyDescent="0.25">
      <c r="A1514" t="s">
        <v>2839</v>
      </c>
      <c r="B1514" s="1">
        <v>45775</v>
      </c>
      <c r="C1514" t="s">
        <v>2840</v>
      </c>
      <c r="D1514" t="s">
        <v>49</v>
      </c>
      <c r="E1514" t="s">
        <v>37</v>
      </c>
      <c r="F1514" t="s">
        <v>26</v>
      </c>
      <c r="G1514" t="s">
        <v>32</v>
      </c>
      <c r="H1514" t="s">
        <v>132</v>
      </c>
      <c r="I1514">
        <v>1</v>
      </c>
      <c r="J1514">
        <v>9.5</v>
      </c>
      <c r="K1514">
        <v>10</v>
      </c>
      <c r="L1514">
        <v>8.5500000000000007</v>
      </c>
      <c r="M1514">
        <v>8.3000000000000007</v>
      </c>
      <c r="N1514">
        <v>-4.03</v>
      </c>
      <c r="O1514" t="s">
        <v>39</v>
      </c>
      <c r="P1514">
        <v>2025</v>
      </c>
      <c r="Q1514" t="s">
        <v>3639</v>
      </c>
      <c r="R1514">
        <v>7.6950000000000003</v>
      </c>
      <c r="S1514">
        <v>-0.52371669915529595</v>
      </c>
      <c r="T1514" t="s">
        <v>3634</v>
      </c>
      <c r="U1514" t="s">
        <v>3636</v>
      </c>
    </row>
    <row r="1515" spans="1:21" x14ac:dyDescent="0.25">
      <c r="A1515" t="s">
        <v>2841</v>
      </c>
      <c r="B1515" s="1">
        <v>45775</v>
      </c>
      <c r="C1515" t="s">
        <v>2842</v>
      </c>
      <c r="D1515" t="s">
        <v>49</v>
      </c>
      <c r="E1515" t="s">
        <v>138</v>
      </c>
      <c r="F1515" t="s">
        <v>54</v>
      </c>
      <c r="G1515" t="s">
        <v>32</v>
      </c>
      <c r="H1515" t="s">
        <v>132</v>
      </c>
      <c r="I1515">
        <v>8</v>
      </c>
      <c r="J1515">
        <v>17.87</v>
      </c>
      <c r="K1515">
        <v>20</v>
      </c>
      <c r="L1515">
        <v>114.37</v>
      </c>
      <c r="M1515">
        <v>18.77</v>
      </c>
      <c r="N1515">
        <v>31.27</v>
      </c>
      <c r="O1515" t="s">
        <v>39</v>
      </c>
      <c r="P1515">
        <v>2025</v>
      </c>
      <c r="Q1515" t="s">
        <v>3639</v>
      </c>
      <c r="R1515">
        <v>91.495999999999995</v>
      </c>
      <c r="S1515">
        <v>0.34176357436390697</v>
      </c>
      <c r="T1515" t="s">
        <v>3632</v>
      </c>
      <c r="U1515" t="s">
        <v>3633</v>
      </c>
    </row>
    <row r="1516" spans="1:21" x14ac:dyDescent="0.25">
      <c r="A1516" t="s">
        <v>2843</v>
      </c>
      <c r="B1516" s="1">
        <v>45777</v>
      </c>
      <c r="C1516" t="s">
        <v>2844</v>
      </c>
      <c r="D1516" t="s">
        <v>17</v>
      </c>
      <c r="E1516" t="s">
        <v>31</v>
      </c>
      <c r="F1516" t="s">
        <v>19</v>
      </c>
      <c r="G1516" t="s">
        <v>32</v>
      </c>
      <c r="H1516" t="s">
        <v>132</v>
      </c>
      <c r="I1516">
        <v>3</v>
      </c>
      <c r="J1516">
        <v>11.65</v>
      </c>
      <c r="K1516">
        <v>15</v>
      </c>
      <c r="L1516">
        <v>29.71</v>
      </c>
      <c r="M1516">
        <v>11.8</v>
      </c>
      <c r="N1516">
        <v>2.1800000000000002</v>
      </c>
      <c r="O1516" t="s">
        <v>34</v>
      </c>
      <c r="P1516">
        <v>2025</v>
      </c>
      <c r="Q1516" t="s">
        <v>3639</v>
      </c>
      <c r="R1516">
        <v>25.253499999999999</v>
      </c>
      <c r="S1516">
        <v>8.6324667867820296E-2</v>
      </c>
      <c r="T1516" t="s">
        <v>3634</v>
      </c>
      <c r="U1516" t="s">
        <v>3633</v>
      </c>
    </row>
    <row r="1517" spans="1:21" x14ac:dyDescent="0.25">
      <c r="A1517" t="s">
        <v>2845</v>
      </c>
      <c r="B1517" s="1">
        <v>45777</v>
      </c>
      <c r="C1517" t="s">
        <v>2846</v>
      </c>
      <c r="D1517" t="s">
        <v>30</v>
      </c>
      <c r="E1517" t="s">
        <v>31</v>
      </c>
      <c r="F1517" t="s">
        <v>19</v>
      </c>
      <c r="G1517" t="s">
        <v>20</v>
      </c>
      <c r="H1517" t="s">
        <v>199</v>
      </c>
      <c r="I1517">
        <v>1</v>
      </c>
      <c r="J1517">
        <v>136.78</v>
      </c>
      <c r="K1517">
        <v>10</v>
      </c>
      <c r="L1517">
        <v>123.1</v>
      </c>
      <c r="M1517">
        <v>7.09</v>
      </c>
      <c r="N1517">
        <v>40.78</v>
      </c>
      <c r="O1517" t="s">
        <v>34</v>
      </c>
      <c r="P1517">
        <v>2025</v>
      </c>
      <c r="Q1517" t="s">
        <v>3639</v>
      </c>
      <c r="R1517">
        <v>110.79</v>
      </c>
      <c r="S1517">
        <v>0.36808376207238902</v>
      </c>
      <c r="T1517" t="s">
        <v>3632</v>
      </c>
      <c r="U1517" t="s">
        <v>3633</v>
      </c>
    </row>
    <row r="1518" spans="1:21" x14ac:dyDescent="0.25">
      <c r="A1518" t="s">
        <v>2847</v>
      </c>
      <c r="B1518" s="1">
        <v>45778</v>
      </c>
      <c r="C1518" t="s">
        <v>2047</v>
      </c>
      <c r="D1518" t="s">
        <v>49</v>
      </c>
      <c r="E1518" t="s">
        <v>248</v>
      </c>
      <c r="F1518" t="s">
        <v>26</v>
      </c>
      <c r="G1518" t="s">
        <v>69</v>
      </c>
      <c r="H1518" t="s">
        <v>163</v>
      </c>
      <c r="I1518">
        <v>9</v>
      </c>
      <c r="J1518">
        <v>25.8</v>
      </c>
      <c r="K1518">
        <v>0</v>
      </c>
      <c r="L1518">
        <v>232.2</v>
      </c>
      <c r="M1518">
        <v>17.11</v>
      </c>
      <c r="N1518">
        <v>98.99</v>
      </c>
      <c r="O1518" t="s">
        <v>39</v>
      </c>
      <c r="P1518">
        <v>2025</v>
      </c>
      <c r="Q1518" t="s">
        <v>3640</v>
      </c>
      <c r="R1518">
        <v>232.2</v>
      </c>
      <c r="S1518">
        <v>0.426313522825151</v>
      </c>
      <c r="T1518" t="s">
        <v>3632</v>
      </c>
      <c r="U1518" t="s">
        <v>3633</v>
      </c>
    </row>
    <row r="1519" spans="1:21" x14ac:dyDescent="0.25">
      <c r="A1519" t="s">
        <v>2848</v>
      </c>
      <c r="B1519" s="1">
        <v>45778</v>
      </c>
      <c r="C1519" t="s">
        <v>2693</v>
      </c>
      <c r="D1519" t="s">
        <v>17</v>
      </c>
      <c r="E1519" t="s">
        <v>67</v>
      </c>
      <c r="F1519" t="s">
        <v>68</v>
      </c>
      <c r="G1519" t="s">
        <v>69</v>
      </c>
      <c r="H1519" t="s">
        <v>79</v>
      </c>
      <c r="I1519">
        <v>8</v>
      </c>
      <c r="J1519">
        <v>34</v>
      </c>
      <c r="K1519">
        <v>30</v>
      </c>
      <c r="L1519">
        <v>190.4</v>
      </c>
      <c r="M1519">
        <v>15.18</v>
      </c>
      <c r="N1519">
        <v>39.22</v>
      </c>
      <c r="O1519" t="s">
        <v>22</v>
      </c>
      <c r="P1519">
        <v>2025</v>
      </c>
      <c r="Q1519" t="s">
        <v>3640</v>
      </c>
      <c r="R1519">
        <v>133.28</v>
      </c>
      <c r="S1519">
        <v>0.29426770708283301</v>
      </c>
      <c r="T1519" t="s">
        <v>3632</v>
      </c>
      <c r="U1519" t="s">
        <v>3633</v>
      </c>
    </row>
    <row r="1520" spans="1:21" x14ac:dyDescent="0.25">
      <c r="A1520" t="s">
        <v>2849</v>
      </c>
      <c r="B1520" s="1">
        <v>45778</v>
      </c>
      <c r="C1520" t="s">
        <v>2850</v>
      </c>
      <c r="D1520" t="s">
        <v>30</v>
      </c>
      <c r="E1520" t="s">
        <v>76</v>
      </c>
      <c r="F1520" t="s">
        <v>26</v>
      </c>
      <c r="G1520" t="s">
        <v>42</v>
      </c>
      <c r="H1520" t="s">
        <v>371</v>
      </c>
      <c r="I1520">
        <v>2</v>
      </c>
      <c r="J1520">
        <v>155.18</v>
      </c>
      <c r="K1520">
        <v>25</v>
      </c>
      <c r="L1520">
        <v>232.77</v>
      </c>
      <c r="M1520">
        <v>8.56</v>
      </c>
      <c r="N1520">
        <v>37.99</v>
      </c>
      <c r="O1520" t="s">
        <v>34</v>
      </c>
      <c r="P1520">
        <v>2025</v>
      </c>
      <c r="Q1520" t="s">
        <v>3640</v>
      </c>
      <c r="R1520">
        <v>174.57749999999999</v>
      </c>
      <c r="S1520">
        <v>0.21761108963067999</v>
      </c>
      <c r="T1520" t="s">
        <v>3632</v>
      </c>
      <c r="U1520" t="s">
        <v>3633</v>
      </c>
    </row>
    <row r="1521" spans="1:21" x14ac:dyDescent="0.25">
      <c r="A1521" t="s">
        <v>2851</v>
      </c>
      <c r="B1521" s="1">
        <v>45779</v>
      </c>
      <c r="C1521" t="s">
        <v>585</v>
      </c>
      <c r="D1521" t="s">
        <v>17</v>
      </c>
      <c r="E1521" t="s">
        <v>135</v>
      </c>
      <c r="F1521" t="s">
        <v>26</v>
      </c>
      <c r="G1521" t="s">
        <v>42</v>
      </c>
      <c r="H1521" t="s">
        <v>234</v>
      </c>
      <c r="I1521">
        <v>2</v>
      </c>
      <c r="J1521">
        <v>59.73</v>
      </c>
      <c r="K1521">
        <v>5</v>
      </c>
      <c r="L1521">
        <v>113.49</v>
      </c>
      <c r="M1521">
        <v>10.47</v>
      </c>
      <c r="N1521">
        <v>31.34</v>
      </c>
      <c r="O1521" t="s">
        <v>39</v>
      </c>
      <c r="P1521">
        <v>2025</v>
      </c>
      <c r="Q1521" t="s">
        <v>3640</v>
      </c>
      <c r="R1521">
        <v>107.8155</v>
      </c>
      <c r="S1521">
        <v>0.29068176653635203</v>
      </c>
      <c r="T1521" t="s">
        <v>3632</v>
      </c>
      <c r="U1521" t="s">
        <v>3633</v>
      </c>
    </row>
    <row r="1522" spans="1:21" x14ac:dyDescent="0.25">
      <c r="A1522" t="s">
        <v>2852</v>
      </c>
      <c r="B1522" s="1">
        <v>45779</v>
      </c>
      <c r="C1522" t="s">
        <v>2853</v>
      </c>
      <c r="D1522" t="s">
        <v>30</v>
      </c>
      <c r="E1522" t="s">
        <v>18</v>
      </c>
      <c r="F1522" t="s">
        <v>19</v>
      </c>
      <c r="G1522" t="s">
        <v>42</v>
      </c>
      <c r="H1522" t="s">
        <v>43</v>
      </c>
      <c r="I1522">
        <v>5</v>
      </c>
      <c r="J1522">
        <v>217.51</v>
      </c>
      <c r="K1522">
        <v>15</v>
      </c>
      <c r="L1522">
        <v>924.42</v>
      </c>
      <c r="M1522">
        <v>16.809999999999999</v>
      </c>
      <c r="N1522">
        <v>255.08</v>
      </c>
      <c r="O1522" t="s">
        <v>34</v>
      </c>
      <c r="P1522">
        <v>2025</v>
      </c>
      <c r="Q1522" t="s">
        <v>3640</v>
      </c>
      <c r="R1522">
        <v>785.75699999999995</v>
      </c>
      <c r="S1522">
        <v>0.32462962468040402</v>
      </c>
      <c r="T1522" t="s">
        <v>3635</v>
      </c>
      <c r="U1522" t="s">
        <v>3633</v>
      </c>
    </row>
    <row r="1523" spans="1:21" x14ac:dyDescent="0.25">
      <c r="A1523" t="s">
        <v>2854</v>
      </c>
      <c r="B1523" s="1">
        <v>45780</v>
      </c>
      <c r="C1523" t="s">
        <v>2855</v>
      </c>
      <c r="D1523" t="s">
        <v>17</v>
      </c>
      <c r="E1523" t="s">
        <v>148</v>
      </c>
      <c r="F1523" t="s">
        <v>60</v>
      </c>
      <c r="G1523" t="s">
        <v>42</v>
      </c>
      <c r="H1523" t="s">
        <v>234</v>
      </c>
      <c r="I1523">
        <v>2</v>
      </c>
      <c r="J1523">
        <v>60.6</v>
      </c>
      <c r="K1523">
        <v>10</v>
      </c>
      <c r="L1523">
        <v>109.08</v>
      </c>
      <c r="M1523">
        <v>10.52</v>
      </c>
      <c r="N1523">
        <v>25.84</v>
      </c>
      <c r="O1523" t="s">
        <v>34</v>
      </c>
      <c r="P1523">
        <v>2025</v>
      </c>
      <c r="Q1523" t="s">
        <v>3640</v>
      </c>
      <c r="R1523">
        <v>98.171999999999997</v>
      </c>
      <c r="S1523">
        <v>0.26321150633581902</v>
      </c>
      <c r="T1523" t="s">
        <v>3632</v>
      </c>
      <c r="U1523" t="s">
        <v>3633</v>
      </c>
    </row>
    <row r="1524" spans="1:21" x14ac:dyDescent="0.25">
      <c r="A1524" t="s">
        <v>2856</v>
      </c>
      <c r="B1524" s="1">
        <v>45780</v>
      </c>
      <c r="C1524" t="s">
        <v>2857</v>
      </c>
      <c r="D1524" t="s">
        <v>30</v>
      </c>
      <c r="E1524" t="s">
        <v>85</v>
      </c>
      <c r="F1524" t="s">
        <v>60</v>
      </c>
      <c r="G1524" t="s">
        <v>42</v>
      </c>
      <c r="H1524" t="s">
        <v>43</v>
      </c>
      <c r="I1524">
        <v>5</v>
      </c>
      <c r="J1524">
        <v>166.65</v>
      </c>
      <c r="K1524">
        <v>5</v>
      </c>
      <c r="L1524">
        <v>791.59</v>
      </c>
      <c r="M1524">
        <v>13.99</v>
      </c>
      <c r="N1524">
        <v>277.64999999999998</v>
      </c>
      <c r="O1524" t="s">
        <v>56</v>
      </c>
      <c r="P1524">
        <v>2025</v>
      </c>
      <c r="Q1524" t="s">
        <v>3640</v>
      </c>
      <c r="R1524">
        <v>752.01049999999998</v>
      </c>
      <c r="S1524">
        <v>0.369210270335321</v>
      </c>
      <c r="T1524" t="s">
        <v>3635</v>
      </c>
      <c r="U1524" t="s">
        <v>3633</v>
      </c>
    </row>
    <row r="1525" spans="1:21" x14ac:dyDescent="0.25">
      <c r="A1525" t="s">
        <v>2858</v>
      </c>
      <c r="B1525" s="1">
        <v>45781</v>
      </c>
      <c r="C1525" t="s">
        <v>2859</v>
      </c>
      <c r="D1525" t="s">
        <v>30</v>
      </c>
      <c r="E1525" t="s">
        <v>37</v>
      </c>
      <c r="F1525" t="s">
        <v>26</v>
      </c>
      <c r="G1525" t="s">
        <v>32</v>
      </c>
      <c r="H1525" t="s">
        <v>82</v>
      </c>
      <c r="I1525">
        <v>6</v>
      </c>
      <c r="J1525">
        <v>12.86</v>
      </c>
      <c r="K1525">
        <v>15</v>
      </c>
      <c r="L1525">
        <v>65.59</v>
      </c>
      <c r="M1525">
        <v>16.27</v>
      </c>
      <c r="N1525">
        <v>14.6</v>
      </c>
      <c r="O1525" t="s">
        <v>34</v>
      </c>
      <c r="P1525">
        <v>2025</v>
      </c>
      <c r="Q1525" t="s">
        <v>3640</v>
      </c>
      <c r="R1525">
        <v>55.7515</v>
      </c>
      <c r="S1525">
        <v>0.26187636207097598</v>
      </c>
      <c r="T1525" t="s">
        <v>3634</v>
      </c>
      <c r="U1525" t="s">
        <v>3633</v>
      </c>
    </row>
    <row r="1526" spans="1:21" x14ac:dyDescent="0.25">
      <c r="A1526" t="s">
        <v>2860</v>
      </c>
      <c r="B1526" s="1">
        <v>45781</v>
      </c>
      <c r="C1526" t="s">
        <v>2861</v>
      </c>
      <c r="D1526" t="s">
        <v>49</v>
      </c>
      <c r="E1526" t="s">
        <v>248</v>
      </c>
      <c r="F1526" t="s">
        <v>26</v>
      </c>
      <c r="G1526" t="s">
        <v>20</v>
      </c>
      <c r="H1526" t="s">
        <v>27</v>
      </c>
      <c r="I1526">
        <v>5</v>
      </c>
      <c r="J1526">
        <v>53.7</v>
      </c>
      <c r="K1526">
        <v>5</v>
      </c>
      <c r="L1526">
        <v>255.07</v>
      </c>
      <c r="M1526">
        <v>19.21</v>
      </c>
      <c r="N1526">
        <v>88.18</v>
      </c>
      <c r="O1526" t="s">
        <v>39</v>
      </c>
      <c r="P1526">
        <v>2025</v>
      </c>
      <c r="Q1526" t="s">
        <v>3640</v>
      </c>
      <c r="R1526">
        <v>242.31649999999999</v>
      </c>
      <c r="S1526">
        <v>0.36390423268741501</v>
      </c>
      <c r="T1526" t="s">
        <v>3632</v>
      </c>
      <c r="U1526" t="s">
        <v>3633</v>
      </c>
    </row>
    <row r="1527" spans="1:21" x14ac:dyDescent="0.25">
      <c r="A1527" t="s">
        <v>2862</v>
      </c>
      <c r="B1527" s="1">
        <v>45781</v>
      </c>
      <c r="C1527" t="s">
        <v>1394</v>
      </c>
      <c r="D1527" t="s">
        <v>30</v>
      </c>
      <c r="E1527" t="s">
        <v>109</v>
      </c>
      <c r="F1527" t="s">
        <v>54</v>
      </c>
      <c r="G1527" t="s">
        <v>42</v>
      </c>
      <c r="H1527" t="s">
        <v>43</v>
      </c>
      <c r="I1527">
        <v>1</v>
      </c>
      <c r="J1527">
        <v>129.13999999999999</v>
      </c>
      <c r="K1527">
        <v>0</v>
      </c>
      <c r="L1527">
        <v>129.13999999999999</v>
      </c>
      <c r="M1527">
        <v>12.2</v>
      </c>
      <c r="N1527">
        <v>39.46</v>
      </c>
      <c r="O1527" t="s">
        <v>39</v>
      </c>
      <c r="P1527">
        <v>2025</v>
      </c>
      <c r="Q1527" t="s">
        <v>3640</v>
      </c>
      <c r="R1527">
        <v>129.13999999999999</v>
      </c>
      <c r="S1527">
        <v>0.30555985751897202</v>
      </c>
      <c r="T1527" t="s">
        <v>3632</v>
      </c>
      <c r="U1527" t="s">
        <v>3633</v>
      </c>
    </row>
    <row r="1528" spans="1:21" x14ac:dyDescent="0.25">
      <c r="A1528" t="s">
        <v>2863</v>
      </c>
      <c r="B1528" s="1">
        <v>45781</v>
      </c>
      <c r="C1528" t="s">
        <v>2864</v>
      </c>
      <c r="D1528" t="s">
        <v>49</v>
      </c>
      <c r="E1528" t="s">
        <v>18</v>
      </c>
      <c r="F1528" t="s">
        <v>19</v>
      </c>
      <c r="G1528" t="s">
        <v>20</v>
      </c>
      <c r="H1528" t="s">
        <v>106</v>
      </c>
      <c r="I1528">
        <v>1</v>
      </c>
      <c r="J1528">
        <v>31.62</v>
      </c>
      <c r="K1528">
        <v>5</v>
      </c>
      <c r="L1528">
        <v>30.04</v>
      </c>
      <c r="M1528">
        <v>7.3</v>
      </c>
      <c r="N1528">
        <v>5.35</v>
      </c>
      <c r="O1528" t="s">
        <v>56</v>
      </c>
      <c r="P1528">
        <v>2025</v>
      </c>
      <c r="Q1528" t="s">
        <v>3640</v>
      </c>
      <c r="R1528">
        <v>28.538</v>
      </c>
      <c r="S1528">
        <v>0.18746933912677799</v>
      </c>
      <c r="T1528" t="s">
        <v>3634</v>
      </c>
      <c r="U1528" t="s">
        <v>3633</v>
      </c>
    </row>
    <row r="1529" spans="1:21" x14ac:dyDescent="0.25">
      <c r="A1529" t="s">
        <v>2865</v>
      </c>
      <c r="B1529" s="1">
        <v>45783</v>
      </c>
      <c r="C1529" t="s">
        <v>1958</v>
      </c>
      <c r="D1529" t="s">
        <v>30</v>
      </c>
      <c r="E1529" t="s">
        <v>129</v>
      </c>
      <c r="F1529" t="s">
        <v>19</v>
      </c>
      <c r="G1529" t="s">
        <v>20</v>
      </c>
      <c r="H1529" t="s">
        <v>170</v>
      </c>
      <c r="I1529">
        <v>8</v>
      </c>
      <c r="J1529">
        <v>56.61</v>
      </c>
      <c r="K1529">
        <v>10</v>
      </c>
      <c r="L1529">
        <v>407.59</v>
      </c>
      <c r="M1529">
        <v>12.04</v>
      </c>
      <c r="N1529">
        <v>146.47</v>
      </c>
      <c r="O1529" t="s">
        <v>34</v>
      </c>
      <c r="P1529">
        <v>2025</v>
      </c>
      <c r="Q1529" t="s">
        <v>3640</v>
      </c>
      <c r="R1529">
        <v>366.83100000000002</v>
      </c>
      <c r="S1529">
        <v>0.39928468422788699</v>
      </c>
      <c r="T1529" t="s">
        <v>3632</v>
      </c>
      <c r="U1529" t="s">
        <v>3633</v>
      </c>
    </row>
    <row r="1530" spans="1:21" x14ac:dyDescent="0.25">
      <c r="A1530" t="s">
        <v>2866</v>
      </c>
      <c r="B1530" s="1">
        <v>45783</v>
      </c>
      <c r="C1530" t="s">
        <v>2867</v>
      </c>
      <c r="D1530" t="s">
        <v>30</v>
      </c>
      <c r="E1530" t="s">
        <v>67</v>
      </c>
      <c r="F1530" t="s">
        <v>68</v>
      </c>
      <c r="G1530" t="s">
        <v>20</v>
      </c>
      <c r="H1530" t="s">
        <v>21</v>
      </c>
      <c r="I1530">
        <v>1</v>
      </c>
      <c r="J1530">
        <v>82.26</v>
      </c>
      <c r="K1530">
        <v>10</v>
      </c>
      <c r="L1530">
        <v>74.03</v>
      </c>
      <c r="M1530">
        <v>11.14</v>
      </c>
      <c r="N1530">
        <v>17.649999999999999</v>
      </c>
      <c r="O1530" t="s">
        <v>34</v>
      </c>
      <c r="P1530">
        <v>2025</v>
      </c>
      <c r="Q1530" t="s">
        <v>3640</v>
      </c>
      <c r="R1530">
        <v>66.626999999999995</v>
      </c>
      <c r="S1530">
        <v>0.26490762003391999</v>
      </c>
      <c r="T1530" t="s">
        <v>3634</v>
      </c>
      <c r="U1530" t="s">
        <v>3633</v>
      </c>
    </row>
    <row r="1531" spans="1:21" x14ac:dyDescent="0.25">
      <c r="A1531" t="s">
        <v>2868</v>
      </c>
      <c r="B1531" s="1">
        <v>45783</v>
      </c>
      <c r="C1531" t="s">
        <v>2869</v>
      </c>
      <c r="D1531" t="s">
        <v>30</v>
      </c>
      <c r="E1531" t="s">
        <v>121</v>
      </c>
      <c r="F1531" t="s">
        <v>68</v>
      </c>
      <c r="G1531" t="s">
        <v>69</v>
      </c>
      <c r="H1531" t="s">
        <v>305</v>
      </c>
      <c r="I1531">
        <v>1</v>
      </c>
      <c r="J1531">
        <v>29.71</v>
      </c>
      <c r="K1531">
        <v>0</v>
      </c>
      <c r="L1531">
        <v>29.71</v>
      </c>
      <c r="M1531">
        <v>11.72</v>
      </c>
      <c r="N1531">
        <v>3.13</v>
      </c>
      <c r="O1531" t="s">
        <v>39</v>
      </c>
      <c r="P1531">
        <v>2025</v>
      </c>
      <c r="Q1531" t="s">
        <v>3640</v>
      </c>
      <c r="R1531">
        <v>29.71</v>
      </c>
      <c r="S1531">
        <v>0.10535173342309</v>
      </c>
      <c r="T1531" t="s">
        <v>3634</v>
      </c>
      <c r="U1531" t="s">
        <v>3633</v>
      </c>
    </row>
    <row r="1532" spans="1:21" x14ac:dyDescent="0.25">
      <c r="A1532" t="s">
        <v>2870</v>
      </c>
      <c r="B1532" s="1">
        <v>45783</v>
      </c>
      <c r="C1532" t="s">
        <v>2871</v>
      </c>
      <c r="D1532" t="s">
        <v>30</v>
      </c>
      <c r="E1532" t="s">
        <v>129</v>
      </c>
      <c r="F1532" t="s">
        <v>19</v>
      </c>
      <c r="G1532" t="s">
        <v>20</v>
      </c>
      <c r="H1532" t="s">
        <v>122</v>
      </c>
      <c r="I1532">
        <v>4</v>
      </c>
      <c r="J1532">
        <v>144.04</v>
      </c>
      <c r="K1532">
        <v>15</v>
      </c>
      <c r="L1532">
        <v>489.74</v>
      </c>
      <c r="M1532">
        <v>9.35</v>
      </c>
      <c r="N1532">
        <v>163.5</v>
      </c>
      <c r="O1532" t="s">
        <v>39</v>
      </c>
      <c r="P1532">
        <v>2025</v>
      </c>
      <c r="Q1532" t="s">
        <v>3640</v>
      </c>
      <c r="R1532">
        <v>416.279</v>
      </c>
      <c r="S1532">
        <v>0.39276542895510003</v>
      </c>
      <c r="T1532" t="s">
        <v>3632</v>
      </c>
      <c r="U1532" t="s">
        <v>3633</v>
      </c>
    </row>
    <row r="1533" spans="1:21" x14ac:dyDescent="0.25">
      <c r="A1533" t="s">
        <v>2872</v>
      </c>
      <c r="B1533" s="1">
        <v>45784</v>
      </c>
      <c r="C1533" t="s">
        <v>2873</v>
      </c>
      <c r="D1533" t="s">
        <v>17</v>
      </c>
      <c r="E1533" t="s">
        <v>18</v>
      </c>
      <c r="F1533" t="s">
        <v>19</v>
      </c>
      <c r="G1533" t="s">
        <v>69</v>
      </c>
      <c r="H1533" t="s">
        <v>243</v>
      </c>
      <c r="I1533">
        <v>11</v>
      </c>
      <c r="J1533">
        <v>46.45</v>
      </c>
      <c r="K1533">
        <v>5</v>
      </c>
      <c r="L1533">
        <v>485.4</v>
      </c>
      <c r="M1533">
        <v>10.89</v>
      </c>
      <c r="N1533">
        <v>219.03</v>
      </c>
      <c r="O1533" t="s">
        <v>39</v>
      </c>
      <c r="P1533">
        <v>2025</v>
      </c>
      <c r="Q1533" t="s">
        <v>3640</v>
      </c>
      <c r="R1533">
        <v>461.13</v>
      </c>
      <c r="S1533">
        <v>0.47498536204540998</v>
      </c>
      <c r="T1533" t="s">
        <v>3632</v>
      </c>
      <c r="U1533" t="s">
        <v>3633</v>
      </c>
    </row>
    <row r="1534" spans="1:21" x14ac:dyDescent="0.25">
      <c r="A1534" t="s">
        <v>2874</v>
      </c>
      <c r="B1534" s="1">
        <v>45784</v>
      </c>
      <c r="C1534" t="s">
        <v>2875</v>
      </c>
      <c r="D1534" t="s">
        <v>30</v>
      </c>
      <c r="E1534" t="s">
        <v>148</v>
      </c>
      <c r="F1534" t="s">
        <v>60</v>
      </c>
      <c r="G1534" t="s">
        <v>42</v>
      </c>
      <c r="H1534" t="s">
        <v>294</v>
      </c>
      <c r="I1534">
        <v>1</v>
      </c>
      <c r="J1534">
        <v>215.75</v>
      </c>
      <c r="K1534">
        <v>5</v>
      </c>
      <c r="L1534">
        <v>204.96</v>
      </c>
      <c r="M1534">
        <v>10.58</v>
      </c>
      <c r="N1534">
        <v>64.930000000000007</v>
      </c>
      <c r="O1534" t="s">
        <v>34</v>
      </c>
      <c r="P1534">
        <v>2025</v>
      </c>
      <c r="Q1534" t="s">
        <v>3640</v>
      </c>
      <c r="R1534">
        <v>194.71199999999999</v>
      </c>
      <c r="S1534">
        <v>0.33346686388101399</v>
      </c>
      <c r="T1534" t="s">
        <v>3632</v>
      </c>
      <c r="U1534" t="s">
        <v>3633</v>
      </c>
    </row>
    <row r="1535" spans="1:21" x14ac:dyDescent="0.25">
      <c r="A1535" t="s">
        <v>2876</v>
      </c>
      <c r="B1535" s="1">
        <v>45785</v>
      </c>
      <c r="C1535" t="s">
        <v>1111</v>
      </c>
      <c r="D1535" t="s">
        <v>30</v>
      </c>
      <c r="E1535" t="s">
        <v>148</v>
      </c>
      <c r="F1535" t="s">
        <v>60</v>
      </c>
      <c r="G1535" t="s">
        <v>32</v>
      </c>
      <c r="H1535" t="s">
        <v>115</v>
      </c>
      <c r="I1535">
        <v>4</v>
      </c>
      <c r="J1535">
        <v>18.399999999999999</v>
      </c>
      <c r="K1535">
        <v>15</v>
      </c>
      <c r="L1535">
        <v>62.56</v>
      </c>
      <c r="M1535">
        <v>15.93</v>
      </c>
      <c r="N1535">
        <v>13.51</v>
      </c>
      <c r="O1535" t="s">
        <v>22</v>
      </c>
      <c r="P1535">
        <v>2025</v>
      </c>
      <c r="Q1535" t="s">
        <v>3640</v>
      </c>
      <c r="R1535">
        <v>53.176000000000002</v>
      </c>
      <c r="S1535">
        <v>0.25406198284940601</v>
      </c>
      <c r="T1535" t="s">
        <v>3634</v>
      </c>
      <c r="U1535" t="s">
        <v>3633</v>
      </c>
    </row>
    <row r="1536" spans="1:21" x14ac:dyDescent="0.25">
      <c r="A1536" t="s">
        <v>2877</v>
      </c>
      <c r="B1536" s="1">
        <v>45785</v>
      </c>
      <c r="C1536" t="s">
        <v>2878</v>
      </c>
      <c r="D1536" t="s">
        <v>17</v>
      </c>
      <c r="E1536" t="s">
        <v>135</v>
      </c>
      <c r="F1536" t="s">
        <v>26</v>
      </c>
      <c r="G1536" t="s">
        <v>42</v>
      </c>
      <c r="H1536" t="s">
        <v>294</v>
      </c>
      <c r="I1536">
        <v>4</v>
      </c>
      <c r="J1536">
        <v>250.2</v>
      </c>
      <c r="K1536">
        <v>5</v>
      </c>
      <c r="L1536">
        <v>950.76</v>
      </c>
      <c r="M1536">
        <v>13.7</v>
      </c>
      <c r="N1536">
        <v>336.58</v>
      </c>
      <c r="O1536" t="s">
        <v>39</v>
      </c>
      <c r="P1536">
        <v>2025</v>
      </c>
      <c r="Q1536" t="s">
        <v>3640</v>
      </c>
      <c r="R1536">
        <v>903.22199999999998</v>
      </c>
      <c r="S1536">
        <v>0.37264371328422002</v>
      </c>
      <c r="T1536" t="s">
        <v>3635</v>
      </c>
      <c r="U1536" t="s">
        <v>3633</v>
      </c>
    </row>
    <row r="1537" spans="1:21" x14ac:dyDescent="0.25">
      <c r="A1537" t="s">
        <v>2879</v>
      </c>
      <c r="B1537" s="1">
        <v>45785</v>
      </c>
      <c r="C1537" t="s">
        <v>1160</v>
      </c>
      <c r="D1537" t="s">
        <v>30</v>
      </c>
      <c r="E1537" t="s">
        <v>169</v>
      </c>
      <c r="F1537" t="s">
        <v>68</v>
      </c>
      <c r="G1537" t="s">
        <v>32</v>
      </c>
      <c r="H1537" t="s">
        <v>115</v>
      </c>
      <c r="I1537">
        <v>7</v>
      </c>
      <c r="J1537">
        <v>17.16</v>
      </c>
      <c r="K1537">
        <v>0</v>
      </c>
      <c r="L1537">
        <v>120.12</v>
      </c>
      <c r="M1537">
        <v>18.68</v>
      </c>
      <c r="N1537">
        <v>47.39</v>
      </c>
      <c r="O1537" t="s">
        <v>39</v>
      </c>
      <c r="P1537">
        <v>2025</v>
      </c>
      <c r="Q1537" t="s">
        <v>3640</v>
      </c>
      <c r="R1537">
        <v>120.12</v>
      </c>
      <c r="S1537">
        <v>0.39452214452214401</v>
      </c>
      <c r="T1537" t="s">
        <v>3632</v>
      </c>
      <c r="U1537" t="s">
        <v>3633</v>
      </c>
    </row>
    <row r="1538" spans="1:21" x14ac:dyDescent="0.25">
      <c r="A1538" t="s">
        <v>2880</v>
      </c>
      <c r="B1538" s="1">
        <v>45785</v>
      </c>
      <c r="C1538" t="s">
        <v>2881</v>
      </c>
      <c r="D1538" t="s">
        <v>49</v>
      </c>
      <c r="E1538" t="s">
        <v>166</v>
      </c>
      <c r="F1538" t="s">
        <v>60</v>
      </c>
      <c r="G1538" t="s">
        <v>32</v>
      </c>
      <c r="H1538" t="s">
        <v>82</v>
      </c>
      <c r="I1538">
        <v>3</v>
      </c>
      <c r="J1538">
        <v>18.940000000000001</v>
      </c>
      <c r="K1538">
        <v>5</v>
      </c>
      <c r="L1538">
        <v>53.98</v>
      </c>
      <c r="M1538">
        <v>14.46</v>
      </c>
      <c r="N1538">
        <v>13.95</v>
      </c>
      <c r="O1538" t="s">
        <v>34</v>
      </c>
      <c r="P1538">
        <v>2025</v>
      </c>
      <c r="Q1538" t="s">
        <v>3640</v>
      </c>
      <c r="R1538">
        <v>51.280999999999999</v>
      </c>
      <c r="S1538">
        <v>0.27203057662682101</v>
      </c>
      <c r="T1538" t="s">
        <v>3634</v>
      </c>
      <c r="U1538" t="s">
        <v>3633</v>
      </c>
    </row>
    <row r="1539" spans="1:21" x14ac:dyDescent="0.25">
      <c r="A1539" t="s">
        <v>2882</v>
      </c>
      <c r="B1539" s="1">
        <v>45785</v>
      </c>
      <c r="C1539" t="s">
        <v>2883</v>
      </c>
      <c r="D1539" t="s">
        <v>30</v>
      </c>
      <c r="E1539" t="s">
        <v>59</v>
      </c>
      <c r="F1539" t="s">
        <v>60</v>
      </c>
      <c r="G1539" t="s">
        <v>20</v>
      </c>
      <c r="H1539" t="s">
        <v>199</v>
      </c>
      <c r="I1539">
        <v>2</v>
      </c>
      <c r="J1539">
        <v>45.23</v>
      </c>
      <c r="K1539">
        <v>10</v>
      </c>
      <c r="L1539">
        <v>81.41</v>
      </c>
      <c r="M1539">
        <v>12.87</v>
      </c>
      <c r="N1539">
        <v>18.79</v>
      </c>
      <c r="O1539" t="s">
        <v>39</v>
      </c>
      <c r="P1539">
        <v>2025</v>
      </c>
      <c r="Q1539" t="s">
        <v>3640</v>
      </c>
      <c r="R1539">
        <v>73.269000000000005</v>
      </c>
      <c r="S1539">
        <v>0.25645225129318</v>
      </c>
      <c r="T1539" t="s">
        <v>3634</v>
      </c>
      <c r="U1539" t="s">
        <v>3633</v>
      </c>
    </row>
    <row r="1540" spans="1:21" x14ac:dyDescent="0.25">
      <c r="A1540" t="s">
        <v>2884</v>
      </c>
      <c r="B1540" s="1">
        <v>45786</v>
      </c>
      <c r="C1540" t="s">
        <v>2885</v>
      </c>
      <c r="D1540" t="s">
        <v>30</v>
      </c>
      <c r="E1540" t="s">
        <v>148</v>
      </c>
      <c r="F1540" t="s">
        <v>60</v>
      </c>
      <c r="G1540" t="s">
        <v>20</v>
      </c>
      <c r="H1540" t="s">
        <v>175</v>
      </c>
      <c r="I1540">
        <v>7</v>
      </c>
      <c r="J1540">
        <v>26.13</v>
      </c>
      <c r="K1540">
        <v>15</v>
      </c>
      <c r="L1540">
        <v>155.47</v>
      </c>
      <c r="M1540">
        <v>14.74</v>
      </c>
      <c r="N1540">
        <v>40.130000000000003</v>
      </c>
      <c r="O1540" t="s">
        <v>39</v>
      </c>
      <c r="P1540">
        <v>2025</v>
      </c>
      <c r="Q1540" t="s">
        <v>3640</v>
      </c>
      <c r="R1540">
        <v>132.14949999999999</v>
      </c>
      <c r="S1540">
        <v>0.30367122085214099</v>
      </c>
      <c r="T1540" t="s">
        <v>3632</v>
      </c>
      <c r="U1540" t="s">
        <v>3633</v>
      </c>
    </row>
    <row r="1541" spans="1:21" x14ac:dyDescent="0.25">
      <c r="A1541" t="s">
        <v>2886</v>
      </c>
      <c r="B1541" s="1">
        <v>45786</v>
      </c>
      <c r="C1541" t="s">
        <v>2887</v>
      </c>
      <c r="D1541" t="s">
        <v>30</v>
      </c>
      <c r="E1541" t="s">
        <v>31</v>
      </c>
      <c r="F1541" t="s">
        <v>19</v>
      </c>
      <c r="G1541" t="s">
        <v>69</v>
      </c>
      <c r="H1541" t="s">
        <v>79</v>
      </c>
      <c r="I1541">
        <v>3</v>
      </c>
      <c r="J1541">
        <v>37.700000000000003</v>
      </c>
      <c r="K1541">
        <v>10</v>
      </c>
      <c r="L1541">
        <v>101.79</v>
      </c>
      <c r="M1541">
        <v>6.73</v>
      </c>
      <c r="N1541">
        <v>38.51</v>
      </c>
      <c r="O1541" t="s">
        <v>56</v>
      </c>
      <c r="P1541">
        <v>2025</v>
      </c>
      <c r="Q1541" t="s">
        <v>3640</v>
      </c>
      <c r="R1541">
        <v>91.611000000000004</v>
      </c>
      <c r="S1541">
        <v>0.42036436672451999</v>
      </c>
      <c r="T1541" t="s">
        <v>3632</v>
      </c>
      <c r="U1541" t="s">
        <v>3633</v>
      </c>
    </row>
    <row r="1542" spans="1:21" x14ac:dyDescent="0.25">
      <c r="A1542" t="s">
        <v>2888</v>
      </c>
      <c r="B1542" s="1">
        <v>45786</v>
      </c>
      <c r="C1542" t="s">
        <v>1150</v>
      </c>
      <c r="D1542" t="s">
        <v>30</v>
      </c>
      <c r="E1542" t="s">
        <v>121</v>
      </c>
      <c r="F1542" t="s">
        <v>68</v>
      </c>
      <c r="G1542" t="s">
        <v>69</v>
      </c>
      <c r="H1542" t="s">
        <v>98</v>
      </c>
      <c r="I1542">
        <v>2</v>
      </c>
      <c r="J1542">
        <v>26.13</v>
      </c>
      <c r="K1542">
        <v>0</v>
      </c>
      <c r="L1542">
        <v>52.26</v>
      </c>
      <c r="M1542">
        <v>14.83</v>
      </c>
      <c r="N1542">
        <v>11.3</v>
      </c>
      <c r="O1542" t="s">
        <v>39</v>
      </c>
      <c r="P1542">
        <v>2025</v>
      </c>
      <c r="Q1542" t="s">
        <v>3640</v>
      </c>
      <c r="R1542">
        <v>52.26</v>
      </c>
      <c r="S1542">
        <v>0.216226559510142</v>
      </c>
      <c r="T1542" t="s">
        <v>3634</v>
      </c>
      <c r="U1542" t="s">
        <v>3633</v>
      </c>
    </row>
    <row r="1543" spans="1:21" x14ac:dyDescent="0.25">
      <c r="A1543" t="s">
        <v>2889</v>
      </c>
      <c r="B1543" s="1">
        <v>45787</v>
      </c>
      <c r="C1543" t="s">
        <v>2890</v>
      </c>
      <c r="D1543" t="s">
        <v>17</v>
      </c>
      <c r="E1543" t="s">
        <v>135</v>
      </c>
      <c r="F1543" t="s">
        <v>26</v>
      </c>
      <c r="G1543" t="s">
        <v>42</v>
      </c>
      <c r="H1543" t="s">
        <v>64</v>
      </c>
      <c r="I1543">
        <v>1</v>
      </c>
      <c r="J1543">
        <v>125.15</v>
      </c>
      <c r="K1543">
        <v>20</v>
      </c>
      <c r="L1543">
        <v>100.12</v>
      </c>
      <c r="M1543">
        <v>8.65</v>
      </c>
      <c r="N1543">
        <v>16.38</v>
      </c>
      <c r="O1543" t="s">
        <v>39</v>
      </c>
      <c r="P1543">
        <v>2025</v>
      </c>
      <c r="Q1543" t="s">
        <v>3640</v>
      </c>
      <c r="R1543">
        <v>80.096000000000004</v>
      </c>
      <c r="S1543">
        <v>0.20450459448661601</v>
      </c>
      <c r="T1543" t="s">
        <v>3632</v>
      </c>
      <c r="U1543" t="s">
        <v>3633</v>
      </c>
    </row>
    <row r="1544" spans="1:21" x14ac:dyDescent="0.25">
      <c r="A1544" t="s">
        <v>2891</v>
      </c>
      <c r="B1544" s="1">
        <v>45787</v>
      </c>
      <c r="C1544" t="s">
        <v>2892</v>
      </c>
      <c r="D1544" t="s">
        <v>30</v>
      </c>
      <c r="E1544" t="s">
        <v>135</v>
      </c>
      <c r="F1544" t="s">
        <v>26</v>
      </c>
      <c r="G1544" t="s">
        <v>42</v>
      </c>
      <c r="H1544" t="s">
        <v>294</v>
      </c>
      <c r="I1544">
        <v>8</v>
      </c>
      <c r="J1544">
        <v>184.19</v>
      </c>
      <c r="K1544">
        <v>5</v>
      </c>
      <c r="L1544">
        <v>1399.84</v>
      </c>
      <c r="M1544">
        <v>12.28</v>
      </c>
      <c r="N1544">
        <v>503.45</v>
      </c>
      <c r="O1544" t="s">
        <v>22</v>
      </c>
      <c r="P1544">
        <v>2025</v>
      </c>
      <c r="Q1544" t="s">
        <v>3640</v>
      </c>
      <c r="R1544">
        <v>1329.848</v>
      </c>
      <c r="S1544">
        <v>0.378577100540814</v>
      </c>
      <c r="T1544" t="s">
        <v>3635</v>
      </c>
      <c r="U1544" t="s">
        <v>3633</v>
      </c>
    </row>
    <row r="1545" spans="1:21" x14ac:dyDescent="0.25">
      <c r="A1545" t="s">
        <v>2893</v>
      </c>
      <c r="B1545" s="1">
        <v>45788</v>
      </c>
      <c r="C1545" t="s">
        <v>2894</v>
      </c>
      <c r="D1545" t="s">
        <v>30</v>
      </c>
      <c r="E1545" t="s">
        <v>166</v>
      </c>
      <c r="F1545" t="s">
        <v>60</v>
      </c>
      <c r="G1545" t="s">
        <v>32</v>
      </c>
      <c r="H1545" t="s">
        <v>101</v>
      </c>
      <c r="I1545">
        <v>3</v>
      </c>
      <c r="J1545">
        <v>11.95</v>
      </c>
      <c r="K1545">
        <v>5</v>
      </c>
      <c r="L1545">
        <v>34.06</v>
      </c>
      <c r="M1545">
        <v>11.21</v>
      </c>
      <c r="N1545">
        <v>6.72</v>
      </c>
      <c r="O1545" t="s">
        <v>34</v>
      </c>
      <c r="P1545">
        <v>2025</v>
      </c>
      <c r="Q1545" t="s">
        <v>3640</v>
      </c>
      <c r="R1545">
        <v>32.356999999999999</v>
      </c>
      <c r="S1545">
        <v>0.207683036128195</v>
      </c>
      <c r="T1545" t="s">
        <v>3634</v>
      </c>
      <c r="U1545" t="s">
        <v>3633</v>
      </c>
    </row>
    <row r="1546" spans="1:21" x14ac:dyDescent="0.25">
      <c r="A1546" t="s">
        <v>2895</v>
      </c>
      <c r="B1546" s="1">
        <v>45788</v>
      </c>
      <c r="C1546" t="s">
        <v>2896</v>
      </c>
      <c r="D1546" t="s">
        <v>17</v>
      </c>
      <c r="E1546" t="s">
        <v>121</v>
      </c>
      <c r="F1546" t="s">
        <v>68</v>
      </c>
      <c r="G1546" t="s">
        <v>32</v>
      </c>
      <c r="H1546" t="s">
        <v>101</v>
      </c>
      <c r="I1546">
        <v>1</v>
      </c>
      <c r="J1546">
        <v>6.93</v>
      </c>
      <c r="K1546">
        <v>10</v>
      </c>
      <c r="L1546">
        <v>6.24</v>
      </c>
      <c r="M1546">
        <v>12.29</v>
      </c>
      <c r="N1546">
        <v>-9.17</v>
      </c>
      <c r="O1546" t="s">
        <v>39</v>
      </c>
      <c r="P1546">
        <v>2025</v>
      </c>
      <c r="Q1546" t="s">
        <v>3640</v>
      </c>
      <c r="R1546">
        <v>5.6159999999999997</v>
      </c>
      <c r="S1546">
        <v>-1.63283475783476</v>
      </c>
      <c r="T1546" t="s">
        <v>3634</v>
      </c>
      <c r="U1546" t="s">
        <v>3636</v>
      </c>
    </row>
    <row r="1547" spans="1:21" x14ac:dyDescent="0.25">
      <c r="A1547" t="s">
        <v>2897</v>
      </c>
      <c r="B1547" s="1">
        <v>45789</v>
      </c>
      <c r="C1547" t="s">
        <v>2898</v>
      </c>
      <c r="D1547" t="s">
        <v>30</v>
      </c>
      <c r="E1547" t="s">
        <v>129</v>
      </c>
      <c r="F1547" t="s">
        <v>19</v>
      </c>
      <c r="G1547" t="s">
        <v>32</v>
      </c>
      <c r="H1547" t="s">
        <v>50</v>
      </c>
      <c r="I1547">
        <v>1</v>
      </c>
      <c r="J1547">
        <v>10.73</v>
      </c>
      <c r="K1547">
        <v>5</v>
      </c>
      <c r="L1547">
        <v>10.19</v>
      </c>
      <c r="M1547">
        <v>6.83</v>
      </c>
      <c r="N1547">
        <v>-1.47</v>
      </c>
      <c r="O1547" t="s">
        <v>34</v>
      </c>
      <c r="P1547">
        <v>2025</v>
      </c>
      <c r="Q1547" t="s">
        <v>3640</v>
      </c>
      <c r="R1547">
        <v>9.6805000000000003</v>
      </c>
      <c r="S1547">
        <v>-0.15185166055472299</v>
      </c>
      <c r="T1547" t="s">
        <v>3634</v>
      </c>
      <c r="U1547" t="s">
        <v>3636</v>
      </c>
    </row>
    <row r="1548" spans="1:21" x14ac:dyDescent="0.25">
      <c r="A1548" t="s">
        <v>2899</v>
      </c>
      <c r="B1548" s="1">
        <v>45789</v>
      </c>
      <c r="C1548" t="s">
        <v>2362</v>
      </c>
      <c r="D1548" t="s">
        <v>17</v>
      </c>
      <c r="E1548" t="s">
        <v>129</v>
      </c>
      <c r="F1548" t="s">
        <v>19</v>
      </c>
      <c r="G1548" t="s">
        <v>69</v>
      </c>
      <c r="H1548" t="s">
        <v>70</v>
      </c>
      <c r="I1548">
        <v>2</v>
      </c>
      <c r="J1548">
        <v>51.67</v>
      </c>
      <c r="K1548">
        <v>10</v>
      </c>
      <c r="L1548">
        <v>93.01</v>
      </c>
      <c r="M1548">
        <v>7.45</v>
      </c>
      <c r="N1548">
        <v>33.89</v>
      </c>
      <c r="O1548" t="s">
        <v>34</v>
      </c>
      <c r="P1548">
        <v>2025</v>
      </c>
      <c r="Q1548" t="s">
        <v>3640</v>
      </c>
      <c r="R1548">
        <v>83.709000000000003</v>
      </c>
      <c r="S1548">
        <v>0.40485491404747398</v>
      </c>
      <c r="T1548" t="s">
        <v>3634</v>
      </c>
      <c r="U1548" t="s">
        <v>3633</v>
      </c>
    </row>
    <row r="1549" spans="1:21" x14ac:dyDescent="0.25">
      <c r="A1549" t="s">
        <v>2900</v>
      </c>
      <c r="B1549" s="1">
        <v>45789</v>
      </c>
      <c r="C1549" t="s">
        <v>2901</v>
      </c>
      <c r="D1549" t="s">
        <v>30</v>
      </c>
      <c r="E1549" t="s">
        <v>25</v>
      </c>
      <c r="F1549" t="s">
        <v>26</v>
      </c>
      <c r="G1549" t="s">
        <v>20</v>
      </c>
      <c r="H1549" t="s">
        <v>264</v>
      </c>
      <c r="I1549">
        <v>1</v>
      </c>
      <c r="J1549">
        <v>38.97</v>
      </c>
      <c r="K1549">
        <v>0</v>
      </c>
      <c r="L1549">
        <v>38.97</v>
      </c>
      <c r="M1549">
        <v>8.5500000000000007</v>
      </c>
      <c r="N1549">
        <v>8.99</v>
      </c>
      <c r="O1549" t="s">
        <v>34</v>
      </c>
      <c r="P1549">
        <v>2025</v>
      </c>
      <c r="Q1549" t="s">
        <v>3640</v>
      </c>
      <c r="R1549">
        <v>38.97</v>
      </c>
      <c r="S1549">
        <v>0.23069027457018201</v>
      </c>
      <c r="T1549" t="s">
        <v>3634</v>
      </c>
      <c r="U1549" t="s">
        <v>3633</v>
      </c>
    </row>
    <row r="1550" spans="1:21" x14ac:dyDescent="0.25">
      <c r="A1550" t="s">
        <v>2902</v>
      </c>
      <c r="B1550" s="1">
        <v>45790</v>
      </c>
      <c r="C1550" t="s">
        <v>1231</v>
      </c>
      <c r="D1550" t="s">
        <v>30</v>
      </c>
      <c r="E1550" t="s">
        <v>85</v>
      </c>
      <c r="F1550" t="s">
        <v>60</v>
      </c>
      <c r="G1550" t="s">
        <v>32</v>
      </c>
      <c r="H1550" t="s">
        <v>33</v>
      </c>
      <c r="I1550">
        <v>2</v>
      </c>
      <c r="J1550">
        <v>8.5</v>
      </c>
      <c r="K1550">
        <v>0</v>
      </c>
      <c r="L1550">
        <v>17</v>
      </c>
      <c r="M1550">
        <v>13.21</v>
      </c>
      <c r="N1550">
        <v>-3.86</v>
      </c>
      <c r="O1550" t="s">
        <v>39</v>
      </c>
      <c r="P1550">
        <v>2025</v>
      </c>
      <c r="Q1550" t="s">
        <v>3640</v>
      </c>
      <c r="R1550">
        <v>17</v>
      </c>
      <c r="S1550">
        <v>-0.22705882352941201</v>
      </c>
      <c r="T1550" t="s">
        <v>3634</v>
      </c>
      <c r="U1550" t="s">
        <v>3636</v>
      </c>
    </row>
    <row r="1551" spans="1:21" x14ac:dyDescent="0.25">
      <c r="A1551" t="s">
        <v>2903</v>
      </c>
      <c r="B1551" s="1">
        <v>45790</v>
      </c>
      <c r="C1551" t="s">
        <v>591</v>
      </c>
      <c r="D1551" t="s">
        <v>17</v>
      </c>
      <c r="E1551" t="s">
        <v>18</v>
      </c>
      <c r="F1551" t="s">
        <v>19</v>
      </c>
      <c r="G1551" t="s">
        <v>69</v>
      </c>
      <c r="H1551" t="s">
        <v>86</v>
      </c>
      <c r="I1551">
        <v>1</v>
      </c>
      <c r="J1551">
        <v>79.180000000000007</v>
      </c>
      <c r="K1551">
        <v>15</v>
      </c>
      <c r="L1551">
        <v>67.3</v>
      </c>
      <c r="M1551">
        <v>6.58</v>
      </c>
      <c r="N1551">
        <v>21.13</v>
      </c>
      <c r="O1551" t="s">
        <v>22</v>
      </c>
      <c r="P1551">
        <v>2025</v>
      </c>
      <c r="Q1551" t="s">
        <v>3640</v>
      </c>
      <c r="R1551">
        <v>57.204999999999998</v>
      </c>
      <c r="S1551">
        <v>0.36937330652915001</v>
      </c>
      <c r="T1551" t="s">
        <v>3634</v>
      </c>
      <c r="U1551" t="s">
        <v>3633</v>
      </c>
    </row>
    <row r="1552" spans="1:21" x14ac:dyDescent="0.25">
      <c r="A1552" t="s">
        <v>2904</v>
      </c>
      <c r="B1552" s="1">
        <v>45790</v>
      </c>
      <c r="C1552" t="s">
        <v>2905</v>
      </c>
      <c r="D1552" t="s">
        <v>49</v>
      </c>
      <c r="E1552" t="s">
        <v>85</v>
      </c>
      <c r="F1552" t="s">
        <v>60</v>
      </c>
      <c r="G1552" t="s">
        <v>69</v>
      </c>
      <c r="H1552" t="s">
        <v>98</v>
      </c>
      <c r="I1552">
        <v>4</v>
      </c>
      <c r="J1552">
        <v>40.98</v>
      </c>
      <c r="K1552">
        <v>10</v>
      </c>
      <c r="L1552">
        <v>147.53</v>
      </c>
      <c r="M1552">
        <v>16.39</v>
      </c>
      <c r="N1552">
        <v>49.18</v>
      </c>
      <c r="O1552" t="s">
        <v>56</v>
      </c>
      <c r="P1552">
        <v>2025</v>
      </c>
      <c r="Q1552" t="s">
        <v>3640</v>
      </c>
      <c r="R1552">
        <v>132.77699999999999</v>
      </c>
      <c r="S1552">
        <v>0.37039547511993798</v>
      </c>
      <c r="T1552" t="s">
        <v>3632</v>
      </c>
      <c r="U1552" t="s">
        <v>3633</v>
      </c>
    </row>
    <row r="1553" spans="1:21" x14ac:dyDescent="0.25">
      <c r="A1553" t="s">
        <v>2906</v>
      </c>
      <c r="B1553" s="1">
        <v>45790</v>
      </c>
      <c r="C1553" t="s">
        <v>498</v>
      </c>
      <c r="D1553" t="s">
        <v>30</v>
      </c>
      <c r="E1553" t="s">
        <v>135</v>
      </c>
      <c r="F1553" t="s">
        <v>26</v>
      </c>
      <c r="G1553" t="s">
        <v>69</v>
      </c>
      <c r="H1553" t="s">
        <v>305</v>
      </c>
      <c r="I1553">
        <v>2</v>
      </c>
      <c r="J1553">
        <v>43.41</v>
      </c>
      <c r="K1553">
        <v>0</v>
      </c>
      <c r="L1553">
        <v>86.82</v>
      </c>
      <c r="M1553">
        <v>8.7100000000000009</v>
      </c>
      <c r="N1553">
        <v>34.700000000000003</v>
      </c>
      <c r="O1553" t="s">
        <v>34</v>
      </c>
      <c r="P1553">
        <v>2025</v>
      </c>
      <c r="Q1553" t="s">
        <v>3640</v>
      </c>
      <c r="R1553">
        <v>86.82</v>
      </c>
      <c r="S1553">
        <v>0.39967749366505401</v>
      </c>
      <c r="T1553" t="s">
        <v>3634</v>
      </c>
      <c r="U1553" t="s">
        <v>3633</v>
      </c>
    </row>
    <row r="1554" spans="1:21" x14ac:dyDescent="0.25">
      <c r="A1554" t="s">
        <v>2907</v>
      </c>
      <c r="B1554" s="1">
        <v>45790</v>
      </c>
      <c r="C1554" t="s">
        <v>1940</v>
      </c>
      <c r="D1554" t="s">
        <v>17</v>
      </c>
      <c r="E1554" t="s">
        <v>67</v>
      </c>
      <c r="F1554" t="s">
        <v>68</v>
      </c>
      <c r="G1554" t="s">
        <v>20</v>
      </c>
      <c r="H1554" t="s">
        <v>106</v>
      </c>
      <c r="I1554">
        <v>1</v>
      </c>
      <c r="J1554">
        <v>38.1</v>
      </c>
      <c r="K1554">
        <v>5</v>
      </c>
      <c r="L1554">
        <v>36.200000000000003</v>
      </c>
      <c r="M1554">
        <v>11.13</v>
      </c>
      <c r="N1554">
        <v>4.12</v>
      </c>
      <c r="O1554" t="s">
        <v>39</v>
      </c>
      <c r="P1554">
        <v>2025</v>
      </c>
      <c r="Q1554" t="s">
        <v>3640</v>
      </c>
      <c r="R1554">
        <v>34.39</v>
      </c>
      <c r="S1554">
        <v>0.119802268101192</v>
      </c>
      <c r="T1554" t="s">
        <v>3634</v>
      </c>
      <c r="U1554" t="s">
        <v>3633</v>
      </c>
    </row>
    <row r="1555" spans="1:21" x14ac:dyDescent="0.25">
      <c r="A1555" t="s">
        <v>2908</v>
      </c>
      <c r="B1555" s="1">
        <v>45790</v>
      </c>
      <c r="C1555" t="s">
        <v>2909</v>
      </c>
      <c r="D1555" t="s">
        <v>30</v>
      </c>
      <c r="E1555" t="s">
        <v>63</v>
      </c>
      <c r="F1555" t="s">
        <v>54</v>
      </c>
      <c r="G1555" t="s">
        <v>69</v>
      </c>
      <c r="H1555" t="s">
        <v>160</v>
      </c>
      <c r="I1555">
        <v>4</v>
      </c>
      <c r="J1555">
        <v>14.92</v>
      </c>
      <c r="K1555">
        <v>5</v>
      </c>
      <c r="L1555">
        <v>56.7</v>
      </c>
      <c r="M1555">
        <v>15.14</v>
      </c>
      <c r="N1555">
        <v>11.72</v>
      </c>
      <c r="O1555" t="s">
        <v>34</v>
      </c>
      <c r="P1555">
        <v>2025</v>
      </c>
      <c r="Q1555" t="s">
        <v>3640</v>
      </c>
      <c r="R1555">
        <v>53.865000000000002</v>
      </c>
      <c r="S1555">
        <v>0.217580989510814</v>
      </c>
      <c r="T1555" t="s">
        <v>3634</v>
      </c>
      <c r="U1555" t="s">
        <v>3633</v>
      </c>
    </row>
    <row r="1556" spans="1:21" x14ac:dyDescent="0.25">
      <c r="A1556" t="s">
        <v>2910</v>
      </c>
      <c r="B1556" s="1">
        <v>45791</v>
      </c>
      <c r="C1556" t="s">
        <v>1711</v>
      </c>
      <c r="D1556" t="s">
        <v>30</v>
      </c>
      <c r="E1556" t="s">
        <v>138</v>
      </c>
      <c r="F1556" t="s">
        <v>54</v>
      </c>
      <c r="G1556" t="s">
        <v>42</v>
      </c>
      <c r="H1556" t="s">
        <v>46</v>
      </c>
      <c r="I1556">
        <v>2</v>
      </c>
      <c r="J1556">
        <v>122.78</v>
      </c>
      <c r="K1556">
        <v>15</v>
      </c>
      <c r="L1556">
        <v>208.73</v>
      </c>
      <c r="M1556">
        <v>15.69</v>
      </c>
      <c r="N1556">
        <v>45.7</v>
      </c>
      <c r="O1556" t="s">
        <v>34</v>
      </c>
      <c r="P1556">
        <v>2025</v>
      </c>
      <c r="Q1556" t="s">
        <v>3640</v>
      </c>
      <c r="R1556">
        <v>177.4205</v>
      </c>
      <c r="S1556">
        <v>0.257580155618996</v>
      </c>
      <c r="T1556" t="s">
        <v>3632</v>
      </c>
      <c r="U1556" t="s">
        <v>3633</v>
      </c>
    </row>
    <row r="1557" spans="1:21" x14ac:dyDescent="0.25">
      <c r="A1557" t="s">
        <v>2911</v>
      </c>
      <c r="B1557" s="1">
        <v>45792</v>
      </c>
      <c r="C1557" t="s">
        <v>2912</v>
      </c>
      <c r="D1557" t="s">
        <v>30</v>
      </c>
      <c r="E1557" t="s">
        <v>92</v>
      </c>
      <c r="F1557" t="s">
        <v>60</v>
      </c>
      <c r="G1557" t="s">
        <v>42</v>
      </c>
      <c r="H1557" t="s">
        <v>43</v>
      </c>
      <c r="I1557">
        <v>8</v>
      </c>
      <c r="J1557">
        <v>323.26</v>
      </c>
      <c r="K1557">
        <v>10</v>
      </c>
      <c r="L1557">
        <v>2327.4699999999998</v>
      </c>
      <c r="M1557">
        <v>15.77</v>
      </c>
      <c r="N1557">
        <v>760.05</v>
      </c>
      <c r="O1557" t="s">
        <v>39</v>
      </c>
      <c r="P1557">
        <v>2025</v>
      </c>
      <c r="Q1557" t="s">
        <v>3640</v>
      </c>
      <c r="R1557">
        <v>2094.723</v>
      </c>
      <c r="S1557">
        <v>0.36284033736202798</v>
      </c>
      <c r="T1557" t="s">
        <v>3635</v>
      </c>
      <c r="U1557" t="s">
        <v>3633</v>
      </c>
    </row>
    <row r="1558" spans="1:21" x14ac:dyDescent="0.25">
      <c r="A1558" t="s">
        <v>2913</v>
      </c>
      <c r="B1558" s="1">
        <v>45792</v>
      </c>
      <c r="C1558" t="s">
        <v>2145</v>
      </c>
      <c r="D1558" t="s">
        <v>17</v>
      </c>
      <c r="E1558" t="s">
        <v>85</v>
      </c>
      <c r="F1558" t="s">
        <v>60</v>
      </c>
      <c r="G1558" t="s">
        <v>32</v>
      </c>
      <c r="H1558" t="s">
        <v>132</v>
      </c>
      <c r="I1558">
        <v>9</v>
      </c>
      <c r="J1558">
        <v>18.45</v>
      </c>
      <c r="K1558">
        <v>15</v>
      </c>
      <c r="L1558">
        <v>141.13999999999999</v>
      </c>
      <c r="M1558">
        <v>31.4</v>
      </c>
      <c r="N1558">
        <v>35.020000000000003</v>
      </c>
      <c r="O1558" t="s">
        <v>34</v>
      </c>
      <c r="P1558">
        <v>2025</v>
      </c>
      <c r="Q1558" t="s">
        <v>3640</v>
      </c>
      <c r="R1558">
        <v>119.96899999999999</v>
      </c>
      <c r="S1558">
        <v>0.29190874309196502</v>
      </c>
      <c r="T1558" t="s">
        <v>3632</v>
      </c>
      <c r="U1558" t="s">
        <v>3633</v>
      </c>
    </row>
    <row r="1559" spans="1:21" x14ac:dyDescent="0.25">
      <c r="A1559" t="s">
        <v>2914</v>
      </c>
      <c r="B1559" s="1">
        <v>45792</v>
      </c>
      <c r="C1559" t="s">
        <v>213</v>
      </c>
      <c r="D1559" t="s">
        <v>17</v>
      </c>
      <c r="E1559" t="s">
        <v>121</v>
      </c>
      <c r="F1559" t="s">
        <v>68</v>
      </c>
      <c r="G1559" t="s">
        <v>32</v>
      </c>
      <c r="H1559" t="s">
        <v>348</v>
      </c>
      <c r="I1559">
        <v>2</v>
      </c>
      <c r="J1559">
        <v>5.41</v>
      </c>
      <c r="K1559">
        <v>10</v>
      </c>
      <c r="L1559">
        <v>9.74</v>
      </c>
      <c r="M1559">
        <v>11.11</v>
      </c>
      <c r="N1559">
        <v>-6.24</v>
      </c>
      <c r="O1559" t="s">
        <v>34</v>
      </c>
      <c r="P1559">
        <v>2025</v>
      </c>
      <c r="Q1559" t="s">
        <v>3640</v>
      </c>
      <c r="R1559">
        <v>8.766</v>
      </c>
      <c r="S1559">
        <v>-0.71184120465434597</v>
      </c>
      <c r="T1559" t="s">
        <v>3634</v>
      </c>
      <c r="U1559" t="s">
        <v>3636</v>
      </c>
    </row>
    <row r="1560" spans="1:21" x14ac:dyDescent="0.25">
      <c r="A1560" t="s">
        <v>2915</v>
      </c>
      <c r="B1560" s="1">
        <v>45793</v>
      </c>
      <c r="C1560" t="s">
        <v>2916</v>
      </c>
      <c r="D1560" t="s">
        <v>30</v>
      </c>
      <c r="E1560" t="s">
        <v>31</v>
      </c>
      <c r="F1560" t="s">
        <v>19</v>
      </c>
      <c r="G1560" t="s">
        <v>20</v>
      </c>
      <c r="H1560" t="s">
        <v>55</v>
      </c>
      <c r="I1560">
        <v>2</v>
      </c>
      <c r="J1560">
        <v>45.5</v>
      </c>
      <c r="K1560">
        <v>5</v>
      </c>
      <c r="L1560">
        <v>86.45</v>
      </c>
      <c r="M1560">
        <v>9.32</v>
      </c>
      <c r="N1560">
        <v>27.08</v>
      </c>
      <c r="O1560" t="s">
        <v>39</v>
      </c>
      <c r="P1560">
        <v>2025</v>
      </c>
      <c r="Q1560" t="s">
        <v>3640</v>
      </c>
      <c r="R1560">
        <v>82.127499999999998</v>
      </c>
      <c r="S1560">
        <v>0.32973121061763699</v>
      </c>
      <c r="T1560" t="s">
        <v>3634</v>
      </c>
      <c r="U1560" t="s">
        <v>3633</v>
      </c>
    </row>
    <row r="1561" spans="1:21" x14ac:dyDescent="0.25">
      <c r="A1561" t="s">
        <v>2917</v>
      </c>
      <c r="B1561" s="1">
        <v>45793</v>
      </c>
      <c r="C1561" t="s">
        <v>1894</v>
      </c>
      <c r="D1561" t="s">
        <v>49</v>
      </c>
      <c r="E1561" t="s">
        <v>138</v>
      </c>
      <c r="F1561" t="s">
        <v>54</v>
      </c>
      <c r="G1561" t="s">
        <v>20</v>
      </c>
      <c r="H1561" t="s">
        <v>21</v>
      </c>
      <c r="I1561">
        <v>6</v>
      </c>
      <c r="J1561">
        <v>105.75</v>
      </c>
      <c r="K1561">
        <v>0</v>
      </c>
      <c r="L1561">
        <v>634.5</v>
      </c>
      <c r="M1561">
        <v>19.059999999999999</v>
      </c>
      <c r="N1561">
        <v>266.45999999999998</v>
      </c>
      <c r="O1561" t="s">
        <v>22</v>
      </c>
      <c r="P1561">
        <v>2025</v>
      </c>
      <c r="Q1561" t="s">
        <v>3640</v>
      </c>
      <c r="R1561">
        <v>634.5</v>
      </c>
      <c r="S1561">
        <v>0.41995271867612299</v>
      </c>
      <c r="T1561" t="s">
        <v>3635</v>
      </c>
      <c r="U1561" t="s">
        <v>3633</v>
      </c>
    </row>
    <row r="1562" spans="1:21" x14ac:dyDescent="0.25">
      <c r="A1562" t="s">
        <v>2918</v>
      </c>
      <c r="B1562" s="1">
        <v>45793</v>
      </c>
      <c r="C1562" t="s">
        <v>1096</v>
      </c>
      <c r="D1562" t="s">
        <v>17</v>
      </c>
      <c r="E1562" t="s">
        <v>53</v>
      </c>
      <c r="F1562" t="s">
        <v>54</v>
      </c>
      <c r="G1562" t="s">
        <v>42</v>
      </c>
      <c r="H1562" t="s">
        <v>118</v>
      </c>
      <c r="I1562">
        <v>2</v>
      </c>
      <c r="J1562">
        <v>39.94</v>
      </c>
      <c r="K1562">
        <v>5</v>
      </c>
      <c r="L1562">
        <v>75.89</v>
      </c>
      <c r="M1562">
        <v>15.43</v>
      </c>
      <c r="N1562">
        <v>12.53</v>
      </c>
      <c r="O1562" t="s">
        <v>39</v>
      </c>
      <c r="P1562">
        <v>2025</v>
      </c>
      <c r="Q1562" t="s">
        <v>3640</v>
      </c>
      <c r="R1562">
        <v>72.095500000000001</v>
      </c>
      <c r="S1562">
        <v>0.17379725502978699</v>
      </c>
      <c r="T1562" t="s">
        <v>3634</v>
      </c>
      <c r="U1562" t="s">
        <v>3633</v>
      </c>
    </row>
    <row r="1563" spans="1:21" x14ac:dyDescent="0.25">
      <c r="A1563" t="s">
        <v>2919</v>
      </c>
      <c r="B1563" s="1">
        <v>45794</v>
      </c>
      <c r="C1563" t="s">
        <v>2920</v>
      </c>
      <c r="D1563" t="s">
        <v>17</v>
      </c>
      <c r="E1563" t="s">
        <v>31</v>
      </c>
      <c r="F1563" t="s">
        <v>19</v>
      </c>
      <c r="G1563" t="s">
        <v>32</v>
      </c>
      <c r="H1563" t="s">
        <v>132</v>
      </c>
      <c r="I1563">
        <v>4</v>
      </c>
      <c r="J1563">
        <v>10.58</v>
      </c>
      <c r="K1563">
        <v>15</v>
      </c>
      <c r="L1563">
        <v>35.97</v>
      </c>
      <c r="M1563">
        <v>10.31</v>
      </c>
      <c r="N1563">
        <v>6.62</v>
      </c>
      <c r="O1563" t="s">
        <v>56</v>
      </c>
      <c r="P1563">
        <v>2025</v>
      </c>
      <c r="Q1563" t="s">
        <v>3640</v>
      </c>
      <c r="R1563">
        <v>30.5745</v>
      </c>
      <c r="S1563">
        <v>0.21652030286676799</v>
      </c>
      <c r="T1563" t="s">
        <v>3634</v>
      </c>
      <c r="U1563" t="s">
        <v>3633</v>
      </c>
    </row>
    <row r="1564" spans="1:21" x14ac:dyDescent="0.25">
      <c r="A1564" t="s">
        <v>2921</v>
      </c>
      <c r="B1564" s="1">
        <v>45794</v>
      </c>
      <c r="C1564" t="s">
        <v>2922</v>
      </c>
      <c r="D1564" t="s">
        <v>17</v>
      </c>
      <c r="E1564" t="s">
        <v>18</v>
      </c>
      <c r="F1564" t="s">
        <v>19</v>
      </c>
      <c r="G1564" t="s">
        <v>69</v>
      </c>
      <c r="H1564" t="s">
        <v>196</v>
      </c>
      <c r="I1564">
        <v>1</v>
      </c>
      <c r="J1564">
        <v>17.940000000000001</v>
      </c>
      <c r="K1564">
        <v>10</v>
      </c>
      <c r="L1564">
        <v>16.149999999999999</v>
      </c>
      <c r="M1564">
        <v>7.16</v>
      </c>
      <c r="N1564">
        <v>0.02</v>
      </c>
      <c r="O1564" t="s">
        <v>34</v>
      </c>
      <c r="P1564">
        <v>2025</v>
      </c>
      <c r="Q1564" t="s">
        <v>3640</v>
      </c>
      <c r="R1564">
        <v>14.535</v>
      </c>
      <c r="S1564">
        <v>1.37598899208806E-3</v>
      </c>
      <c r="T1564" t="s">
        <v>3634</v>
      </c>
      <c r="U1564" t="s">
        <v>3633</v>
      </c>
    </row>
    <row r="1565" spans="1:21" x14ac:dyDescent="0.25">
      <c r="A1565" t="s">
        <v>2923</v>
      </c>
      <c r="B1565" s="1">
        <v>45795</v>
      </c>
      <c r="C1565" t="s">
        <v>2924</v>
      </c>
      <c r="D1565" t="s">
        <v>30</v>
      </c>
      <c r="E1565" t="s">
        <v>31</v>
      </c>
      <c r="F1565" t="s">
        <v>19</v>
      </c>
      <c r="G1565" t="s">
        <v>32</v>
      </c>
      <c r="H1565" t="s">
        <v>33</v>
      </c>
      <c r="I1565">
        <v>3</v>
      </c>
      <c r="J1565">
        <v>6.54</v>
      </c>
      <c r="K1565">
        <v>0</v>
      </c>
      <c r="L1565">
        <v>19.62</v>
      </c>
      <c r="M1565">
        <v>7.75</v>
      </c>
      <c r="N1565">
        <v>3.04</v>
      </c>
      <c r="O1565" t="s">
        <v>39</v>
      </c>
      <c r="P1565">
        <v>2025</v>
      </c>
      <c r="Q1565" t="s">
        <v>3640</v>
      </c>
      <c r="R1565">
        <v>19.62</v>
      </c>
      <c r="S1565">
        <v>0.15494393476044799</v>
      </c>
      <c r="T1565" t="s">
        <v>3634</v>
      </c>
      <c r="U1565" t="s">
        <v>3633</v>
      </c>
    </row>
    <row r="1566" spans="1:21" x14ac:dyDescent="0.25">
      <c r="A1566" t="s">
        <v>2925</v>
      </c>
      <c r="B1566" s="1">
        <v>45795</v>
      </c>
      <c r="C1566" t="s">
        <v>2926</v>
      </c>
      <c r="D1566" t="s">
        <v>30</v>
      </c>
      <c r="E1566" t="s">
        <v>169</v>
      </c>
      <c r="F1566" t="s">
        <v>68</v>
      </c>
      <c r="G1566" t="s">
        <v>32</v>
      </c>
      <c r="H1566" t="s">
        <v>115</v>
      </c>
      <c r="I1566">
        <v>3</v>
      </c>
      <c r="J1566">
        <v>12.72</v>
      </c>
      <c r="K1566">
        <v>25</v>
      </c>
      <c r="L1566">
        <v>28.62</v>
      </c>
      <c r="M1566">
        <v>16.829999999999998</v>
      </c>
      <c r="N1566">
        <v>-5.38</v>
      </c>
      <c r="O1566" t="s">
        <v>39</v>
      </c>
      <c r="P1566">
        <v>2025</v>
      </c>
      <c r="Q1566" t="s">
        <v>3640</v>
      </c>
      <c r="R1566">
        <v>21.465</v>
      </c>
      <c r="S1566">
        <v>-0.25064057768460302</v>
      </c>
      <c r="T1566" t="s">
        <v>3634</v>
      </c>
      <c r="U1566" t="s">
        <v>3636</v>
      </c>
    </row>
    <row r="1567" spans="1:21" x14ac:dyDescent="0.25">
      <c r="A1567" t="s">
        <v>2927</v>
      </c>
      <c r="B1567" s="1">
        <v>45795</v>
      </c>
      <c r="C1567" t="s">
        <v>2928</v>
      </c>
      <c r="D1567" t="s">
        <v>17</v>
      </c>
      <c r="E1567" t="s">
        <v>18</v>
      </c>
      <c r="F1567" t="s">
        <v>19</v>
      </c>
      <c r="G1567" t="s">
        <v>69</v>
      </c>
      <c r="H1567" t="s">
        <v>160</v>
      </c>
      <c r="I1567">
        <v>1</v>
      </c>
      <c r="J1567">
        <v>47.58</v>
      </c>
      <c r="K1567">
        <v>10</v>
      </c>
      <c r="L1567">
        <v>42.82</v>
      </c>
      <c r="M1567">
        <v>5.77</v>
      </c>
      <c r="N1567">
        <v>13.26</v>
      </c>
      <c r="O1567" t="s">
        <v>22</v>
      </c>
      <c r="P1567">
        <v>2025</v>
      </c>
      <c r="Q1567" t="s">
        <v>3640</v>
      </c>
      <c r="R1567">
        <v>38.537999999999997</v>
      </c>
      <c r="S1567">
        <v>0.34407597695780801</v>
      </c>
      <c r="T1567" t="s">
        <v>3634</v>
      </c>
      <c r="U1567" t="s">
        <v>3633</v>
      </c>
    </row>
    <row r="1568" spans="1:21" x14ac:dyDescent="0.25">
      <c r="A1568" t="s">
        <v>2929</v>
      </c>
      <c r="B1568" s="1">
        <v>45795</v>
      </c>
      <c r="C1568" t="s">
        <v>2930</v>
      </c>
      <c r="D1568" t="s">
        <v>30</v>
      </c>
      <c r="E1568" t="s">
        <v>85</v>
      </c>
      <c r="F1568" t="s">
        <v>60</v>
      </c>
      <c r="G1568" t="s">
        <v>32</v>
      </c>
      <c r="H1568" t="s">
        <v>149</v>
      </c>
      <c r="I1568">
        <v>2</v>
      </c>
      <c r="J1568">
        <v>12.85</v>
      </c>
      <c r="K1568">
        <v>0</v>
      </c>
      <c r="L1568">
        <v>25.7</v>
      </c>
      <c r="M1568">
        <v>13.38</v>
      </c>
      <c r="N1568">
        <v>0.75</v>
      </c>
      <c r="O1568" t="s">
        <v>22</v>
      </c>
      <c r="P1568">
        <v>2025</v>
      </c>
      <c r="Q1568" t="s">
        <v>3640</v>
      </c>
      <c r="R1568">
        <v>25.7</v>
      </c>
      <c r="S1568">
        <v>2.91828793774319E-2</v>
      </c>
      <c r="T1568" t="s">
        <v>3634</v>
      </c>
      <c r="U1568" t="s">
        <v>3633</v>
      </c>
    </row>
    <row r="1569" spans="1:21" x14ac:dyDescent="0.25">
      <c r="A1569" t="s">
        <v>2931</v>
      </c>
      <c r="B1569" s="1">
        <v>45797</v>
      </c>
      <c r="C1569" t="s">
        <v>2785</v>
      </c>
      <c r="D1569" t="s">
        <v>30</v>
      </c>
      <c r="E1569" t="s">
        <v>18</v>
      </c>
      <c r="F1569" t="s">
        <v>19</v>
      </c>
      <c r="G1569" t="s">
        <v>32</v>
      </c>
      <c r="H1569" t="s">
        <v>149</v>
      </c>
      <c r="I1569">
        <v>5</v>
      </c>
      <c r="J1569">
        <v>6.01</v>
      </c>
      <c r="K1569">
        <v>15</v>
      </c>
      <c r="L1569">
        <v>25.54</v>
      </c>
      <c r="M1569">
        <v>7.93</v>
      </c>
      <c r="N1569">
        <v>4.09</v>
      </c>
      <c r="O1569" t="s">
        <v>34</v>
      </c>
      <c r="P1569">
        <v>2025</v>
      </c>
      <c r="Q1569" t="s">
        <v>3640</v>
      </c>
      <c r="R1569">
        <v>21.709</v>
      </c>
      <c r="S1569">
        <v>0.188401123957806</v>
      </c>
      <c r="T1569" t="s">
        <v>3634</v>
      </c>
      <c r="U1569" t="s">
        <v>3633</v>
      </c>
    </row>
    <row r="1570" spans="1:21" x14ac:dyDescent="0.25">
      <c r="A1570" t="s">
        <v>2932</v>
      </c>
      <c r="B1570" s="1">
        <v>45797</v>
      </c>
      <c r="C1570" t="s">
        <v>2933</v>
      </c>
      <c r="D1570" t="s">
        <v>17</v>
      </c>
      <c r="E1570" t="s">
        <v>37</v>
      </c>
      <c r="F1570" t="s">
        <v>26</v>
      </c>
      <c r="G1570" t="s">
        <v>42</v>
      </c>
      <c r="H1570" t="s">
        <v>93</v>
      </c>
      <c r="I1570">
        <v>5</v>
      </c>
      <c r="J1570">
        <v>243.91</v>
      </c>
      <c r="K1570">
        <v>5</v>
      </c>
      <c r="L1570">
        <v>1158.57</v>
      </c>
      <c r="M1570">
        <v>17.690000000000001</v>
      </c>
      <c r="N1570">
        <v>409.15</v>
      </c>
      <c r="O1570" t="s">
        <v>34</v>
      </c>
      <c r="P1570">
        <v>2025</v>
      </c>
      <c r="Q1570" t="s">
        <v>3640</v>
      </c>
      <c r="R1570">
        <v>1100.6415</v>
      </c>
      <c r="S1570">
        <v>0.371737754754841</v>
      </c>
      <c r="T1570" t="s">
        <v>3635</v>
      </c>
      <c r="U1570" t="s">
        <v>3633</v>
      </c>
    </row>
    <row r="1571" spans="1:21" x14ac:dyDescent="0.25">
      <c r="A1571" t="s">
        <v>2934</v>
      </c>
      <c r="B1571" s="1">
        <v>45797</v>
      </c>
      <c r="C1571" t="s">
        <v>2935</v>
      </c>
      <c r="D1571" t="s">
        <v>17</v>
      </c>
      <c r="E1571" t="s">
        <v>138</v>
      </c>
      <c r="F1571" t="s">
        <v>54</v>
      </c>
      <c r="G1571" t="s">
        <v>32</v>
      </c>
      <c r="H1571" t="s">
        <v>110</v>
      </c>
      <c r="I1571">
        <v>7</v>
      </c>
      <c r="J1571">
        <v>7.22</v>
      </c>
      <c r="K1571">
        <v>10</v>
      </c>
      <c r="L1571">
        <v>45.49</v>
      </c>
      <c r="M1571">
        <v>24.79</v>
      </c>
      <c r="N1571">
        <v>-2.04</v>
      </c>
      <c r="O1571" t="s">
        <v>39</v>
      </c>
      <c r="P1571">
        <v>2025</v>
      </c>
      <c r="Q1571" t="s">
        <v>3640</v>
      </c>
      <c r="R1571">
        <v>40.941000000000003</v>
      </c>
      <c r="S1571">
        <v>-4.9827800981900802E-2</v>
      </c>
      <c r="T1571" t="s">
        <v>3634</v>
      </c>
      <c r="U1571" t="s">
        <v>3636</v>
      </c>
    </row>
    <row r="1572" spans="1:21" x14ac:dyDescent="0.25">
      <c r="A1572" t="s">
        <v>2936</v>
      </c>
      <c r="B1572" s="1">
        <v>45797</v>
      </c>
      <c r="C1572" t="s">
        <v>2937</v>
      </c>
      <c r="D1572" t="s">
        <v>17</v>
      </c>
      <c r="E1572" t="s">
        <v>109</v>
      </c>
      <c r="F1572" t="s">
        <v>54</v>
      </c>
      <c r="G1572" t="s">
        <v>42</v>
      </c>
      <c r="H1572" t="s">
        <v>234</v>
      </c>
      <c r="I1572">
        <v>1</v>
      </c>
      <c r="J1572">
        <v>46.37</v>
      </c>
      <c r="K1572">
        <v>0</v>
      </c>
      <c r="L1572">
        <v>46.37</v>
      </c>
      <c r="M1572">
        <v>12.69</v>
      </c>
      <c r="N1572">
        <v>5.86</v>
      </c>
      <c r="O1572" t="s">
        <v>56</v>
      </c>
      <c r="P1572">
        <v>2025</v>
      </c>
      <c r="Q1572" t="s">
        <v>3640</v>
      </c>
      <c r="R1572">
        <v>46.37</v>
      </c>
      <c r="S1572">
        <v>0.12637481130041001</v>
      </c>
      <c r="T1572" t="s">
        <v>3634</v>
      </c>
      <c r="U1572" t="s">
        <v>3633</v>
      </c>
    </row>
    <row r="1573" spans="1:21" x14ac:dyDescent="0.25">
      <c r="A1573" t="s">
        <v>2938</v>
      </c>
      <c r="B1573" s="1">
        <v>45798</v>
      </c>
      <c r="C1573" t="s">
        <v>2939</v>
      </c>
      <c r="D1573" t="s">
        <v>30</v>
      </c>
      <c r="E1573" t="s">
        <v>18</v>
      </c>
      <c r="F1573" t="s">
        <v>19</v>
      </c>
      <c r="G1573" t="s">
        <v>42</v>
      </c>
      <c r="H1573" t="s">
        <v>46</v>
      </c>
      <c r="I1573">
        <v>2</v>
      </c>
      <c r="J1573">
        <v>133.22999999999999</v>
      </c>
      <c r="K1573">
        <v>5</v>
      </c>
      <c r="L1573">
        <v>253.14</v>
      </c>
      <c r="M1573">
        <v>6.33</v>
      </c>
      <c r="N1573">
        <v>86.93</v>
      </c>
      <c r="O1573" t="s">
        <v>56</v>
      </c>
      <c r="P1573">
        <v>2025</v>
      </c>
      <c r="Q1573" t="s">
        <v>3640</v>
      </c>
      <c r="R1573">
        <v>240.483</v>
      </c>
      <c r="S1573">
        <v>0.36148085311643602</v>
      </c>
      <c r="T1573" t="s">
        <v>3632</v>
      </c>
      <c r="U1573" t="s">
        <v>3633</v>
      </c>
    </row>
    <row r="1574" spans="1:21" x14ac:dyDescent="0.25">
      <c r="A1574" t="s">
        <v>2940</v>
      </c>
      <c r="B1574" s="1">
        <v>45799</v>
      </c>
      <c r="C1574" t="s">
        <v>2941</v>
      </c>
      <c r="D1574" t="s">
        <v>17</v>
      </c>
      <c r="E1574" t="s">
        <v>25</v>
      </c>
      <c r="F1574" t="s">
        <v>26</v>
      </c>
      <c r="G1574" t="s">
        <v>20</v>
      </c>
      <c r="H1574" t="s">
        <v>264</v>
      </c>
      <c r="I1574">
        <v>1</v>
      </c>
      <c r="J1574">
        <v>37.58</v>
      </c>
      <c r="K1574">
        <v>20</v>
      </c>
      <c r="L1574">
        <v>30.06</v>
      </c>
      <c r="M1574">
        <v>8.2100000000000009</v>
      </c>
      <c r="N1574">
        <v>1.18</v>
      </c>
      <c r="O1574" t="s">
        <v>22</v>
      </c>
      <c r="P1574">
        <v>2025</v>
      </c>
      <c r="Q1574" t="s">
        <v>3640</v>
      </c>
      <c r="R1574">
        <v>24.047999999999998</v>
      </c>
      <c r="S1574">
        <v>4.9068529607451797E-2</v>
      </c>
      <c r="T1574" t="s">
        <v>3634</v>
      </c>
      <c r="U1574" t="s">
        <v>3633</v>
      </c>
    </row>
    <row r="1575" spans="1:21" x14ac:dyDescent="0.25">
      <c r="A1575" t="s">
        <v>2942</v>
      </c>
      <c r="B1575" s="1">
        <v>45799</v>
      </c>
      <c r="C1575" t="s">
        <v>2943</v>
      </c>
      <c r="D1575" t="s">
        <v>30</v>
      </c>
      <c r="E1575" t="s">
        <v>248</v>
      </c>
      <c r="F1575" t="s">
        <v>26</v>
      </c>
      <c r="G1575" t="s">
        <v>42</v>
      </c>
      <c r="H1575" t="s">
        <v>294</v>
      </c>
      <c r="I1575">
        <v>5</v>
      </c>
      <c r="J1575">
        <v>175.88</v>
      </c>
      <c r="K1575">
        <v>5</v>
      </c>
      <c r="L1575">
        <v>835.43</v>
      </c>
      <c r="M1575">
        <v>13.32</v>
      </c>
      <c r="N1575">
        <v>294.47000000000003</v>
      </c>
      <c r="O1575" t="s">
        <v>34</v>
      </c>
      <c r="P1575">
        <v>2025</v>
      </c>
      <c r="Q1575" t="s">
        <v>3640</v>
      </c>
      <c r="R1575">
        <v>793.6585</v>
      </c>
      <c r="S1575">
        <v>0.37102859731232002</v>
      </c>
      <c r="T1575" t="s">
        <v>3635</v>
      </c>
      <c r="U1575" t="s">
        <v>3633</v>
      </c>
    </row>
    <row r="1576" spans="1:21" x14ac:dyDescent="0.25">
      <c r="A1576" t="s">
        <v>2944</v>
      </c>
      <c r="B1576" s="1">
        <v>45801</v>
      </c>
      <c r="C1576" t="s">
        <v>1678</v>
      </c>
      <c r="D1576" t="s">
        <v>17</v>
      </c>
      <c r="E1576" t="s">
        <v>59</v>
      </c>
      <c r="F1576" t="s">
        <v>60</v>
      </c>
      <c r="G1576" t="s">
        <v>32</v>
      </c>
      <c r="H1576" t="s">
        <v>50</v>
      </c>
      <c r="I1576">
        <v>9</v>
      </c>
      <c r="J1576">
        <v>24.53</v>
      </c>
      <c r="K1576">
        <v>15</v>
      </c>
      <c r="L1576">
        <v>187.65</v>
      </c>
      <c r="M1576">
        <v>27.64</v>
      </c>
      <c r="N1576">
        <v>60.66</v>
      </c>
      <c r="O1576" t="s">
        <v>34</v>
      </c>
      <c r="P1576">
        <v>2025</v>
      </c>
      <c r="Q1576" t="s">
        <v>3640</v>
      </c>
      <c r="R1576">
        <v>159.5025</v>
      </c>
      <c r="S1576">
        <v>0.38030751869092999</v>
      </c>
      <c r="T1576" t="s">
        <v>3632</v>
      </c>
      <c r="U1576" t="s">
        <v>3633</v>
      </c>
    </row>
    <row r="1577" spans="1:21" x14ac:dyDescent="0.25">
      <c r="A1577" t="s">
        <v>2945</v>
      </c>
      <c r="B1577" s="1">
        <v>45801</v>
      </c>
      <c r="C1577" t="s">
        <v>2946</v>
      </c>
      <c r="D1577" t="s">
        <v>17</v>
      </c>
      <c r="E1577" t="s">
        <v>166</v>
      </c>
      <c r="F1577" t="s">
        <v>60</v>
      </c>
      <c r="G1577" t="s">
        <v>32</v>
      </c>
      <c r="H1577" t="s">
        <v>101</v>
      </c>
      <c r="I1577">
        <v>3</v>
      </c>
      <c r="J1577">
        <v>10.15</v>
      </c>
      <c r="K1577">
        <v>15</v>
      </c>
      <c r="L1577">
        <v>25.88</v>
      </c>
      <c r="M1577">
        <v>16.059999999999999</v>
      </c>
      <c r="N1577">
        <v>-3.88</v>
      </c>
      <c r="O1577" t="s">
        <v>39</v>
      </c>
      <c r="P1577">
        <v>2025</v>
      </c>
      <c r="Q1577" t="s">
        <v>3640</v>
      </c>
      <c r="R1577">
        <v>21.998000000000001</v>
      </c>
      <c r="S1577">
        <v>-0.176379670879171</v>
      </c>
      <c r="T1577" t="s">
        <v>3634</v>
      </c>
      <c r="U1577" t="s">
        <v>3636</v>
      </c>
    </row>
    <row r="1578" spans="1:21" x14ac:dyDescent="0.25">
      <c r="A1578" t="s">
        <v>2947</v>
      </c>
      <c r="B1578" s="1">
        <v>45803</v>
      </c>
      <c r="C1578" t="s">
        <v>1058</v>
      </c>
      <c r="D1578" t="s">
        <v>49</v>
      </c>
      <c r="E1578" t="s">
        <v>76</v>
      </c>
      <c r="F1578" t="s">
        <v>26</v>
      </c>
      <c r="G1578" t="s">
        <v>42</v>
      </c>
      <c r="H1578" t="s">
        <v>255</v>
      </c>
      <c r="I1578">
        <v>1</v>
      </c>
      <c r="J1578">
        <v>33.54</v>
      </c>
      <c r="K1578">
        <v>0</v>
      </c>
      <c r="L1578">
        <v>33.54</v>
      </c>
      <c r="M1578">
        <v>7.97</v>
      </c>
      <c r="N1578">
        <v>5.45</v>
      </c>
      <c r="O1578" t="s">
        <v>34</v>
      </c>
      <c r="P1578">
        <v>2025</v>
      </c>
      <c r="Q1578" t="s">
        <v>3640</v>
      </c>
      <c r="R1578">
        <v>33.54</v>
      </c>
      <c r="S1578">
        <v>0.162492546213476</v>
      </c>
      <c r="T1578" t="s">
        <v>3634</v>
      </c>
      <c r="U1578" t="s">
        <v>3633</v>
      </c>
    </row>
    <row r="1579" spans="1:21" x14ac:dyDescent="0.25">
      <c r="A1579" t="s">
        <v>2948</v>
      </c>
      <c r="B1579" s="1">
        <v>45804</v>
      </c>
      <c r="C1579" t="s">
        <v>2949</v>
      </c>
      <c r="D1579" t="s">
        <v>30</v>
      </c>
      <c r="E1579" t="s">
        <v>148</v>
      </c>
      <c r="F1579" t="s">
        <v>60</v>
      </c>
      <c r="G1579" t="s">
        <v>42</v>
      </c>
      <c r="H1579" t="s">
        <v>43</v>
      </c>
      <c r="I1579">
        <v>4</v>
      </c>
      <c r="J1579">
        <v>213.39</v>
      </c>
      <c r="K1579">
        <v>5</v>
      </c>
      <c r="L1579">
        <v>810.88</v>
      </c>
      <c r="M1579">
        <v>18.510000000000002</v>
      </c>
      <c r="N1579">
        <v>280.23</v>
      </c>
      <c r="O1579" t="s">
        <v>34</v>
      </c>
      <c r="P1579">
        <v>2025</v>
      </c>
      <c r="Q1579" t="s">
        <v>3640</v>
      </c>
      <c r="R1579">
        <v>770.33600000000001</v>
      </c>
      <c r="S1579">
        <v>0.36377632617455202</v>
      </c>
      <c r="T1579" t="s">
        <v>3635</v>
      </c>
      <c r="U1579" t="s">
        <v>3633</v>
      </c>
    </row>
    <row r="1580" spans="1:21" x14ac:dyDescent="0.25">
      <c r="A1580" t="s">
        <v>2950</v>
      </c>
      <c r="B1580" s="1">
        <v>45806</v>
      </c>
      <c r="C1580" t="s">
        <v>2951</v>
      </c>
      <c r="D1580" t="s">
        <v>17</v>
      </c>
      <c r="E1580" t="s">
        <v>31</v>
      </c>
      <c r="F1580" t="s">
        <v>19</v>
      </c>
      <c r="G1580" t="s">
        <v>42</v>
      </c>
      <c r="H1580" t="s">
        <v>371</v>
      </c>
      <c r="I1580">
        <v>5</v>
      </c>
      <c r="J1580">
        <v>114.98</v>
      </c>
      <c r="K1580">
        <v>20</v>
      </c>
      <c r="L1580">
        <v>459.92</v>
      </c>
      <c r="M1580">
        <v>8.1300000000000008</v>
      </c>
      <c r="N1580">
        <v>106.85</v>
      </c>
      <c r="O1580" t="s">
        <v>34</v>
      </c>
      <c r="P1580">
        <v>2025</v>
      </c>
      <c r="Q1580" t="s">
        <v>3640</v>
      </c>
      <c r="R1580">
        <v>367.93599999999998</v>
      </c>
      <c r="S1580">
        <v>0.29040376587232603</v>
      </c>
      <c r="T1580" t="s">
        <v>3632</v>
      </c>
      <c r="U1580" t="s">
        <v>3633</v>
      </c>
    </row>
    <row r="1581" spans="1:21" x14ac:dyDescent="0.25">
      <c r="A1581" t="s">
        <v>2952</v>
      </c>
      <c r="B1581" s="1">
        <v>45806</v>
      </c>
      <c r="C1581" t="s">
        <v>2953</v>
      </c>
      <c r="D1581" t="s">
        <v>30</v>
      </c>
      <c r="E1581" t="s">
        <v>135</v>
      </c>
      <c r="F1581" t="s">
        <v>26</v>
      </c>
      <c r="G1581" t="s">
        <v>69</v>
      </c>
      <c r="H1581" t="s">
        <v>70</v>
      </c>
      <c r="I1581">
        <v>6</v>
      </c>
      <c r="J1581">
        <v>28.43</v>
      </c>
      <c r="K1581">
        <v>5</v>
      </c>
      <c r="L1581">
        <v>162.05000000000001</v>
      </c>
      <c r="M1581">
        <v>16.940000000000001</v>
      </c>
      <c r="N1581">
        <v>59.82</v>
      </c>
      <c r="O1581" t="s">
        <v>39</v>
      </c>
      <c r="P1581">
        <v>2025</v>
      </c>
      <c r="Q1581" t="s">
        <v>3640</v>
      </c>
      <c r="R1581">
        <v>153.94749999999999</v>
      </c>
      <c r="S1581">
        <v>0.38857402685980602</v>
      </c>
      <c r="T1581" t="s">
        <v>3632</v>
      </c>
      <c r="U1581" t="s">
        <v>3633</v>
      </c>
    </row>
    <row r="1582" spans="1:21" x14ac:dyDescent="0.25">
      <c r="A1582" t="s">
        <v>2954</v>
      </c>
      <c r="B1582" s="1">
        <v>45806</v>
      </c>
      <c r="C1582" t="s">
        <v>425</v>
      </c>
      <c r="D1582" t="s">
        <v>17</v>
      </c>
      <c r="E1582" t="s">
        <v>59</v>
      </c>
      <c r="F1582" t="s">
        <v>60</v>
      </c>
      <c r="G1582" t="s">
        <v>32</v>
      </c>
      <c r="H1582" t="s">
        <v>149</v>
      </c>
      <c r="I1582">
        <v>3</v>
      </c>
      <c r="J1582">
        <v>5.01</v>
      </c>
      <c r="K1582">
        <v>0</v>
      </c>
      <c r="L1582">
        <v>15.03</v>
      </c>
      <c r="M1582">
        <v>11.86</v>
      </c>
      <c r="N1582">
        <v>-3.59</v>
      </c>
      <c r="O1582" t="s">
        <v>39</v>
      </c>
      <c r="P1582">
        <v>2025</v>
      </c>
      <c r="Q1582" t="s">
        <v>3640</v>
      </c>
      <c r="R1582">
        <v>15.03</v>
      </c>
      <c r="S1582">
        <v>-0.23885562208915501</v>
      </c>
      <c r="T1582" t="s">
        <v>3634</v>
      </c>
      <c r="U1582" t="s">
        <v>3636</v>
      </c>
    </row>
    <row r="1583" spans="1:21" x14ac:dyDescent="0.25">
      <c r="A1583" t="s">
        <v>2955</v>
      </c>
      <c r="B1583" s="1">
        <v>45806</v>
      </c>
      <c r="C1583" t="s">
        <v>1346</v>
      </c>
      <c r="D1583" t="s">
        <v>30</v>
      </c>
      <c r="E1583" t="s">
        <v>129</v>
      </c>
      <c r="F1583" t="s">
        <v>19</v>
      </c>
      <c r="G1583" t="s">
        <v>32</v>
      </c>
      <c r="H1583" t="s">
        <v>101</v>
      </c>
      <c r="I1583">
        <v>1</v>
      </c>
      <c r="J1583">
        <v>9.93</v>
      </c>
      <c r="K1583">
        <v>5</v>
      </c>
      <c r="L1583">
        <v>9.43</v>
      </c>
      <c r="M1583">
        <v>5.79</v>
      </c>
      <c r="N1583">
        <v>-0.83</v>
      </c>
      <c r="O1583" t="s">
        <v>34</v>
      </c>
      <c r="P1583">
        <v>2025</v>
      </c>
      <c r="Q1583" t="s">
        <v>3640</v>
      </c>
      <c r="R1583">
        <v>8.9585000000000008</v>
      </c>
      <c r="S1583">
        <v>-9.2649439080203205E-2</v>
      </c>
      <c r="T1583" t="s">
        <v>3634</v>
      </c>
      <c r="U1583" t="s">
        <v>3636</v>
      </c>
    </row>
    <row r="1584" spans="1:21" x14ac:dyDescent="0.25">
      <c r="A1584" t="s">
        <v>2956</v>
      </c>
      <c r="B1584" s="1">
        <v>45807</v>
      </c>
      <c r="C1584" t="s">
        <v>2957</v>
      </c>
      <c r="D1584" t="s">
        <v>17</v>
      </c>
      <c r="E1584" t="s">
        <v>135</v>
      </c>
      <c r="F1584" t="s">
        <v>26</v>
      </c>
      <c r="G1584" t="s">
        <v>69</v>
      </c>
      <c r="H1584" t="s">
        <v>243</v>
      </c>
      <c r="I1584">
        <v>3</v>
      </c>
      <c r="J1584">
        <v>41.25</v>
      </c>
      <c r="K1584">
        <v>5</v>
      </c>
      <c r="L1584">
        <v>117.56</v>
      </c>
      <c r="M1584">
        <v>8.91</v>
      </c>
      <c r="N1584">
        <v>46.78</v>
      </c>
      <c r="O1584" t="s">
        <v>39</v>
      </c>
      <c r="P1584">
        <v>2025</v>
      </c>
      <c r="Q1584" t="s">
        <v>3640</v>
      </c>
      <c r="R1584">
        <v>111.682</v>
      </c>
      <c r="S1584">
        <v>0.418867856950986</v>
      </c>
      <c r="T1584" t="s">
        <v>3632</v>
      </c>
      <c r="U1584" t="s">
        <v>3633</v>
      </c>
    </row>
    <row r="1585" spans="1:21" x14ac:dyDescent="0.25">
      <c r="A1585" t="s">
        <v>2958</v>
      </c>
      <c r="B1585" s="1">
        <v>45807</v>
      </c>
      <c r="C1585" t="s">
        <v>2959</v>
      </c>
      <c r="D1585" t="s">
        <v>49</v>
      </c>
      <c r="E1585" t="s">
        <v>138</v>
      </c>
      <c r="F1585" t="s">
        <v>54</v>
      </c>
      <c r="G1585" t="s">
        <v>20</v>
      </c>
      <c r="H1585" t="s">
        <v>122</v>
      </c>
      <c r="I1585">
        <v>5</v>
      </c>
      <c r="J1585">
        <v>115.16</v>
      </c>
      <c r="K1585">
        <v>5</v>
      </c>
      <c r="L1585">
        <v>547.01</v>
      </c>
      <c r="M1585">
        <v>16.63</v>
      </c>
      <c r="N1585">
        <v>213.69</v>
      </c>
      <c r="O1585" t="s">
        <v>22</v>
      </c>
      <c r="P1585">
        <v>2025</v>
      </c>
      <c r="Q1585" t="s">
        <v>3640</v>
      </c>
      <c r="R1585">
        <v>519.65949999999998</v>
      </c>
      <c r="S1585">
        <v>0.41121157219294602</v>
      </c>
      <c r="T1585" t="s">
        <v>3635</v>
      </c>
      <c r="U1585" t="s">
        <v>3633</v>
      </c>
    </row>
    <row r="1586" spans="1:21" x14ac:dyDescent="0.25">
      <c r="A1586" t="s">
        <v>2960</v>
      </c>
      <c r="B1586" s="1">
        <v>45807</v>
      </c>
      <c r="C1586" t="s">
        <v>625</v>
      </c>
      <c r="D1586" t="s">
        <v>17</v>
      </c>
      <c r="E1586" t="s">
        <v>148</v>
      </c>
      <c r="F1586" t="s">
        <v>60</v>
      </c>
      <c r="G1586" t="s">
        <v>42</v>
      </c>
      <c r="H1586" t="s">
        <v>255</v>
      </c>
      <c r="I1586">
        <v>9</v>
      </c>
      <c r="J1586">
        <v>54.27</v>
      </c>
      <c r="K1586">
        <v>5</v>
      </c>
      <c r="L1586">
        <v>464.01</v>
      </c>
      <c r="M1586">
        <v>21.91</v>
      </c>
      <c r="N1586">
        <v>149.04</v>
      </c>
      <c r="O1586" t="s">
        <v>39</v>
      </c>
      <c r="P1586">
        <v>2025</v>
      </c>
      <c r="Q1586" t="s">
        <v>3640</v>
      </c>
      <c r="R1586">
        <v>440.80950000000001</v>
      </c>
      <c r="S1586">
        <v>0.33810523593525099</v>
      </c>
      <c r="T1586" t="s">
        <v>3632</v>
      </c>
      <c r="U1586" t="s">
        <v>3633</v>
      </c>
    </row>
    <row r="1587" spans="1:21" x14ac:dyDescent="0.25">
      <c r="A1587" t="s">
        <v>2961</v>
      </c>
      <c r="B1587" s="1">
        <v>45808</v>
      </c>
      <c r="C1587" t="s">
        <v>2962</v>
      </c>
      <c r="D1587" t="s">
        <v>30</v>
      </c>
      <c r="E1587" t="s">
        <v>248</v>
      </c>
      <c r="F1587" t="s">
        <v>26</v>
      </c>
      <c r="G1587" t="s">
        <v>20</v>
      </c>
      <c r="H1587" t="s">
        <v>122</v>
      </c>
      <c r="I1587">
        <v>1</v>
      </c>
      <c r="J1587">
        <v>100.53</v>
      </c>
      <c r="K1587">
        <v>10</v>
      </c>
      <c r="L1587">
        <v>90.48</v>
      </c>
      <c r="M1587">
        <v>9.2200000000000006</v>
      </c>
      <c r="N1587">
        <v>25.97</v>
      </c>
      <c r="O1587" t="s">
        <v>56</v>
      </c>
      <c r="P1587">
        <v>2025</v>
      </c>
      <c r="Q1587" t="s">
        <v>3640</v>
      </c>
      <c r="R1587">
        <v>81.432000000000002</v>
      </c>
      <c r="S1587">
        <v>0.31891639650260301</v>
      </c>
      <c r="T1587" t="s">
        <v>3634</v>
      </c>
      <c r="U1587" t="s">
        <v>3633</v>
      </c>
    </row>
    <row r="1588" spans="1:21" x14ac:dyDescent="0.25">
      <c r="A1588" t="s">
        <v>2963</v>
      </c>
      <c r="B1588" s="1">
        <v>45808</v>
      </c>
      <c r="C1588" t="s">
        <v>2244</v>
      </c>
      <c r="D1588" t="s">
        <v>30</v>
      </c>
      <c r="E1588" t="s">
        <v>148</v>
      </c>
      <c r="F1588" t="s">
        <v>60</v>
      </c>
      <c r="G1588" t="s">
        <v>20</v>
      </c>
      <c r="H1588" t="s">
        <v>264</v>
      </c>
      <c r="I1588">
        <v>6</v>
      </c>
      <c r="J1588">
        <v>37.44</v>
      </c>
      <c r="K1588">
        <v>5</v>
      </c>
      <c r="L1588">
        <v>213.41</v>
      </c>
      <c r="M1588">
        <v>15.54</v>
      </c>
      <c r="N1588">
        <v>74.319999999999993</v>
      </c>
      <c r="O1588" t="s">
        <v>34</v>
      </c>
      <c r="P1588">
        <v>2025</v>
      </c>
      <c r="Q1588" t="s">
        <v>3640</v>
      </c>
      <c r="R1588">
        <v>202.73949999999999</v>
      </c>
      <c r="S1588">
        <v>0.36657878706418801</v>
      </c>
      <c r="T1588" t="s">
        <v>3632</v>
      </c>
      <c r="U1588" t="s">
        <v>3633</v>
      </c>
    </row>
    <row r="1589" spans="1:21" x14ac:dyDescent="0.25">
      <c r="A1589" t="s">
        <v>2964</v>
      </c>
      <c r="B1589" s="1">
        <v>45809</v>
      </c>
      <c r="C1589" t="s">
        <v>399</v>
      </c>
      <c r="D1589" t="s">
        <v>30</v>
      </c>
      <c r="E1589" t="s">
        <v>18</v>
      </c>
      <c r="F1589" t="s">
        <v>19</v>
      </c>
      <c r="G1589" t="s">
        <v>42</v>
      </c>
      <c r="H1589" t="s">
        <v>118</v>
      </c>
      <c r="I1589">
        <v>1</v>
      </c>
      <c r="J1589">
        <v>65.87</v>
      </c>
      <c r="K1589">
        <v>0</v>
      </c>
      <c r="L1589">
        <v>65.87</v>
      </c>
      <c r="M1589">
        <v>6.61</v>
      </c>
      <c r="N1589">
        <v>19.739999999999998</v>
      </c>
      <c r="O1589" t="s">
        <v>39</v>
      </c>
      <c r="P1589">
        <v>2025</v>
      </c>
      <c r="Q1589" t="s">
        <v>3641</v>
      </c>
      <c r="R1589">
        <v>65.87</v>
      </c>
      <c r="S1589">
        <v>0.29968119022316703</v>
      </c>
      <c r="T1589" t="s">
        <v>3634</v>
      </c>
      <c r="U1589" t="s">
        <v>3633</v>
      </c>
    </row>
    <row r="1590" spans="1:21" x14ac:dyDescent="0.25">
      <c r="A1590" t="s">
        <v>2965</v>
      </c>
      <c r="B1590" s="1">
        <v>45809</v>
      </c>
      <c r="C1590" t="s">
        <v>2966</v>
      </c>
      <c r="D1590" t="s">
        <v>30</v>
      </c>
      <c r="E1590" t="s">
        <v>31</v>
      </c>
      <c r="F1590" t="s">
        <v>19</v>
      </c>
      <c r="G1590" t="s">
        <v>32</v>
      </c>
      <c r="H1590" t="s">
        <v>33</v>
      </c>
      <c r="I1590">
        <v>2</v>
      </c>
      <c r="J1590">
        <v>11.24</v>
      </c>
      <c r="K1590">
        <v>10</v>
      </c>
      <c r="L1590">
        <v>20.23</v>
      </c>
      <c r="M1590">
        <v>6.69</v>
      </c>
      <c r="N1590">
        <v>3.42</v>
      </c>
      <c r="O1590" t="s">
        <v>39</v>
      </c>
      <c r="P1590">
        <v>2025</v>
      </c>
      <c r="Q1590" t="s">
        <v>3641</v>
      </c>
      <c r="R1590">
        <v>18.207000000000001</v>
      </c>
      <c r="S1590">
        <v>0.187839841819081</v>
      </c>
      <c r="T1590" t="s">
        <v>3634</v>
      </c>
      <c r="U1590" t="s">
        <v>3633</v>
      </c>
    </row>
    <row r="1591" spans="1:21" x14ac:dyDescent="0.25">
      <c r="A1591" t="s">
        <v>2967</v>
      </c>
      <c r="B1591" s="1">
        <v>45809</v>
      </c>
      <c r="C1591" t="s">
        <v>2968</v>
      </c>
      <c r="D1591" t="s">
        <v>30</v>
      </c>
      <c r="E1591" t="s">
        <v>31</v>
      </c>
      <c r="F1591" t="s">
        <v>19</v>
      </c>
      <c r="G1591" t="s">
        <v>42</v>
      </c>
      <c r="H1591" t="s">
        <v>43</v>
      </c>
      <c r="I1591">
        <v>9</v>
      </c>
      <c r="J1591">
        <v>148.46</v>
      </c>
      <c r="K1591">
        <v>10</v>
      </c>
      <c r="L1591">
        <v>1202.53</v>
      </c>
      <c r="M1591">
        <v>26.88</v>
      </c>
      <c r="N1591">
        <v>373.97</v>
      </c>
      <c r="O1591" t="s">
        <v>22</v>
      </c>
      <c r="P1591">
        <v>2025</v>
      </c>
      <c r="Q1591" t="s">
        <v>3641</v>
      </c>
      <c r="R1591">
        <v>1082.277</v>
      </c>
      <c r="S1591">
        <v>0.34554000500796</v>
      </c>
      <c r="T1591" t="s">
        <v>3635</v>
      </c>
      <c r="U1591" t="s">
        <v>3633</v>
      </c>
    </row>
    <row r="1592" spans="1:21" x14ac:dyDescent="0.25">
      <c r="A1592" t="s">
        <v>2969</v>
      </c>
      <c r="B1592" s="1">
        <v>45810</v>
      </c>
      <c r="C1592" t="s">
        <v>2970</v>
      </c>
      <c r="D1592" t="s">
        <v>17</v>
      </c>
      <c r="E1592" t="s">
        <v>31</v>
      </c>
      <c r="F1592" t="s">
        <v>19</v>
      </c>
      <c r="G1592" t="s">
        <v>32</v>
      </c>
      <c r="H1592" t="s">
        <v>348</v>
      </c>
      <c r="I1592">
        <v>2</v>
      </c>
      <c r="J1592">
        <v>10.07</v>
      </c>
      <c r="K1592">
        <v>15</v>
      </c>
      <c r="L1592">
        <v>17.12</v>
      </c>
      <c r="M1592">
        <v>6.12</v>
      </c>
      <c r="N1592">
        <v>1.94</v>
      </c>
      <c r="O1592" t="s">
        <v>34</v>
      </c>
      <c r="P1592">
        <v>2025</v>
      </c>
      <c r="Q1592" t="s">
        <v>3641</v>
      </c>
      <c r="R1592">
        <v>14.552</v>
      </c>
      <c r="S1592">
        <v>0.133315008246289</v>
      </c>
      <c r="T1592" t="s">
        <v>3634</v>
      </c>
      <c r="U1592" t="s">
        <v>3633</v>
      </c>
    </row>
    <row r="1593" spans="1:21" x14ac:dyDescent="0.25">
      <c r="A1593" t="s">
        <v>2971</v>
      </c>
      <c r="B1593" s="1">
        <v>45811</v>
      </c>
      <c r="C1593" t="s">
        <v>2972</v>
      </c>
      <c r="D1593" t="s">
        <v>49</v>
      </c>
      <c r="E1593" t="s">
        <v>248</v>
      </c>
      <c r="F1593" t="s">
        <v>26</v>
      </c>
      <c r="G1593" t="s">
        <v>20</v>
      </c>
      <c r="H1593" t="s">
        <v>21</v>
      </c>
      <c r="I1593">
        <v>2</v>
      </c>
      <c r="J1593">
        <v>159.65</v>
      </c>
      <c r="K1593">
        <v>5</v>
      </c>
      <c r="L1593">
        <v>303.33</v>
      </c>
      <c r="M1593">
        <v>8.3800000000000008</v>
      </c>
      <c r="N1593">
        <v>119.33</v>
      </c>
      <c r="O1593" t="s">
        <v>56</v>
      </c>
      <c r="P1593">
        <v>2025</v>
      </c>
      <c r="Q1593" t="s">
        <v>3641</v>
      </c>
      <c r="R1593">
        <v>288.1635</v>
      </c>
      <c r="S1593">
        <v>0.41410518681234798</v>
      </c>
      <c r="T1593" t="s">
        <v>3632</v>
      </c>
      <c r="U1593" t="s">
        <v>3633</v>
      </c>
    </row>
    <row r="1594" spans="1:21" x14ac:dyDescent="0.25">
      <c r="A1594" t="s">
        <v>2973</v>
      </c>
      <c r="B1594" s="1">
        <v>45811</v>
      </c>
      <c r="C1594" t="s">
        <v>2618</v>
      </c>
      <c r="D1594" t="s">
        <v>49</v>
      </c>
      <c r="E1594" t="s">
        <v>129</v>
      </c>
      <c r="F1594" t="s">
        <v>19</v>
      </c>
      <c r="G1594" t="s">
        <v>32</v>
      </c>
      <c r="H1594" t="s">
        <v>50</v>
      </c>
      <c r="I1594">
        <v>1</v>
      </c>
      <c r="J1594">
        <v>11.67</v>
      </c>
      <c r="K1594">
        <v>10</v>
      </c>
      <c r="L1594">
        <v>10.5</v>
      </c>
      <c r="M1594">
        <v>6.16</v>
      </c>
      <c r="N1594">
        <v>-0.91</v>
      </c>
      <c r="O1594" t="s">
        <v>34</v>
      </c>
      <c r="P1594">
        <v>2025</v>
      </c>
      <c r="Q1594" t="s">
        <v>3641</v>
      </c>
      <c r="R1594">
        <v>9.4499999999999993</v>
      </c>
      <c r="S1594">
        <v>-9.6296296296296297E-2</v>
      </c>
      <c r="T1594" t="s">
        <v>3634</v>
      </c>
      <c r="U1594" t="s">
        <v>3636</v>
      </c>
    </row>
    <row r="1595" spans="1:21" x14ac:dyDescent="0.25">
      <c r="A1595" t="s">
        <v>2974</v>
      </c>
      <c r="B1595" s="1">
        <v>45811</v>
      </c>
      <c r="C1595" t="s">
        <v>1408</v>
      </c>
      <c r="D1595" t="s">
        <v>49</v>
      </c>
      <c r="E1595" t="s">
        <v>76</v>
      </c>
      <c r="F1595" t="s">
        <v>26</v>
      </c>
      <c r="G1595" t="s">
        <v>69</v>
      </c>
      <c r="H1595" t="s">
        <v>243</v>
      </c>
      <c r="I1595">
        <v>2</v>
      </c>
      <c r="J1595">
        <v>16.7</v>
      </c>
      <c r="K1595">
        <v>15</v>
      </c>
      <c r="L1595">
        <v>28.39</v>
      </c>
      <c r="M1595">
        <v>11.41</v>
      </c>
      <c r="N1595">
        <v>0.28000000000000003</v>
      </c>
      <c r="O1595" t="s">
        <v>22</v>
      </c>
      <c r="P1595">
        <v>2025</v>
      </c>
      <c r="Q1595" t="s">
        <v>3641</v>
      </c>
      <c r="R1595">
        <v>24.131499999999999</v>
      </c>
      <c r="S1595">
        <v>1.16030913950645E-2</v>
      </c>
      <c r="T1595" t="s">
        <v>3634</v>
      </c>
      <c r="U1595" t="s">
        <v>3633</v>
      </c>
    </row>
    <row r="1596" spans="1:21" x14ac:dyDescent="0.25">
      <c r="A1596" t="s">
        <v>2975</v>
      </c>
      <c r="B1596" s="1">
        <v>45811</v>
      </c>
      <c r="C1596" t="s">
        <v>2898</v>
      </c>
      <c r="D1596" t="s">
        <v>17</v>
      </c>
      <c r="E1596" t="s">
        <v>18</v>
      </c>
      <c r="F1596" t="s">
        <v>19</v>
      </c>
      <c r="G1596" t="s">
        <v>42</v>
      </c>
      <c r="H1596" t="s">
        <v>93</v>
      </c>
      <c r="I1596">
        <v>5</v>
      </c>
      <c r="J1596">
        <v>408.13</v>
      </c>
      <c r="K1596">
        <v>15</v>
      </c>
      <c r="L1596">
        <v>1734.55</v>
      </c>
      <c r="M1596">
        <v>8.1199999999999992</v>
      </c>
      <c r="N1596">
        <v>502.04</v>
      </c>
      <c r="O1596" t="s">
        <v>34</v>
      </c>
      <c r="P1596">
        <v>2025</v>
      </c>
      <c r="Q1596" t="s">
        <v>3641</v>
      </c>
      <c r="R1596">
        <v>1474.3675000000001</v>
      </c>
      <c r="S1596">
        <v>0.34051211790818797</v>
      </c>
      <c r="T1596" t="s">
        <v>3635</v>
      </c>
      <c r="U1596" t="s">
        <v>3633</v>
      </c>
    </row>
    <row r="1597" spans="1:21" x14ac:dyDescent="0.25">
      <c r="A1597" t="s">
        <v>2976</v>
      </c>
      <c r="B1597" s="1">
        <v>45812</v>
      </c>
      <c r="C1597" t="s">
        <v>1837</v>
      </c>
      <c r="D1597" t="s">
        <v>30</v>
      </c>
      <c r="E1597" t="s">
        <v>138</v>
      </c>
      <c r="F1597" t="s">
        <v>54</v>
      </c>
      <c r="G1597" t="s">
        <v>69</v>
      </c>
      <c r="H1597" t="s">
        <v>70</v>
      </c>
      <c r="I1597">
        <v>3</v>
      </c>
      <c r="J1597">
        <v>22.94</v>
      </c>
      <c r="K1597">
        <v>5</v>
      </c>
      <c r="L1597">
        <v>65.38</v>
      </c>
      <c r="M1597">
        <v>13.72</v>
      </c>
      <c r="N1597">
        <v>17.25</v>
      </c>
      <c r="O1597" t="s">
        <v>56</v>
      </c>
      <c r="P1597">
        <v>2025</v>
      </c>
      <c r="Q1597" t="s">
        <v>3641</v>
      </c>
      <c r="R1597">
        <v>62.110999999999997</v>
      </c>
      <c r="S1597">
        <v>0.27772858269871697</v>
      </c>
      <c r="T1597" t="s">
        <v>3634</v>
      </c>
      <c r="U1597" t="s">
        <v>3633</v>
      </c>
    </row>
    <row r="1598" spans="1:21" x14ac:dyDescent="0.25">
      <c r="A1598" t="s">
        <v>2977</v>
      </c>
      <c r="B1598" s="1">
        <v>45812</v>
      </c>
      <c r="C1598" t="s">
        <v>2539</v>
      </c>
      <c r="D1598" t="s">
        <v>30</v>
      </c>
      <c r="E1598" t="s">
        <v>129</v>
      </c>
      <c r="F1598" t="s">
        <v>19</v>
      </c>
      <c r="G1598" t="s">
        <v>42</v>
      </c>
      <c r="H1598" t="s">
        <v>371</v>
      </c>
      <c r="I1598">
        <v>6</v>
      </c>
      <c r="J1598">
        <v>112.24</v>
      </c>
      <c r="K1598">
        <v>10</v>
      </c>
      <c r="L1598">
        <v>606.1</v>
      </c>
      <c r="M1598">
        <v>15.24</v>
      </c>
      <c r="N1598">
        <v>186.8</v>
      </c>
      <c r="O1598" t="s">
        <v>39</v>
      </c>
      <c r="P1598">
        <v>2025</v>
      </c>
      <c r="Q1598" t="s">
        <v>3641</v>
      </c>
      <c r="R1598">
        <v>545.49</v>
      </c>
      <c r="S1598">
        <v>0.342444407780161</v>
      </c>
      <c r="T1598" t="s">
        <v>3635</v>
      </c>
      <c r="U1598" t="s">
        <v>3633</v>
      </c>
    </row>
    <row r="1599" spans="1:21" x14ac:dyDescent="0.25">
      <c r="A1599" t="s">
        <v>2978</v>
      </c>
      <c r="B1599" s="1">
        <v>45813</v>
      </c>
      <c r="C1599" t="s">
        <v>2979</v>
      </c>
      <c r="D1599" t="s">
        <v>30</v>
      </c>
      <c r="E1599" t="s">
        <v>166</v>
      </c>
      <c r="F1599" t="s">
        <v>60</v>
      </c>
      <c r="G1599" t="s">
        <v>42</v>
      </c>
      <c r="H1599" t="s">
        <v>294</v>
      </c>
      <c r="I1599">
        <v>2</v>
      </c>
      <c r="J1599">
        <v>133.72</v>
      </c>
      <c r="K1599">
        <v>5</v>
      </c>
      <c r="L1599">
        <v>254.07</v>
      </c>
      <c r="M1599">
        <v>13.55</v>
      </c>
      <c r="N1599">
        <v>80.06</v>
      </c>
      <c r="O1599" t="s">
        <v>22</v>
      </c>
      <c r="P1599">
        <v>2025</v>
      </c>
      <c r="Q1599" t="s">
        <v>3641</v>
      </c>
      <c r="R1599">
        <v>241.3665</v>
      </c>
      <c r="S1599">
        <v>0.33169474637118201</v>
      </c>
      <c r="T1599" t="s">
        <v>3632</v>
      </c>
      <c r="U1599" t="s">
        <v>3633</v>
      </c>
    </row>
    <row r="1600" spans="1:21" x14ac:dyDescent="0.25">
      <c r="A1600" t="s">
        <v>2980</v>
      </c>
      <c r="B1600" s="1">
        <v>45813</v>
      </c>
      <c r="C1600" t="s">
        <v>2981</v>
      </c>
      <c r="D1600" t="s">
        <v>17</v>
      </c>
      <c r="E1600" t="s">
        <v>85</v>
      </c>
      <c r="F1600" t="s">
        <v>60</v>
      </c>
      <c r="G1600" t="s">
        <v>20</v>
      </c>
      <c r="H1600" t="s">
        <v>27</v>
      </c>
      <c r="I1600">
        <v>4</v>
      </c>
      <c r="J1600">
        <v>132.13999999999999</v>
      </c>
      <c r="K1600">
        <v>25</v>
      </c>
      <c r="L1600">
        <v>396.42</v>
      </c>
      <c r="M1600">
        <v>16.649999999999999</v>
      </c>
      <c r="N1600">
        <v>89.06</v>
      </c>
      <c r="O1600" t="s">
        <v>39</v>
      </c>
      <c r="P1600">
        <v>2025</v>
      </c>
      <c r="Q1600" t="s">
        <v>3641</v>
      </c>
      <c r="R1600">
        <v>297.315</v>
      </c>
      <c r="S1600">
        <v>0.299547617846392</v>
      </c>
      <c r="T1600" t="s">
        <v>3632</v>
      </c>
      <c r="U1600" t="s">
        <v>3633</v>
      </c>
    </row>
    <row r="1601" spans="1:21" x14ac:dyDescent="0.25">
      <c r="A1601" t="s">
        <v>2982</v>
      </c>
      <c r="B1601" s="1">
        <v>45814</v>
      </c>
      <c r="C1601" t="s">
        <v>2160</v>
      </c>
      <c r="D1601" t="s">
        <v>30</v>
      </c>
      <c r="E1601" t="s">
        <v>148</v>
      </c>
      <c r="F1601" t="s">
        <v>60</v>
      </c>
      <c r="G1601" t="s">
        <v>20</v>
      </c>
      <c r="H1601" t="s">
        <v>21</v>
      </c>
      <c r="I1601">
        <v>10</v>
      </c>
      <c r="J1601">
        <v>177.5</v>
      </c>
      <c r="K1601">
        <v>0</v>
      </c>
      <c r="L1601">
        <v>1775</v>
      </c>
      <c r="M1601">
        <v>15.06</v>
      </c>
      <c r="N1601">
        <v>783.69</v>
      </c>
      <c r="O1601" t="s">
        <v>34</v>
      </c>
      <c r="P1601">
        <v>2025</v>
      </c>
      <c r="Q1601" t="s">
        <v>3641</v>
      </c>
      <c r="R1601">
        <v>1775</v>
      </c>
      <c r="S1601">
        <v>0.441515492957746</v>
      </c>
      <c r="T1601" t="s">
        <v>3635</v>
      </c>
      <c r="U1601" t="s">
        <v>3633</v>
      </c>
    </row>
    <row r="1602" spans="1:21" x14ac:dyDescent="0.25">
      <c r="A1602" t="s">
        <v>2983</v>
      </c>
      <c r="B1602" s="1">
        <v>45814</v>
      </c>
      <c r="C1602" t="s">
        <v>2984</v>
      </c>
      <c r="D1602" t="s">
        <v>30</v>
      </c>
      <c r="E1602" t="s">
        <v>67</v>
      </c>
      <c r="F1602" t="s">
        <v>68</v>
      </c>
      <c r="G1602" t="s">
        <v>20</v>
      </c>
      <c r="H1602" t="s">
        <v>122</v>
      </c>
      <c r="I1602">
        <v>3</v>
      </c>
      <c r="J1602">
        <v>91.93</v>
      </c>
      <c r="K1602">
        <v>5</v>
      </c>
      <c r="L1602">
        <v>262</v>
      </c>
      <c r="M1602">
        <v>17.100000000000001</v>
      </c>
      <c r="N1602">
        <v>93.22</v>
      </c>
      <c r="O1602" t="s">
        <v>22</v>
      </c>
      <c r="P1602">
        <v>2025</v>
      </c>
      <c r="Q1602" t="s">
        <v>3641</v>
      </c>
      <c r="R1602">
        <v>248.9</v>
      </c>
      <c r="S1602">
        <v>0.374527922860587</v>
      </c>
      <c r="T1602" t="s">
        <v>3632</v>
      </c>
      <c r="U1602" t="s">
        <v>3633</v>
      </c>
    </row>
    <row r="1603" spans="1:21" x14ac:dyDescent="0.25">
      <c r="A1603" t="s">
        <v>2985</v>
      </c>
      <c r="B1603" s="1">
        <v>45815</v>
      </c>
      <c r="C1603" t="s">
        <v>2986</v>
      </c>
      <c r="D1603" t="s">
        <v>17</v>
      </c>
      <c r="E1603" t="s">
        <v>59</v>
      </c>
      <c r="F1603" t="s">
        <v>60</v>
      </c>
      <c r="G1603" t="s">
        <v>32</v>
      </c>
      <c r="H1603" t="s">
        <v>33</v>
      </c>
      <c r="I1603">
        <v>3</v>
      </c>
      <c r="J1603">
        <v>9.7200000000000006</v>
      </c>
      <c r="K1603">
        <v>0</v>
      </c>
      <c r="L1603">
        <v>29.16</v>
      </c>
      <c r="M1603">
        <v>13.7</v>
      </c>
      <c r="N1603">
        <v>2.34</v>
      </c>
      <c r="O1603" t="s">
        <v>56</v>
      </c>
      <c r="P1603">
        <v>2025</v>
      </c>
      <c r="Q1603" t="s">
        <v>3641</v>
      </c>
      <c r="R1603">
        <v>29.16</v>
      </c>
      <c r="S1603">
        <v>8.0246913580246895E-2</v>
      </c>
      <c r="T1603" t="s">
        <v>3634</v>
      </c>
      <c r="U1603" t="s">
        <v>3633</v>
      </c>
    </row>
    <row r="1604" spans="1:21" x14ac:dyDescent="0.25">
      <c r="A1604" t="s">
        <v>2987</v>
      </c>
      <c r="B1604" s="1">
        <v>45815</v>
      </c>
      <c r="C1604" t="s">
        <v>2988</v>
      </c>
      <c r="D1604" t="s">
        <v>30</v>
      </c>
      <c r="E1604" t="s">
        <v>76</v>
      </c>
      <c r="F1604" t="s">
        <v>26</v>
      </c>
      <c r="G1604" t="s">
        <v>20</v>
      </c>
      <c r="H1604" t="s">
        <v>55</v>
      </c>
      <c r="I1604">
        <v>1</v>
      </c>
      <c r="J1604">
        <v>52.67</v>
      </c>
      <c r="K1604">
        <v>5</v>
      </c>
      <c r="L1604">
        <v>50.04</v>
      </c>
      <c r="M1604">
        <v>8.6</v>
      </c>
      <c r="N1604">
        <v>12.47</v>
      </c>
      <c r="O1604" t="s">
        <v>34</v>
      </c>
      <c r="P1604">
        <v>2025</v>
      </c>
      <c r="Q1604" t="s">
        <v>3641</v>
      </c>
      <c r="R1604">
        <v>47.537999999999997</v>
      </c>
      <c r="S1604">
        <v>0.26231646261937802</v>
      </c>
      <c r="T1604" t="s">
        <v>3634</v>
      </c>
      <c r="U1604" t="s">
        <v>3633</v>
      </c>
    </row>
    <row r="1605" spans="1:21" x14ac:dyDescent="0.25">
      <c r="A1605" t="s">
        <v>2989</v>
      </c>
      <c r="B1605" s="1">
        <v>45815</v>
      </c>
      <c r="C1605" t="s">
        <v>2990</v>
      </c>
      <c r="D1605" t="s">
        <v>17</v>
      </c>
      <c r="E1605" t="s">
        <v>31</v>
      </c>
      <c r="F1605" t="s">
        <v>19</v>
      </c>
      <c r="G1605" t="s">
        <v>32</v>
      </c>
      <c r="H1605" t="s">
        <v>73</v>
      </c>
      <c r="I1605">
        <v>1</v>
      </c>
      <c r="J1605">
        <v>3.44</v>
      </c>
      <c r="K1605">
        <v>25</v>
      </c>
      <c r="L1605">
        <v>2.58</v>
      </c>
      <c r="M1605">
        <v>6.69</v>
      </c>
      <c r="N1605">
        <v>-5.66</v>
      </c>
      <c r="O1605" t="s">
        <v>34</v>
      </c>
      <c r="P1605">
        <v>2025</v>
      </c>
      <c r="Q1605" t="s">
        <v>3641</v>
      </c>
      <c r="R1605">
        <v>1.9350000000000001</v>
      </c>
      <c r="S1605">
        <v>-2.9250645994831999</v>
      </c>
      <c r="T1605" t="s">
        <v>3634</v>
      </c>
      <c r="U1605" t="s">
        <v>3636</v>
      </c>
    </row>
    <row r="1606" spans="1:21" x14ac:dyDescent="0.25">
      <c r="A1606" t="s">
        <v>2991</v>
      </c>
      <c r="B1606" s="1">
        <v>45815</v>
      </c>
      <c r="C1606" t="s">
        <v>425</v>
      </c>
      <c r="D1606" t="s">
        <v>30</v>
      </c>
      <c r="E1606" t="s">
        <v>135</v>
      </c>
      <c r="F1606" t="s">
        <v>26</v>
      </c>
      <c r="G1606" t="s">
        <v>69</v>
      </c>
      <c r="H1606" t="s">
        <v>98</v>
      </c>
      <c r="I1606">
        <v>5</v>
      </c>
      <c r="J1606">
        <v>16.98</v>
      </c>
      <c r="K1606">
        <v>15</v>
      </c>
      <c r="L1606">
        <v>72.17</v>
      </c>
      <c r="M1606">
        <v>10.38</v>
      </c>
      <c r="N1606">
        <v>19.34</v>
      </c>
      <c r="O1606" t="s">
        <v>39</v>
      </c>
      <c r="P1606">
        <v>2025</v>
      </c>
      <c r="Q1606" t="s">
        <v>3641</v>
      </c>
      <c r="R1606">
        <v>61.344499999999996</v>
      </c>
      <c r="S1606">
        <v>0.31526868749439602</v>
      </c>
      <c r="T1606" t="s">
        <v>3634</v>
      </c>
      <c r="U1606" t="s">
        <v>3633</v>
      </c>
    </row>
    <row r="1607" spans="1:21" x14ac:dyDescent="0.25">
      <c r="A1607" t="s">
        <v>2992</v>
      </c>
      <c r="B1607" s="1">
        <v>45816</v>
      </c>
      <c r="C1607" t="s">
        <v>1233</v>
      </c>
      <c r="D1607" t="s">
        <v>49</v>
      </c>
      <c r="E1607" t="s">
        <v>76</v>
      </c>
      <c r="F1607" t="s">
        <v>26</v>
      </c>
      <c r="G1607" t="s">
        <v>32</v>
      </c>
      <c r="H1607" t="s">
        <v>33</v>
      </c>
      <c r="I1607">
        <v>4</v>
      </c>
      <c r="J1607">
        <v>6.96</v>
      </c>
      <c r="K1607">
        <v>15</v>
      </c>
      <c r="L1607">
        <v>23.66</v>
      </c>
      <c r="M1607">
        <v>14.15</v>
      </c>
      <c r="N1607">
        <v>-3.02</v>
      </c>
      <c r="O1607" t="s">
        <v>34</v>
      </c>
      <c r="P1607">
        <v>2025</v>
      </c>
      <c r="Q1607" t="s">
        <v>3641</v>
      </c>
      <c r="R1607">
        <v>20.111000000000001</v>
      </c>
      <c r="S1607">
        <v>-0.15016657550594201</v>
      </c>
      <c r="T1607" t="s">
        <v>3634</v>
      </c>
      <c r="U1607" t="s">
        <v>3636</v>
      </c>
    </row>
    <row r="1608" spans="1:21" x14ac:dyDescent="0.25">
      <c r="A1608" t="s">
        <v>2993</v>
      </c>
      <c r="B1608" s="1">
        <v>45816</v>
      </c>
      <c r="C1608" t="s">
        <v>2994</v>
      </c>
      <c r="D1608" t="s">
        <v>30</v>
      </c>
      <c r="E1608" t="s">
        <v>138</v>
      </c>
      <c r="F1608" t="s">
        <v>54</v>
      </c>
      <c r="G1608" t="s">
        <v>69</v>
      </c>
      <c r="H1608" t="s">
        <v>243</v>
      </c>
      <c r="I1608">
        <v>2</v>
      </c>
      <c r="J1608">
        <v>49.74</v>
      </c>
      <c r="K1608">
        <v>0</v>
      </c>
      <c r="L1608">
        <v>99.48</v>
      </c>
      <c r="M1608">
        <v>14.2</v>
      </c>
      <c r="N1608">
        <v>35.54</v>
      </c>
      <c r="O1608" t="s">
        <v>34</v>
      </c>
      <c r="P1608">
        <v>2025</v>
      </c>
      <c r="Q1608" t="s">
        <v>3641</v>
      </c>
      <c r="R1608">
        <v>99.48</v>
      </c>
      <c r="S1608">
        <v>0.35725774024929602</v>
      </c>
      <c r="T1608" t="s">
        <v>3634</v>
      </c>
      <c r="U1608" t="s">
        <v>3633</v>
      </c>
    </row>
    <row r="1609" spans="1:21" x14ac:dyDescent="0.25">
      <c r="A1609" t="s">
        <v>2995</v>
      </c>
      <c r="B1609" s="1">
        <v>45818</v>
      </c>
      <c r="C1609" t="s">
        <v>421</v>
      </c>
      <c r="D1609" t="s">
        <v>17</v>
      </c>
      <c r="E1609" t="s">
        <v>63</v>
      </c>
      <c r="F1609" t="s">
        <v>54</v>
      </c>
      <c r="G1609" t="s">
        <v>32</v>
      </c>
      <c r="H1609" t="s">
        <v>149</v>
      </c>
      <c r="I1609">
        <v>1</v>
      </c>
      <c r="J1609">
        <v>14.71</v>
      </c>
      <c r="K1609">
        <v>10</v>
      </c>
      <c r="L1609">
        <v>13.24</v>
      </c>
      <c r="M1609">
        <v>12.16</v>
      </c>
      <c r="N1609">
        <v>-5.54</v>
      </c>
      <c r="O1609" t="s">
        <v>34</v>
      </c>
      <c r="P1609">
        <v>2025</v>
      </c>
      <c r="Q1609" t="s">
        <v>3641</v>
      </c>
      <c r="R1609">
        <v>11.916</v>
      </c>
      <c r="S1609">
        <v>-0.46492111446794199</v>
      </c>
      <c r="T1609" t="s">
        <v>3634</v>
      </c>
      <c r="U1609" t="s">
        <v>3636</v>
      </c>
    </row>
    <row r="1610" spans="1:21" x14ac:dyDescent="0.25">
      <c r="A1610" t="s">
        <v>2996</v>
      </c>
      <c r="B1610" s="1">
        <v>45818</v>
      </c>
      <c r="C1610" t="s">
        <v>2997</v>
      </c>
      <c r="D1610" t="s">
        <v>30</v>
      </c>
      <c r="E1610" t="s">
        <v>37</v>
      </c>
      <c r="F1610" t="s">
        <v>26</v>
      </c>
      <c r="G1610" t="s">
        <v>42</v>
      </c>
      <c r="H1610" t="s">
        <v>46</v>
      </c>
      <c r="I1610">
        <v>1</v>
      </c>
      <c r="J1610">
        <v>126.48</v>
      </c>
      <c r="K1610">
        <v>5</v>
      </c>
      <c r="L1610">
        <v>120.16</v>
      </c>
      <c r="M1610">
        <v>9.35</v>
      </c>
      <c r="N1610">
        <v>34.92</v>
      </c>
      <c r="O1610" t="s">
        <v>56</v>
      </c>
      <c r="P1610">
        <v>2025</v>
      </c>
      <c r="Q1610" t="s">
        <v>3641</v>
      </c>
      <c r="R1610">
        <v>114.152</v>
      </c>
      <c r="S1610">
        <v>0.30590791225734099</v>
      </c>
      <c r="T1610" t="s">
        <v>3632</v>
      </c>
      <c r="U1610" t="s">
        <v>3633</v>
      </c>
    </row>
    <row r="1611" spans="1:21" x14ac:dyDescent="0.25">
      <c r="A1611" t="s">
        <v>2998</v>
      </c>
      <c r="B1611" s="1">
        <v>45818</v>
      </c>
      <c r="C1611" t="s">
        <v>1302</v>
      </c>
      <c r="D1611" t="s">
        <v>30</v>
      </c>
      <c r="E1611" t="s">
        <v>129</v>
      </c>
      <c r="F1611" t="s">
        <v>19</v>
      </c>
      <c r="G1611" t="s">
        <v>42</v>
      </c>
      <c r="H1611" t="s">
        <v>118</v>
      </c>
      <c r="I1611">
        <v>2</v>
      </c>
      <c r="J1611">
        <v>81.06</v>
      </c>
      <c r="K1611">
        <v>10</v>
      </c>
      <c r="L1611">
        <v>145.91</v>
      </c>
      <c r="M1611">
        <v>9.58</v>
      </c>
      <c r="N1611">
        <v>39.06</v>
      </c>
      <c r="O1611" t="s">
        <v>39</v>
      </c>
      <c r="P1611">
        <v>2025</v>
      </c>
      <c r="Q1611" t="s">
        <v>3641</v>
      </c>
      <c r="R1611">
        <v>131.31899999999999</v>
      </c>
      <c r="S1611">
        <v>0.297443629634706</v>
      </c>
      <c r="T1611" t="s">
        <v>3632</v>
      </c>
      <c r="U1611" t="s">
        <v>3633</v>
      </c>
    </row>
    <row r="1612" spans="1:21" x14ac:dyDescent="0.25">
      <c r="A1612" t="s">
        <v>2999</v>
      </c>
      <c r="B1612" s="1">
        <v>45819</v>
      </c>
      <c r="C1612" t="s">
        <v>3000</v>
      </c>
      <c r="D1612" t="s">
        <v>17</v>
      </c>
      <c r="E1612" t="s">
        <v>18</v>
      </c>
      <c r="F1612" t="s">
        <v>19</v>
      </c>
      <c r="G1612" t="s">
        <v>20</v>
      </c>
      <c r="H1612" t="s">
        <v>122</v>
      </c>
      <c r="I1612">
        <v>1</v>
      </c>
      <c r="J1612">
        <v>95.57</v>
      </c>
      <c r="K1612">
        <v>30</v>
      </c>
      <c r="L1612">
        <v>66.900000000000006</v>
      </c>
      <c r="M1612">
        <v>6.55</v>
      </c>
      <c r="N1612">
        <v>7.79</v>
      </c>
      <c r="O1612" t="s">
        <v>39</v>
      </c>
      <c r="P1612">
        <v>2025</v>
      </c>
      <c r="Q1612" t="s">
        <v>3641</v>
      </c>
      <c r="R1612">
        <v>46.83</v>
      </c>
      <c r="S1612">
        <v>0.166346359171471</v>
      </c>
      <c r="T1612" t="s">
        <v>3634</v>
      </c>
      <c r="U1612" t="s">
        <v>3633</v>
      </c>
    </row>
    <row r="1613" spans="1:21" x14ac:dyDescent="0.25">
      <c r="A1613" t="s">
        <v>3001</v>
      </c>
      <c r="B1613" s="1">
        <v>45820</v>
      </c>
      <c r="C1613" t="s">
        <v>3002</v>
      </c>
      <c r="D1613" t="s">
        <v>17</v>
      </c>
      <c r="E1613" t="s">
        <v>135</v>
      </c>
      <c r="F1613" t="s">
        <v>26</v>
      </c>
      <c r="G1613" t="s">
        <v>42</v>
      </c>
      <c r="H1613" t="s">
        <v>46</v>
      </c>
      <c r="I1613">
        <v>1</v>
      </c>
      <c r="J1613">
        <v>177.19</v>
      </c>
      <c r="K1613">
        <v>10</v>
      </c>
      <c r="L1613">
        <v>159.47</v>
      </c>
      <c r="M1613">
        <v>7.89</v>
      </c>
      <c r="N1613">
        <v>45.27</v>
      </c>
      <c r="O1613" t="s">
        <v>22</v>
      </c>
      <c r="P1613">
        <v>2025</v>
      </c>
      <c r="Q1613" t="s">
        <v>3641</v>
      </c>
      <c r="R1613">
        <v>143.523</v>
      </c>
      <c r="S1613">
        <v>0.31541982818084902</v>
      </c>
      <c r="T1613" t="s">
        <v>3632</v>
      </c>
      <c r="U1613" t="s">
        <v>3633</v>
      </c>
    </row>
    <row r="1614" spans="1:21" x14ac:dyDescent="0.25">
      <c r="A1614" t="s">
        <v>3003</v>
      </c>
      <c r="B1614" s="1">
        <v>45822</v>
      </c>
      <c r="C1614" t="s">
        <v>1573</v>
      </c>
      <c r="D1614" t="s">
        <v>49</v>
      </c>
      <c r="E1614" t="s">
        <v>92</v>
      </c>
      <c r="F1614" t="s">
        <v>60</v>
      </c>
      <c r="G1614" t="s">
        <v>42</v>
      </c>
      <c r="H1614" t="s">
        <v>43</v>
      </c>
      <c r="I1614">
        <v>1</v>
      </c>
      <c r="J1614">
        <v>134.93</v>
      </c>
      <c r="K1614">
        <v>15</v>
      </c>
      <c r="L1614">
        <v>114.69</v>
      </c>
      <c r="M1614">
        <v>11.49</v>
      </c>
      <c r="N1614">
        <v>22.24</v>
      </c>
      <c r="O1614" t="s">
        <v>34</v>
      </c>
      <c r="P1614">
        <v>2025</v>
      </c>
      <c r="Q1614" t="s">
        <v>3641</v>
      </c>
      <c r="R1614">
        <v>97.486500000000007</v>
      </c>
      <c r="S1614">
        <v>0.22813415190821301</v>
      </c>
      <c r="T1614" t="s">
        <v>3632</v>
      </c>
      <c r="U1614" t="s">
        <v>3633</v>
      </c>
    </row>
    <row r="1615" spans="1:21" x14ac:dyDescent="0.25">
      <c r="A1615" t="s">
        <v>3004</v>
      </c>
      <c r="B1615" s="1">
        <v>45822</v>
      </c>
      <c r="C1615" t="s">
        <v>3005</v>
      </c>
      <c r="D1615" t="s">
        <v>17</v>
      </c>
      <c r="E1615" t="s">
        <v>169</v>
      </c>
      <c r="F1615" t="s">
        <v>68</v>
      </c>
      <c r="G1615" t="s">
        <v>20</v>
      </c>
      <c r="H1615" t="s">
        <v>27</v>
      </c>
      <c r="I1615">
        <v>8</v>
      </c>
      <c r="J1615">
        <v>84.99</v>
      </c>
      <c r="K1615">
        <v>5</v>
      </c>
      <c r="L1615">
        <v>645.91999999999996</v>
      </c>
      <c r="M1615">
        <v>16.53</v>
      </c>
      <c r="N1615">
        <v>255.43</v>
      </c>
      <c r="O1615" t="s">
        <v>34</v>
      </c>
      <c r="P1615">
        <v>2025</v>
      </c>
      <c r="Q1615" t="s">
        <v>3641</v>
      </c>
      <c r="R1615">
        <v>613.62400000000002</v>
      </c>
      <c r="S1615">
        <v>0.416264683258803</v>
      </c>
      <c r="T1615" t="s">
        <v>3635</v>
      </c>
      <c r="U1615" t="s">
        <v>3633</v>
      </c>
    </row>
    <row r="1616" spans="1:21" x14ac:dyDescent="0.25">
      <c r="A1616" t="s">
        <v>3006</v>
      </c>
      <c r="B1616" s="1">
        <v>45822</v>
      </c>
      <c r="C1616" t="s">
        <v>3007</v>
      </c>
      <c r="D1616" t="s">
        <v>17</v>
      </c>
      <c r="E1616" t="s">
        <v>129</v>
      </c>
      <c r="F1616" t="s">
        <v>19</v>
      </c>
      <c r="G1616" t="s">
        <v>42</v>
      </c>
      <c r="H1616" t="s">
        <v>118</v>
      </c>
      <c r="I1616">
        <v>2</v>
      </c>
      <c r="J1616">
        <v>89.6</v>
      </c>
      <c r="K1616">
        <v>5</v>
      </c>
      <c r="L1616">
        <v>170.24</v>
      </c>
      <c r="M1616">
        <v>9.8800000000000008</v>
      </c>
      <c r="N1616">
        <v>52.84</v>
      </c>
      <c r="O1616" t="s">
        <v>56</v>
      </c>
      <c r="P1616">
        <v>2025</v>
      </c>
      <c r="Q1616" t="s">
        <v>3641</v>
      </c>
      <c r="R1616">
        <v>161.72800000000001</v>
      </c>
      <c r="S1616">
        <v>0.32672140878512101</v>
      </c>
      <c r="T1616" t="s">
        <v>3632</v>
      </c>
      <c r="U1616" t="s">
        <v>3633</v>
      </c>
    </row>
    <row r="1617" spans="1:21" x14ac:dyDescent="0.25">
      <c r="A1617" t="s">
        <v>3008</v>
      </c>
      <c r="B1617" s="1">
        <v>45824</v>
      </c>
      <c r="C1617" t="s">
        <v>1072</v>
      </c>
      <c r="D1617" t="s">
        <v>49</v>
      </c>
      <c r="E1617" t="s">
        <v>18</v>
      </c>
      <c r="F1617" t="s">
        <v>19</v>
      </c>
      <c r="G1617" t="s">
        <v>32</v>
      </c>
      <c r="H1617" t="s">
        <v>110</v>
      </c>
      <c r="I1617">
        <v>1</v>
      </c>
      <c r="J1617">
        <v>4.99</v>
      </c>
      <c r="K1617">
        <v>0</v>
      </c>
      <c r="L1617">
        <v>4.99</v>
      </c>
      <c r="M1617">
        <v>6.34</v>
      </c>
      <c r="N1617">
        <v>-3.6</v>
      </c>
      <c r="O1617" t="s">
        <v>56</v>
      </c>
      <c r="P1617">
        <v>2025</v>
      </c>
      <c r="Q1617" t="s">
        <v>3641</v>
      </c>
      <c r="R1617">
        <v>4.99</v>
      </c>
      <c r="S1617">
        <v>-0.72144288577154303</v>
      </c>
      <c r="T1617" t="s">
        <v>3634</v>
      </c>
      <c r="U1617" t="s">
        <v>3636</v>
      </c>
    </row>
    <row r="1618" spans="1:21" x14ac:dyDescent="0.25">
      <c r="A1618" t="s">
        <v>3009</v>
      </c>
      <c r="B1618" s="1">
        <v>45824</v>
      </c>
      <c r="C1618" t="s">
        <v>3010</v>
      </c>
      <c r="D1618" t="s">
        <v>17</v>
      </c>
      <c r="E1618" t="s">
        <v>85</v>
      </c>
      <c r="F1618" t="s">
        <v>60</v>
      </c>
      <c r="G1618" t="s">
        <v>20</v>
      </c>
      <c r="H1618" t="s">
        <v>264</v>
      </c>
      <c r="I1618">
        <v>2</v>
      </c>
      <c r="J1618">
        <v>24.99</v>
      </c>
      <c r="K1618">
        <v>5</v>
      </c>
      <c r="L1618">
        <v>47.48</v>
      </c>
      <c r="M1618">
        <v>10.52</v>
      </c>
      <c r="N1618">
        <v>9.4700000000000006</v>
      </c>
      <c r="O1618" t="s">
        <v>39</v>
      </c>
      <c r="P1618">
        <v>2025</v>
      </c>
      <c r="Q1618" t="s">
        <v>3641</v>
      </c>
      <c r="R1618">
        <v>45.106000000000002</v>
      </c>
      <c r="S1618">
        <v>0.20994989580100201</v>
      </c>
      <c r="T1618" t="s">
        <v>3634</v>
      </c>
      <c r="U1618" t="s">
        <v>3633</v>
      </c>
    </row>
    <row r="1619" spans="1:21" x14ac:dyDescent="0.25">
      <c r="A1619" t="s">
        <v>3011</v>
      </c>
      <c r="B1619" s="1">
        <v>45825</v>
      </c>
      <c r="C1619" t="s">
        <v>3012</v>
      </c>
      <c r="D1619" t="s">
        <v>17</v>
      </c>
      <c r="E1619" t="s">
        <v>59</v>
      </c>
      <c r="F1619" t="s">
        <v>60</v>
      </c>
      <c r="G1619" t="s">
        <v>42</v>
      </c>
      <c r="H1619" t="s">
        <v>118</v>
      </c>
      <c r="I1619">
        <v>1</v>
      </c>
      <c r="J1619">
        <v>32.11</v>
      </c>
      <c r="K1619">
        <v>20</v>
      </c>
      <c r="L1619">
        <v>25.69</v>
      </c>
      <c r="M1619">
        <v>10.11</v>
      </c>
      <c r="N1619">
        <v>-3.69</v>
      </c>
      <c r="O1619" t="s">
        <v>56</v>
      </c>
      <c r="P1619">
        <v>2025</v>
      </c>
      <c r="Q1619" t="s">
        <v>3641</v>
      </c>
      <c r="R1619">
        <v>20.552</v>
      </c>
      <c r="S1619">
        <v>-0.17954456987154499</v>
      </c>
      <c r="T1619" t="s">
        <v>3634</v>
      </c>
      <c r="U1619" t="s">
        <v>3636</v>
      </c>
    </row>
    <row r="1620" spans="1:21" x14ac:dyDescent="0.25">
      <c r="A1620" t="s">
        <v>3013</v>
      </c>
      <c r="B1620" s="1">
        <v>45826</v>
      </c>
      <c r="C1620" t="s">
        <v>1326</v>
      </c>
      <c r="D1620" t="s">
        <v>49</v>
      </c>
      <c r="E1620" t="s">
        <v>138</v>
      </c>
      <c r="F1620" t="s">
        <v>54</v>
      </c>
      <c r="G1620" t="s">
        <v>69</v>
      </c>
      <c r="H1620" t="s">
        <v>79</v>
      </c>
      <c r="I1620">
        <v>1</v>
      </c>
      <c r="J1620">
        <v>39.86</v>
      </c>
      <c r="K1620">
        <v>0</v>
      </c>
      <c r="L1620">
        <v>39.86</v>
      </c>
      <c r="M1620">
        <v>11.78</v>
      </c>
      <c r="N1620">
        <v>8.15</v>
      </c>
      <c r="O1620" t="s">
        <v>56</v>
      </c>
      <c r="P1620">
        <v>2025</v>
      </c>
      <c r="Q1620" t="s">
        <v>3641</v>
      </c>
      <c r="R1620">
        <v>39.86</v>
      </c>
      <c r="S1620">
        <v>0.20446562970396401</v>
      </c>
      <c r="T1620" t="s">
        <v>3634</v>
      </c>
      <c r="U1620" t="s">
        <v>3633</v>
      </c>
    </row>
    <row r="1621" spans="1:21" x14ac:dyDescent="0.25">
      <c r="A1621" t="s">
        <v>3014</v>
      </c>
      <c r="B1621" s="1">
        <v>45826</v>
      </c>
      <c r="C1621" t="s">
        <v>868</v>
      </c>
      <c r="D1621" t="s">
        <v>30</v>
      </c>
      <c r="E1621" t="s">
        <v>76</v>
      </c>
      <c r="F1621" t="s">
        <v>26</v>
      </c>
      <c r="G1621" t="s">
        <v>69</v>
      </c>
      <c r="H1621" t="s">
        <v>70</v>
      </c>
      <c r="I1621">
        <v>4</v>
      </c>
      <c r="J1621">
        <v>44.68</v>
      </c>
      <c r="K1621">
        <v>10</v>
      </c>
      <c r="L1621">
        <v>160.85</v>
      </c>
      <c r="M1621">
        <v>12.79</v>
      </c>
      <c r="N1621">
        <v>58.7</v>
      </c>
      <c r="O1621" t="s">
        <v>34</v>
      </c>
      <c r="P1621">
        <v>2025</v>
      </c>
      <c r="Q1621" t="s">
        <v>3641</v>
      </c>
      <c r="R1621">
        <v>144.76499999999999</v>
      </c>
      <c r="S1621">
        <v>0.40548475114841298</v>
      </c>
      <c r="T1621" t="s">
        <v>3632</v>
      </c>
      <c r="U1621" t="s">
        <v>3633</v>
      </c>
    </row>
    <row r="1622" spans="1:21" x14ac:dyDescent="0.25">
      <c r="A1622" t="s">
        <v>3015</v>
      </c>
      <c r="B1622" s="1">
        <v>45826</v>
      </c>
      <c r="C1622" t="s">
        <v>3016</v>
      </c>
      <c r="D1622" t="s">
        <v>17</v>
      </c>
      <c r="E1622" t="s">
        <v>76</v>
      </c>
      <c r="F1622" t="s">
        <v>26</v>
      </c>
      <c r="G1622" t="s">
        <v>32</v>
      </c>
      <c r="H1622" t="s">
        <v>82</v>
      </c>
      <c r="I1622">
        <v>1</v>
      </c>
      <c r="J1622">
        <v>19.010000000000002</v>
      </c>
      <c r="K1622">
        <v>15</v>
      </c>
      <c r="L1622">
        <v>16.16</v>
      </c>
      <c r="M1622">
        <v>9.44</v>
      </c>
      <c r="N1622">
        <v>-1.83</v>
      </c>
      <c r="O1622" t="s">
        <v>34</v>
      </c>
      <c r="P1622">
        <v>2025</v>
      </c>
      <c r="Q1622" t="s">
        <v>3641</v>
      </c>
      <c r="R1622">
        <v>13.736000000000001</v>
      </c>
      <c r="S1622">
        <v>-0.133226557949913</v>
      </c>
      <c r="T1622" t="s">
        <v>3634</v>
      </c>
      <c r="U1622" t="s">
        <v>3636</v>
      </c>
    </row>
    <row r="1623" spans="1:21" x14ac:dyDescent="0.25">
      <c r="A1623" t="s">
        <v>3017</v>
      </c>
      <c r="B1623" s="1">
        <v>45826</v>
      </c>
      <c r="C1623" t="s">
        <v>3018</v>
      </c>
      <c r="D1623" t="s">
        <v>17</v>
      </c>
      <c r="E1623" t="s">
        <v>129</v>
      </c>
      <c r="F1623" t="s">
        <v>19</v>
      </c>
      <c r="G1623" t="s">
        <v>42</v>
      </c>
      <c r="H1623" t="s">
        <v>93</v>
      </c>
      <c r="I1623">
        <v>7</v>
      </c>
      <c r="J1623">
        <v>422.4</v>
      </c>
      <c r="K1623">
        <v>30</v>
      </c>
      <c r="L1623">
        <v>2069.7600000000002</v>
      </c>
      <c r="M1623">
        <v>15.51</v>
      </c>
      <c r="N1623">
        <v>280.17</v>
      </c>
      <c r="O1623" t="s">
        <v>39</v>
      </c>
      <c r="P1623">
        <v>2025</v>
      </c>
      <c r="Q1623" t="s">
        <v>3641</v>
      </c>
      <c r="R1623">
        <v>1448.8320000000001</v>
      </c>
      <c r="S1623">
        <v>0.193376457725948</v>
      </c>
      <c r="T1623" t="s">
        <v>3635</v>
      </c>
      <c r="U1623" t="s">
        <v>3633</v>
      </c>
    </row>
    <row r="1624" spans="1:21" x14ac:dyDescent="0.25">
      <c r="A1624" t="s">
        <v>3019</v>
      </c>
      <c r="B1624" s="1">
        <v>45827</v>
      </c>
      <c r="C1624" t="s">
        <v>3020</v>
      </c>
      <c r="D1624" t="s">
        <v>49</v>
      </c>
      <c r="E1624" t="s">
        <v>31</v>
      </c>
      <c r="F1624" t="s">
        <v>19</v>
      </c>
      <c r="G1624" t="s">
        <v>42</v>
      </c>
      <c r="H1624" t="s">
        <v>89</v>
      </c>
      <c r="I1624">
        <v>3</v>
      </c>
      <c r="J1624">
        <v>227.94</v>
      </c>
      <c r="K1624">
        <v>0</v>
      </c>
      <c r="L1624">
        <v>683.82</v>
      </c>
      <c r="M1624">
        <v>9.86</v>
      </c>
      <c r="N1624">
        <v>263.67</v>
      </c>
      <c r="O1624" t="s">
        <v>34</v>
      </c>
      <c r="P1624">
        <v>2025</v>
      </c>
      <c r="Q1624" t="s">
        <v>3641</v>
      </c>
      <c r="R1624">
        <v>683.82</v>
      </c>
      <c r="S1624">
        <v>0.38558392559445498</v>
      </c>
      <c r="T1624" t="s">
        <v>3635</v>
      </c>
      <c r="U1624" t="s">
        <v>3633</v>
      </c>
    </row>
    <row r="1625" spans="1:21" x14ac:dyDescent="0.25">
      <c r="A1625" t="s">
        <v>3021</v>
      </c>
      <c r="B1625" s="1">
        <v>45828</v>
      </c>
      <c r="C1625" t="s">
        <v>3022</v>
      </c>
      <c r="D1625" t="s">
        <v>49</v>
      </c>
      <c r="E1625" t="s">
        <v>59</v>
      </c>
      <c r="F1625" t="s">
        <v>60</v>
      </c>
      <c r="G1625" t="s">
        <v>20</v>
      </c>
      <c r="H1625" t="s">
        <v>170</v>
      </c>
      <c r="I1625">
        <v>1</v>
      </c>
      <c r="J1625">
        <v>22.46</v>
      </c>
      <c r="K1625">
        <v>5</v>
      </c>
      <c r="L1625">
        <v>21.34</v>
      </c>
      <c r="M1625">
        <v>9.83</v>
      </c>
      <c r="N1625">
        <v>-0.84</v>
      </c>
      <c r="O1625" t="s">
        <v>39</v>
      </c>
      <c r="P1625">
        <v>2025</v>
      </c>
      <c r="Q1625" t="s">
        <v>3641</v>
      </c>
      <c r="R1625">
        <v>20.273</v>
      </c>
      <c r="S1625">
        <v>-4.1434420164751101E-2</v>
      </c>
      <c r="T1625" t="s">
        <v>3634</v>
      </c>
      <c r="U1625" t="s">
        <v>3636</v>
      </c>
    </row>
    <row r="1626" spans="1:21" x14ac:dyDescent="0.25">
      <c r="A1626" t="s">
        <v>3023</v>
      </c>
      <c r="B1626" s="1">
        <v>45828</v>
      </c>
      <c r="C1626" t="s">
        <v>3024</v>
      </c>
      <c r="D1626" t="s">
        <v>30</v>
      </c>
      <c r="E1626" t="s">
        <v>37</v>
      </c>
      <c r="F1626" t="s">
        <v>26</v>
      </c>
      <c r="G1626" t="s">
        <v>32</v>
      </c>
      <c r="H1626" t="s">
        <v>348</v>
      </c>
      <c r="I1626">
        <v>2</v>
      </c>
      <c r="J1626">
        <v>11.32</v>
      </c>
      <c r="K1626">
        <v>0</v>
      </c>
      <c r="L1626">
        <v>22.64</v>
      </c>
      <c r="M1626">
        <v>10.02</v>
      </c>
      <c r="N1626">
        <v>2.4300000000000002</v>
      </c>
      <c r="O1626" t="s">
        <v>39</v>
      </c>
      <c r="P1626">
        <v>2025</v>
      </c>
      <c r="Q1626" t="s">
        <v>3641</v>
      </c>
      <c r="R1626">
        <v>22.64</v>
      </c>
      <c r="S1626">
        <v>0.107332155477032</v>
      </c>
      <c r="T1626" t="s">
        <v>3634</v>
      </c>
      <c r="U1626" t="s">
        <v>3633</v>
      </c>
    </row>
    <row r="1627" spans="1:21" x14ac:dyDescent="0.25">
      <c r="A1627" t="s">
        <v>3025</v>
      </c>
      <c r="B1627" s="1">
        <v>45828</v>
      </c>
      <c r="C1627" t="s">
        <v>3007</v>
      </c>
      <c r="D1627" t="s">
        <v>49</v>
      </c>
      <c r="E1627" t="s">
        <v>25</v>
      </c>
      <c r="F1627" t="s">
        <v>26</v>
      </c>
      <c r="G1627" t="s">
        <v>42</v>
      </c>
      <c r="H1627" t="s">
        <v>118</v>
      </c>
      <c r="I1627">
        <v>2</v>
      </c>
      <c r="J1627">
        <v>56.68</v>
      </c>
      <c r="K1627">
        <v>15</v>
      </c>
      <c r="L1627">
        <v>96.36</v>
      </c>
      <c r="M1627">
        <v>8.36</v>
      </c>
      <c r="N1627">
        <v>19.98</v>
      </c>
      <c r="O1627" t="s">
        <v>34</v>
      </c>
      <c r="P1627">
        <v>2025</v>
      </c>
      <c r="Q1627" t="s">
        <v>3641</v>
      </c>
      <c r="R1627">
        <v>81.906000000000006</v>
      </c>
      <c r="S1627">
        <v>0.243938173027617</v>
      </c>
      <c r="T1627" t="s">
        <v>3634</v>
      </c>
      <c r="U1627" t="s">
        <v>3633</v>
      </c>
    </row>
    <row r="1628" spans="1:21" x14ac:dyDescent="0.25">
      <c r="A1628" t="s">
        <v>3026</v>
      </c>
      <c r="B1628" s="1">
        <v>45829</v>
      </c>
      <c r="C1628" t="s">
        <v>3027</v>
      </c>
      <c r="D1628" t="s">
        <v>30</v>
      </c>
      <c r="E1628" t="s">
        <v>59</v>
      </c>
      <c r="F1628" t="s">
        <v>60</v>
      </c>
      <c r="G1628" t="s">
        <v>42</v>
      </c>
      <c r="H1628" t="s">
        <v>64</v>
      </c>
      <c r="I1628">
        <v>2</v>
      </c>
      <c r="J1628">
        <v>125.68</v>
      </c>
      <c r="K1628">
        <v>10</v>
      </c>
      <c r="L1628">
        <v>226.22</v>
      </c>
      <c r="M1628">
        <v>12.02</v>
      </c>
      <c r="N1628">
        <v>63.38</v>
      </c>
      <c r="O1628" t="s">
        <v>34</v>
      </c>
      <c r="P1628">
        <v>2025</v>
      </c>
      <c r="Q1628" t="s">
        <v>3641</v>
      </c>
      <c r="R1628">
        <v>203.59800000000001</v>
      </c>
      <c r="S1628">
        <v>0.311299718071887</v>
      </c>
      <c r="T1628" t="s">
        <v>3632</v>
      </c>
      <c r="U1628" t="s">
        <v>3633</v>
      </c>
    </row>
    <row r="1629" spans="1:21" x14ac:dyDescent="0.25">
      <c r="A1629" t="s">
        <v>3028</v>
      </c>
      <c r="B1629" s="1">
        <v>45830</v>
      </c>
      <c r="C1629" t="s">
        <v>2043</v>
      </c>
      <c r="D1629" t="s">
        <v>49</v>
      </c>
      <c r="E1629" t="s">
        <v>31</v>
      </c>
      <c r="F1629" t="s">
        <v>19</v>
      </c>
      <c r="G1629" t="s">
        <v>42</v>
      </c>
      <c r="H1629" t="s">
        <v>294</v>
      </c>
      <c r="I1629">
        <v>6</v>
      </c>
      <c r="J1629">
        <v>111.51</v>
      </c>
      <c r="K1629">
        <v>15</v>
      </c>
      <c r="L1629">
        <v>568.70000000000005</v>
      </c>
      <c r="M1629">
        <v>11.57</v>
      </c>
      <c r="N1629">
        <v>155.69</v>
      </c>
      <c r="O1629" t="s">
        <v>22</v>
      </c>
      <c r="P1629">
        <v>2025</v>
      </c>
      <c r="Q1629" t="s">
        <v>3641</v>
      </c>
      <c r="R1629">
        <v>483.39499999999998</v>
      </c>
      <c r="S1629">
        <v>0.32207614890514003</v>
      </c>
      <c r="T1629" t="s">
        <v>3635</v>
      </c>
      <c r="U1629" t="s">
        <v>3633</v>
      </c>
    </row>
    <row r="1630" spans="1:21" x14ac:dyDescent="0.25">
      <c r="A1630" t="s">
        <v>3029</v>
      </c>
      <c r="B1630" s="1">
        <v>45830</v>
      </c>
      <c r="C1630" t="s">
        <v>3030</v>
      </c>
      <c r="D1630" t="s">
        <v>17</v>
      </c>
      <c r="E1630" t="s">
        <v>76</v>
      </c>
      <c r="F1630" t="s">
        <v>26</v>
      </c>
      <c r="G1630" t="s">
        <v>20</v>
      </c>
      <c r="H1630" t="s">
        <v>55</v>
      </c>
      <c r="I1630">
        <v>2</v>
      </c>
      <c r="J1630">
        <v>27.7</v>
      </c>
      <c r="K1630">
        <v>25</v>
      </c>
      <c r="L1630">
        <v>41.55</v>
      </c>
      <c r="M1630">
        <v>8.7799999999999994</v>
      </c>
      <c r="N1630">
        <v>2.2999999999999998</v>
      </c>
      <c r="O1630" t="s">
        <v>34</v>
      </c>
      <c r="P1630">
        <v>2025</v>
      </c>
      <c r="Q1630" t="s">
        <v>3641</v>
      </c>
      <c r="R1630">
        <v>31.162500000000001</v>
      </c>
      <c r="S1630">
        <v>7.3806658644203799E-2</v>
      </c>
      <c r="T1630" t="s">
        <v>3634</v>
      </c>
      <c r="U1630" t="s">
        <v>3633</v>
      </c>
    </row>
    <row r="1631" spans="1:21" x14ac:dyDescent="0.25">
      <c r="A1631" t="s">
        <v>3031</v>
      </c>
      <c r="B1631" s="1">
        <v>45830</v>
      </c>
      <c r="C1631" t="s">
        <v>3032</v>
      </c>
      <c r="D1631" t="s">
        <v>17</v>
      </c>
      <c r="E1631" t="s">
        <v>166</v>
      </c>
      <c r="F1631" t="s">
        <v>60</v>
      </c>
      <c r="G1631" t="s">
        <v>32</v>
      </c>
      <c r="H1631" t="s">
        <v>115</v>
      </c>
      <c r="I1631">
        <v>1</v>
      </c>
      <c r="J1631">
        <v>12.26</v>
      </c>
      <c r="K1631">
        <v>10</v>
      </c>
      <c r="L1631">
        <v>11.03</v>
      </c>
      <c r="M1631">
        <v>10.84</v>
      </c>
      <c r="N1631">
        <v>-5.33</v>
      </c>
      <c r="O1631" t="s">
        <v>34</v>
      </c>
      <c r="P1631">
        <v>2025</v>
      </c>
      <c r="Q1631" t="s">
        <v>3641</v>
      </c>
      <c r="R1631">
        <v>9.9269999999999996</v>
      </c>
      <c r="S1631">
        <v>-0.53691951244081804</v>
      </c>
      <c r="T1631" t="s">
        <v>3634</v>
      </c>
      <c r="U1631" t="s">
        <v>3636</v>
      </c>
    </row>
    <row r="1632" spans="1:21" x14ac:dyDescent="0.25">
      <c r="A1632" t="s">
        <v>3033</v>
      </c>
      <c r="B1632" s="1">
        <v>45831</v>
      </c>
      <c r="C1632" t="s">
        <v>3034</v>
      </c>
      <c r="D1632" t="s">
        <v>17</v>
      </c>
      <c r="E1632" t="s">
        <v>92</v>
      </c>
      <c r="F1632" t="s">
        <v>60</v>
      </c>
      <c r="G1632" t="s">
        <v>42</v>
      </c>
      <c r="H1632" t="s">
        <v>371</v>
      </c>
      <c r="I1632">
        <v>5</v>
      </c>
      <c r="J1632">
        <v>166.9</v>
      </c>
      <c r="K1632">
        <v>25</v>
      </c>
      <c r="L1632">
        <v>625.88</v>
      </c>
      <c r="M1632">
        <v>18.86</v>
      </c>
      <c r="N1632">
        <v>106.32</v>
      </c>
      <c r="O1632" t="s">
        <v>39</v>
      </c>
      <c r="P1632">
        <v>2025</v>
      </c>
      <c r="Q1632" t="s">
        <v>3641</v>
      </c>
      <c r="R1632">
        <v>469.41</v>
      </c>
      <c r="S1632">
        <v>0.226497092094331</v>
      </c>
      <c r="T1632" t="s">
        <v>3635</v>
      </c>
      <c r="U1632" t="s">
        <v>3633</v>
      </c>
    </row>
    <row r="1633" spans="1:21" x14ac:dyDescent="0.25">
      <c r="A1633" t="s">
        <v>3035</v>
      </c>
      <c r="B1633" s="1">
        <v>45831</v>
      </c>
      <c r="C1633" t="s">
        <v>3036</v>
      </c>
      <c r="D1633" t="s">
        <v>30</v>
      </c>
      <c r="E1633" t="s">
        <v>25</v>
      </c>
      <c r="F1633" t="s">
        <v>26</v>
      </c>
      <c r="G1633" t="s">
        <v>20</v>
      </c>
      <c r="H1633" t="s">
        <v>264</v>
      </c>
      <c r="I1633">
        <v>1</v>
      </c>
      <c r="J1633">
        <v>51.63</v>
      </c>
      <c r="K1633">
        <v>0</v>
      </c>
      <c r="L1633">
        <v>51.63</v>
      </c>
      <c r="M1633">
        <v>7.8</v>
      </c>
      <c r="N1633">
        <v>15.43</v>
      </c>
      <c r="O1633" t="s">
        <v>39</v>
      </c>
      <c r="P1633">
        <v>2025</v>
      </c>
      <c r="Q1633" t="s">
        <v>3641</v>
      </c>
      <c r="R1633">
        <v>51.63</v>
      </c>
      <c r="S1633">
        <v>0.298857253534767</v>
      </c>
      <c r="T1633" t="s">
        <v>3634</v>
      </c>
      <c r="U1633" t="s">
        <v>3633</v>
      </c>
    </row>
    <row r="1634" spans="1:21" x14ac:dyDescent="0.25">
      <c r="A1634" t="s">
        <v>3037</v>
      </c>
      <c r="B1634" s="1">
        <v>45831</v>
      </c>
      <c r="C1634" t="s">
        <v>3038</v>
      </c>
      <c r="D1634" t="s">
        <v>30</v>
      </c>
      <c r="E1634" t="s">
        <v>248</v>
      </c>
      <c r="F1634" t="s">
        <v>26</v>
      </c>
      <c r="G1634" t="s">
        <v>42</v>
      </c>
      <c r="H1634" t="s">
        <v>46</v>
      </c>
      <c r="I1634">
        <v>1</v>
      </c>
      <c r="J1634">
        <v>144.88999999999999</v>
      </c>
      <c r="K1634">
        <v>10</v>
      </c>
      <c r="L1634">
        <v>130.4</v>
      </c>
      <c r="M1634">
        <v>8.09</v>
      </c>
      <c r="N1634">
        <v>35.380000000000003</v>
      </c>
      <c r="O1634" t="s">
        <v>34</v>
      </c>
      <c r="P1634">
        <v>2025</v>
      </c>
      <c r="Q1634" t="s">
        <v>3641</v>
      </c>
      <c r="R1634">
        <v>117.36</v>
      </c>
      <c r="S1634">
        <v>0.30146557600545298</v>
      </c>
      <c r="T1634" t="s">
        <v>3632</v>
      </c>
      <c r="U1634" t="s">
        <v>3633</v>
      </c>
    </row>
    <row r="1635" spans="1:21" x14ac:dyDescent="0.25">
      <c r="A1635" t="s">
        <v>3039</v>
      </c>
      <c r="B1635" s="1">
        <v>45832</v>
      </c>
      <c r="C1635" t="s">
        <v>3040</v>
      </c>
      <c r="D1635" t="s">
        <v>30</v>
      </c>
      <c r="E1635" t="s">
        <v>148</v>
      </c>
      <c r="F1635" t="s">
        <v>60</v>
      </c>
      <c r="G1635" t="s">
        <v>32</v>
      </c>
      <c r="H1635" t="s">
        <v>33</v>
      </c>
      <c r="I1635">
        <v>7</v>
      </c>
      <c r="J1635">
        <v>13.53</v>
      </c>
      <c r="K1635">
        <v>0</v>
      </c>
      <c r="L1635">
        <v>94.71</v>
      </c>
      <c r="M1635">
        <v>20.02</v>
      </c>
      <c r="N1635">
        <v>32.07</v>
      </c>
      <c r="O1635" t="s">
        <v>34</v>
      </c>
      <c r="P1635">
        <v>2025</v>
      </c>
      <c r="Q1635" t="s">
        <v>3641</v>
      </c>
      <c r="R1635">
        <v>94.71</v>
      </c>
      <c r="S1635">
        <v>0.33861260690528999</v>
      </c>
      <c r="T1635" t="s">
        <v>3634</v>
      </c>
      <c r="U1635" t="s">
        <v>3633</v>
      </c>
    </row>
    <row r="1636" spans="1:21" x14ac:dyDescent="0.25">
      <c r="A1636" t="s">
        <v>3041</v>
      </c>
      <c r="B1636" s="1">
        <v>45832</v>
      </c>
      <c r="C1636" t="s">
        <v>3042</v>
      </c>
      <c r="D1636" t="s">
        <v>17</v>
      </c>
      <c r="E1636" t="s">
        <v>63</v>
      </c>
      <c r="F1636" t="s">
        <v>54</v>
      </c>
      <c r="G1636" t="s">
        <v>32</v>
      </c>
      <c r="H1636" t="s">
        <v>82</v>
      </c>
      <c r="I1636">
        <v>4</v>
      </c>
      <c r="J1636">
        <v>18.899999999999999</v>
      </c>
      <c r="K1636">
        <v>20</v>
      </c>
      <c r="L1636">
        <v>60.48</v>
      </c>
      <c r="M1636">
        <v>16.12</v>
      </c>
      <c r="N1636">
        <v>10.34</v>
      </c>
      <c r="O1636" t="s">
        <v>34</v>
      </c>
      <c r="P1636">
        <v>2025</v>
      </c>
      <c r="Q1636" t="s">
        <v>3641</v>
      </c>
      <c r="R1636">
        <v>48.384</v>
      </c>
      <c r="S1636">
        <v>0.213707010582011</v>
      </c>
      <c r="T1636" t="s">
        <v>3634</v>
      </c>
      <c r="U1636" t="s">
        <v>3633</v>
      </c>
    </row>
    <row r="1637" spans="1:21" x14ac:dyDescent="0.25">
      <c r="A1637" t="s">
        <v>3043</v>
      </c>
      <c r="B1637" s="1">
        <v>45832</v>
      </c>
      <c r="C1637" t="s">
        <v>3044</v>
      </c>
      <c r="D1637" t="s">
        <v>49</v>
      </c>
      <c r="E1637" t="s">
        <v>135</v>
      </c>
      <c r="F1637" t="s">
        <v>26</v>
      </c>
      <c r="G1637" t="s">
        <v>32</v>
      </c>
      <c r="H1637" t="s">
        <v>149</v>
      </c>
      <c r="I1637">
        <v>1</v>
      </c>
      <c r="J1637">
        <v>16.309999999999999</v>
      </c>
      <c r="K1637">
        <v>0</v>
      </c>
      <c r="L1637">
        <v>16.309999999999999</v>
      </c>
      <c r="M1637">
        <v>8.77</v>
      </c>
      <c r="N1637">
        <v>0.2</v>
      </c>
      <c r="O1637" t="s">
        <v>34</v>
      </c>
      <c r="P1637">
        <v>2025</v>
      </c>
      <c r="Q1637" t="s">
        <v>3641</v>
      </c>
      <c r="R1637">
        <v>16.309999999999999</v>
      </c>
      <c r="S1637">
        <v>1.22624156958921E-2</v>
      </c>
      <c r="T1637" t="s">
        <v>3634</v>
      </c>
      <c r="U1637" t="s">
        <v>3633</v>
      </c>
    </row>
    <row r="1638" spans="1:21" x14ac:dyDescent="0.25">
      <c r="A1638" t="s">
        <v>3045</v>
      </c>
      <c r="B1638" s="1">
        <v>45832</v>
      </c>
      <c r="C1638" t="s">
        <v>3046</v>
      </c>
      <c r="D1638" t="s">
        <v>49</v>
      </c>
      <c r="E1638" t="s">
        <v>18</v>
      </c>
      <c r="F1638" t="s">
        <v>19</v>
      </c>
      <c r="G1638" t="s">
        <v>69</v>
      </c>
      <c r="H1638" t="s">
        <v>305</v>
      </c>
      <c r="I1638">
        <v>2</v>
      </c>
      <c r="J1638">
        <v>70.84</v>
      </c>
      <c r="K1638">
        <v>15</v>
      </c>
      <c r="L1638">
        <v>120.43</v>
      </c>
      <c r="M1638">
        <v>7.08</v>
      </c>
      <c r="N1638">
        <v>42.51</v>
      </c>
      <c r="O1638" t="s">
        <v>39</v>
      </c>
      <c r="P1638">
        <v>2025</v>
      </c>
      <c r="Q1638" t="s">
        <v>3641</v>
      </c>
      <c r="R1638">
        <v>102.3655</v>
      </c>
      <c r="S1638">
        <v>0.415276631286908</v>
      </c>
      <c r="T1638" t="s">
        <v>3632</v>
      </c>
      <c r="U1638" t="s">
        <v>3633</v>
      </c>
    </row>
    <row r="1639" spans="1:21" x14ac:dyDescent="0.25">
      <c r="A1639" t="s">
        <v>3047</v>
      </c>
      <c r="B1639" s="1">
        <v>45832</v>
      </c>
      <c r="C1639" t="s">
        <v>1335</v>
      </c>
      <c r="D1639" t="s">
        <v>17</v>
      </c>
      <c r="E1639" t="s">
        <v>76</v>
      </c>
      <c r="F1639" t="s">
        <v>26</v>
      </c>
      <c r="G1639" t="s">
        <v>32</v>
      </c>
      <c r="H1639" t="s">
        <v>101</v>
      </c>
      <c r="I1639">
        <v>5</v>
      </c>
      <c r="J1639">
        <v>19.61</v>
      </c>
      <c r="K1639">
        <v>20</v>
      </c>
      <c r="L1639">
        <v>78.44</v>
      </c>
      <c r="M1639">
        <v>10.31</v>
      </c>
      <c r="N1639">
        <v>24.01</v>
      </c>
      <c r="O1639" t="s">
        <v>22</v>
      </c>
      <c r="P1639">
        <v>2025</v>
      </c>
      <c r="Q1639" t="s">
        <v>3641</v>
      </c>
      <c r="R1639">
        <v>62.752000000000002</v>
      </c>
      <c r="S1639">
        <v>0.38261728709841902</v>
      </c>
      <c r="T1639" t="s">
        <v>3634</v>
      </c>
      <c r="U1639" t="s">
        <v>3633</v>
      </c>
    </row>
    <row r="1640" spans="1:21" x14ac:dyDescent="0.25">
      <c r="A1640" t="s">
        <v>3048</v>
      </c>
      <c r="B1640" s="1">
        <v>45833</v>
      </c>
      <c r="C1640" t="s">
        <v>2203</v>
      </c>
      <c r="D1640" t="s">
        <v>17</v>
      </c>
      <c r="E1640" t="s">
        <v>135</v>
      </c>
      <c r="F1640" t="s">
        <v>26</v>
      </c>
      <c r="G1640" t="s">
        <v>42</v>
      </c>
      <c r="H1640" t="s">
        <v>294</v>
      </c>
      <c r="I1640">
        <v>8</v>
      </c>
      <c r="J1640">
        <v>284.77999999999997</v>
      </c>
      <c r="K1640">
        <v>5</v>
      </c>
      <c r="L1640">
        <v>2164.33</v>
      </c>
      <c r="M1640">
        <v>25.98</v>
      </c>
      <c r="N1640">
        <v>771.41</v>
      </c>
      <c r="O1640" t="s">
        <v>56</v>
      </c>
      <c r="P1640">
        <v>2025</v>
      </c>
      <c r="Q1640" t="s">
        <v>3641</v>
      </c>
      <c r="R1640">
        <v>2056.1134999999999</v>
      </c>
      <c r="S1640">
        <v>0.37517870487207999</v>
      </c>
      <c r="T1640" t="s">
        <v>3635</v>
      </c>
      <c r="U1640" t="s">
        <v>3633</v>
      </c>
    </row>
    <row r="1641" spans="1:21" x14ac:dyDescent="0.25">
      <c r="A1641" t="s">
        <v>3049</v>
      </c>
      <c r="B1641" s="1">
        <v>45833</v>
      </c>
      <c r="C1641" t="s">
        <v>1030</v>
      </c>
      <c r="D1641" t="s">
        <v>17</v>
      </c>
      <c r="E1641" t="s">
        <v>85</v>
      </c>
      <c r="F1641" t="s">
        <v>60</v>
      </c>
      <c r="G1641" t="s">
        <v>20</v>
      </c>
      <c r="H1641" t="s">
        <v>21</v>
      </c>
      <c r="I1641">
        <v>11</v>
      </c>
      <c r="J1641">
        <v>61.31</v>
      </c>
      <c r="K1641">
        <v>5</v>
      </c>
      <c r="L1641">
        <v>640.69000000000005</v>
      </c>
      <c r="M1641">
        <v>33.82</v>
      </c>
      <c r="N1641">
        <v>235.94</v>
      </c>
      <c r="O1641" t="s">
        <v>39</v>
      </c>
      <c r="P1641">
        <v>2025</v>
      </c>
      <c r="Q1641" t="s">
        <v>3641</v>
      </c>
      <c r="R1641">
        <v>608.65549999999996</v>
      </c>
      <c r="S1641">
        <v>0.38764128476617699</v>
      </c>
      <c r="T1641" t="s">
        <v>3635</v>
      </c>
      <c r="U1641" t="s">
        <v>3633</v>
      </c>
    </row>
    <row r="1642" spans="1:21" x14ac:dyDescent="0.25">
      <c r="A1642" t="s">
        <v>3050</v>
      </c>
      <c r="B1642" s="1">
        <v>45833</v>
      </c>
      <c r="C1642" t="s">
        <v>2609</v>
      </c>
      <c r="D1642" t="s">
        <v>30</v>
      </c>
      <c r="E1642" t="s">
        <v>31</v>
      </c>
      <c r="F1642" t="s">
        <v>19</v>
      </c>
      <c r="G1642" t="s">
        <v>20</v>
      </c>
      <c r="H1642" t="s">
        <v>175</v>
      </c>
      <c r="I1642">
        <v>3</v>
      </c>
      <c r="J1642">
        <v>22.6</v>
      </c>
      <c r="K1642">
        <v>10</v>
      </c>
      <c r="L1642">
        <v>61.02</v>
      </c>
      <c r="M1642">
        <v>6.51</v>
      </c>
      <c r="N1642">
        <v>17.22</v>
      </c>
      <c r="O1642" t="s">
        <v>34</v>
      </c>
      <c r="P1642">
        <v>2025</v>
      </c>
      <c r="Q1642" t="s">
        <v>3641</v>
      </c>
      <c r="R1642">
        <v>54.917999999999999</v>
      </c>
      <c r="S1642">
        <v>0.31355839615426601</v>
      </c>
      <c r="T1642" t="s">
        <v>3634</v>
      </c>
      <c r="U1642" t="s">
        <v>3633</v>
      </c>
    </row>
    <row r="1643" spans="1:21" x14ac:dyDescent="0.25">
      <c r="A1643" t="s">
        <v>3051</v>
      </c>
      <c r="B1643" s="1">
        <v>45833</v>
      </c>
      <c r="C1643" t="s">
        <v>1624</v>
      </c>
      <c r="D1643" t="s">
        <v>30</v>
      </c>
      <c r="E1643" t="s">
        <v>37</v>
      </c>
      <c r="F1643" t="s">
        <v>26</v>
      </c>
      <c r="G1643" t="s">
        <v>32</v>
      </c>
      <c r="H1643" t="s">
        <v>101</v>
      </c>
      <c r="I1643">
        <v>4</v>
      </c>
      <c r="J1643">
        <v>7.06</v>
      </c>
      <c r="K1643">
        <v>0</v>
      </c>
      <c r="L1643">
        <v>28.24</v>
      </c>
      <c r="M1643">
        <v>13.62</v>
      </c>
      <c r="N1643">
        <v>1.91</v>
      </c>
      <c r="O1643" t="s">
        <v>22</v>
      </c>
      <c r="P1643">
        <v>2025</v>
      </c>
      <c r="Q1643" t="s">
        <v>3641</v>
      </c>
      <c r="R1643">
        <v>28.24</v>
      </c>
      <c r="S1643">
        <v>6.7634560906515595E-2</v>
      </c>
      <c r="T1643" t="s">
        <v>3634</v>
      </c>
      <c r="U1643" t="s">
        <v>3633</v>
      </c>
    </row>
    <row r="1644" spans="1:21" x14ac:dyDescent="0.25">
      <c r="A1644" t="s">
        <v>3052</v>
      </c>
      <c r="B1644" s="1">
        <v>45833</v>
      </c>
      <c r="C1644" t="s">
        <v>3053</v>
      </c>
      <c r="D1644" t="s">
        <v>30</v>
      </c>
      <c r="E1644" t="s">
        <v>109</v>
      </c>
      <c r="F1644" t="s">
        <v>54</v>
      </c>
      <c r="G1644" t="s">
        <v>20</v>
      </c>
      <c r="H1644" t="s">
        <v>264</v>
      </c>
      <c r="I1644">
        <v>1</v>
      </c>
      <c r="J1644">
        <v>34.770000000000003</v>
      </c>
      <c r="K1644">
        <v>0</v>
      </c>
      <c r="L1644">
        <v>34.770000000000003</v>
      </c>
      <c r="M1644">
        <v>11.76</v>
      </c>
      <c r="N1644">
        <v>3.89</v>
      </c>
      <c r="O1644" t="s">
        <v>34</v>
      </c>
      <c r="P1644">
        <v>2025</v>
      </c>
      <c r="Q1644" t="s">
        <v>3641</v>
      </c>
      <c r="R1644">
        <v>34.770000000000003</v>
      </c>
      <c r="S1644">
        <v>0.111878055795226</v>
      </c>
      <c r="T1644" t="s">
        <v>3634</v>
      </c>
      <c r="U1644" t="s">
        <v>3633</v>
      </c>
    </row>
    <row r="1645" spans="1:21" x14ac:dyDescent="0.25">
      <c r="A1645" t="s">
        <v>3054</v>
      </c>
      <c r="B1645" s="1">
        <v>45833</v>
      </c>
      <c r="C1645" t="s">
        <v>3055</v>
      </c>
      <c r="D1645" t="s">
        <v>30</v>
      </c>
      <c r="E1645" t="s">
        <v>85</v>
      </c>
      <c r="F1645" t="s">
        <v>60</v>
      </c>
      <c r="G1645" t="s">
        <v>69</v>
      </c>
      <c r="H1645" t="s">
        <v>243</v>
      </c>
      <c r="I1645">
        <v>6</v>
      </c>
      <c r="J1645">
        <v>17.93</v>
      </c>
      <c r="K1645">
        <v>10</v>
      </c>
      <c r="L1645">
        <v>96.82</v>
      </c>
      <c r="M1645">
        <v>15.34</v>
      </c>
      <c r="N1645">
        <v>27.69</v>
      </c>
      <c r="O1645" t="s">
        <v>34</v>
      </c>
      <c r="P1645">
        <v>2025</v>
      </c>
      <c r="Q1645" t="s">
        <v>3641</v>
      </c>
      <c r="R1645">
        <v>87.138000000000005</v>
      </c>
      <c r="S1645">
        <v>0.31777181023204598</v>
      </c>
      <c r="T1645" t="s">
        <v>3634</v>
      </c>
      <c r="U1645" t="s">
        <v>3633</v>
      </c>
    </row>
    <row r="1646" spans="1:21" x14ac:dyDescent="0.25">
      <c r="A1646" t="s">
        <v>3056</v>
      </c>
      <c r="B1646" s="1">
        <v>45835</v>
      </c>
      <c r="C1646" t="s">
        <v>2342</v>
      </c>
      <c r="D1646" t="s">
        <v>49</v>
      </c>
      <c r="E1646" t="s">
        <v>31</v>
      </c>
      <c r="F1646" t="s">
        <v>19</v>
      </c>
      <c r="G1646" t="s">
        <v>69</v>
      </c>
      <c r="H1646" t="s">
        <v>163</v>
      </c>
      <c r="I1646">
        <v>6</v>
      </c>
      <c r="J1646">
        <v>65.25</v>
      </c>
      <c r="K1646">
        <v>5</v>
      </c>
      <c r="L1646">
        <v>371.92</v>
      </c>
      <c r="M1646">
        <v>8.51</v>
      </c>
      <c r="N1646">
        <v>167.66</v>
      </c>
      <c r="O1646" t="s">
        <v>39</v>
      </c>
      <c r="P1646">
        <v>2025</v>
      </c>
      <c r="Q1646" t="s">
        <v>3641</v>
      </c>
      <c r="R1646">
        <v>353.32400000000001</v>
      </c>
      <c r="S1646">
        <v>0.47452196850482797</v>
      </c>
      <c r="T1646" t="s">
        <v>3632</v>
      </c>
      <c r="U1646" t="s">
        <v>3633</v>
      </c>
    </row>
    <row r="1647" spans="1:21" x14ac:dyDescent="0.25">
      <c r="A1647" t="s">
        <v>3057</v>
      </c>
      <c r="B1647" s="1">
        <v>45835</v>
      </c>
      <c r="C1647" t="s">
        <v>1618</v>
      </c>
      <c r="D1647" t="s">
        <v>30</v>
      </c>
      <c r="E1647" t="s">
        <v>31</v>
      </c>
      <c r="F1647" t="s">
        <v>19</v>
      </c>
      <c r="G1647" t="s">
        <v>20</v>
      </c>
      <c r="H1647" t="s">
        <v>55</v>
      </c>
      <c r="I1647">
        <v>2</v>
      </c>
      <c r="J1647">
        <v>38.03</v>
      </c>
      <c r="K1647">
        <v>5</v>
      </c>
      <c r="L1647">
        <v>72.260000000000005</v>
      </c>
      <c r="M1647">
        <v>9.2899999999999991</v>
      </c>
      <c r="N1647">
        <v>21.14</v>
      </c>
      <c r="O1647" t="s">
        <v>39</v>
      </c>
      <c r="P1647">
        <v>2025</v>
      </c>
      <c r="Q1647" t="s">
        <v>3641</v>
      </c>
      <c r="R1647">
        <v>68.647000000000006</v>
      </c>
      <c r="S1647">
        <v>0.30795227759406801</v>
      </c>
      <c r="T1647" t="s">
        <v>3634</v>
      </c>
      <c r="U1647" t="s">
        <v>3633</v>
      </c>
    </row>
    <row r="1648" spans="1:21" x14ac:dyDescent="0.25">
      <c r="A1648" t="s">
        <v>3058</v>
      </c>
      <c r="B1648" s="1">
        <v>45835</v>
      </c>
      <c r="C1648" t="s">
        <v>879</v>
      </c>
      <c r="D1648" t="s">
        <v>17</v>
      </c>
      <c r="E1648" t="s">
        <v>25</v>
      </c>
      <c r="F1648" t="s">
        <v>26</v>
      </c>
      <c r="G1648" t="s">
        <v>69</v>
      </c>
      <c r="H1648" t="s">
        <v>243</v>
      </c>
      <c r="I1648">
        <v>3</v>
      </c>
      <c r="J1648">
        <v>53.91</v>
      </c>
      <c r="K1648">
        <v>0</v>
      </c>
      <c r="L1648">
        <v>161.72999999999999</v>
      </c>
      <c r="M1648">
        <v>12.12</v>
      </c>
      <c r="N1648">
        <v>68.739999999999995</v>
      </c>
      <c r="O1648" t="s">
        <v>34</v>
      </c>
      <c r="P1648">
        <v>2025</v>
      </c>
      <c r="Q1648" t="s">
        <v>3641</v>
      </c>
      <c r="R1648">
        <v>161.72999999999999</v>
      </c>
      <c r="S1648">
        <v>0.42502936993754997</v>
      </c>
      <c r="T1648" t="s">
        <v>3632</v>
      </c>
      <c r="U1648" t="s">
        <v>3633</v>
      </c>
    </row>
    <row r="1649" spans="1:21" x14ac:dyDescent="0.25">
      <c r="A1649" t="s">
        <v>3059</v>
      </c>
      <c r="B1649" s="1">
        <v>45836</v>
      </c>
      <c r="C1649" t="s">
        <v>327</v>
      </c>
      <c r="D1649" t="s">
        <v>17</v>
      </c>
      <c r="E1649" t="s">
        <v>138</v>
      </c>
      <c r="F1649" t="s">
        <v>54</v>
      </c>
      <c r="G1649" t="s">
        <v>20</v>
      </c>
      <c r="H1649" t="s">
        <v>264</v>
      </c>
      <c r="I1649">
        <v>4</v>
      </c>
      <c r="J1649">
        <v>40.01</v>
      </c>
      <c r="K1649">
        <v>0</v>
      </c>
      <c r="L1649">
        <v>160.04</v>
      </c>
      <c r="M1649">
        <v>16.420000000000002</v>
      </c>
      <c r="N1649">
        <v>55.6</v>
      </c>
      <c r="O1649" t="s">
        <v>22</v>
      </c>
      <c r="P1649">
        <v>2025</v>
      </c>
      <c r="Q1649" t="s">
        <v>3641</v>
      </c>
      <c r="R1649">
        <v>160.04</v>
      </c>
      <c r="S1649">
        <v>0.34741314671332202</v>
      </c>
      <c r="T1649" t="s">
        <v>3632</v>
      </c>
      <c r="U1649" t="s">
        <v>3633</v>
      </c>
    </row>
    <row r="1650" spans="1:21" x14ac:dyDescent="0.25">
      <c r="A1650" t="s">
        <v>3060</v>
      </c>
      <c r="B1650" s="1">
        <v>45836</v>
      </c>
      <c r="C1650" t="s">
        <v>3061</v>
      </c>
      <c r="D1650" t="s">
        <v>30</v>
      </c>
      <c r="E1650" t="s">
        <v>59</v>
      </c>
      <c r="F1650" t="s">
        <v>60</v>
      </c>
      <c r="G1650" t="s">
        <v>20</v>
      </c>
      <c r="H1650" t="s">
        <v>55</v>
      </c>
      <c r="I1650">
        <v>9</v>
      </c>
      <c r="J1650">
        <v>58.82</v>
      </c>
      <c r="K1650">
        <v>5</v>
      </c>
      <c r="L1650">
        <v>502.91</v>
      </c>
      <c r="M1650">
        <v>25.7</v>
      </c>
      <c r="N1650">
        <v>186.05</v>
      </c>
      <c r="O1650" t="s">
        <v>39</v>
      </c>
      <c r="P1650">
        <v>2025</v>
      </c>
      <c r="Q1650" t="s">
        <v>3641</v>
      </c>
      <c r="R1650">
        <v>477.7645</v>
      </c>
      <c r="S1650">
        <v>0.38941779893650502</v>
      </c>
      <c r="T1650" t="s">
        <v>3635</v>
      </c>
      <c r="U1650" t="s">
        <v>3633</v>
      </c>
    </row>
    <row r="1651" spans="1:21" x14ac:dyDescent="0.25">
      <c r="A1651" t="s">
        <v>3062</v>
      </c>
      <c r="B1651" s="1">
        <v>45838</v>
      </c>
      <c r="C1651" t="s">
        <v>3063</v>
      </c>
      <c r="D1651" t="s">
        <v>17</v>
      </c>
      <c r="E1651" t="s">
        <v>18</v>
      </c>
      <c r="F1651" t="s">
        <v>19</v>
      </c>
      <c r="G1651" t="s">
        <v>32</v>
      </c>
      <c r="H1651" t="s">
        <v>33</v>
      </c>
      <c r="I1651">
        <v>2</v>
      </c>
      <c r="J1651">
        <v>8.98</v>
      </c>
      <c r="K1651">
        <v>10</v>
      </c>
      <c r="L1651">
        <v>16.16</v>
      </c>
      <c r="M1651">
        <v>9.66</v>
      </c>
      <c r="N1651">
        <v>-1.58</v>
      </c>
      <c r="O1651" t="s">
        <v>39</v>
      </c>
      <c r="P1651">
        <v>2025</v>
      </c>
      <c r="Q1651" t="s">
        <v>3641</v>
      </c>
      <c r="R1651">
        <v>14.544</v>
      </c>
      <c r="S1651">
        <v>-0.108635863586359</v>
      </c>
      <c r="T1651" t="s">
        <v>3634</v>
      </c>
      <c r="U1651" t="s">
        <v>3636</v>
      </c>
    </row>
    <row r="1652" spans="1:21" x14ac:dyDescent="0.25">
      <c r="A1652" t="s">
        <v>3064</v>
      </c>
      <c r="B1652" s="1">
        <v>45838</v>
      </c>
      <c r="C1652" t="s">
        <v>3065</v>
      </c>
      <c r="D1652" t="s">
        <v>30</v>
      </c>
      <c r="E1652" t="s">
        <v>31</v>
      </c>
      <c r="F1652" t="s">
        <v>19</v>
      </c>
      <c r="G1652" t="s">
        <v>42</v>
      </c>
      <c r="H1652" t="s">
        <v>255</v>
      </c>
      <c r="I1652">
        <v>3</v>
      </c>
      <c r="J1652">
        <v>29.12</v>
      </c>
      <c r="K1652">
        <v>0</v>
      </c>
      <c r="L1652">
        <v>87.36</v>
      </c>
      <c r="M1652">
        <v>11.41</v>
      </c>
      <c r="N1652">
        <v>23.53</v>
      </c>
      <c r="O1652" t="s">
        <v>22</v>
      </c>
      <c r="P1652">
        <v>2025</v>
      </c>
      <c r="Q1652" t="s">
        <v>3641</v>
      </c>
      <c r="R1652">
        <v>87.36</v>
      </c>
      <c r="S1652">
        <v>0.26934523809523803</v>
      </c>
      <c r="T1652" t="s">
        <v>3634</v>
      </c>
      <c r="U1652" t="s">
        <v>3633</v>
      </c>
    </row>
    <row r="1653" spans="1:21" x14ac:dyDescent="0.25">
      <c r="A1653" t="s">
        <v>3066</v>
      </c>
      <c r="B1653" s="1">
        <v>45840</v>
      </c>
      <c r="C1653" t="s">
        <v>3067</v>
      </c>
      <c r="D1653" t="s">
        <v>30</v>
      </c>
      <c r="E1653" t="s">
        <v>59</v>
      </c>
      <c r="F1653" t="s">
        <v>60</v>
      </c>
      <c r="G1653" t="s">
        <v>42</v>
      </c>
      <c r="H1653" t="s">
        <v>255</v>
      </c>
      <c r="I1653">
        <v>4</v>
      </c>
      <c r="J1653">
        <v>17.48</v>
      </c>
      <c r="K1653">
        <v>10</v>
      </c>
      <c r="L1653">
        <v>62.93</v>
      </c>
      <c r="M1653">
        <v>12.78</v>
      </c>
      <c r="N1653">
        <v>8.1999999999999993</v>
      </c>
      <c r="O1653" t="s">
        <v>22</v>
      </c>
      <c r="P1653">
        <v>2025</v>
      </c>
      <c r="Q1653" t="s">
        <v>3642</v>
      </c>
      <c r="R1653">
        <v>56.637</v>
      </c>
      <c r="S1653">
        <v>0.14478167982061199</v>
      </c>
      <c r="T1653" t="s">
        <v>3634</v>
      </c>
      <c r="U1653" t="s">
        <v>3633</v>
      </c>
    </row>
    <row r="1654" spans="1:21" x14ac:dyDescent="0.25">
      <c r="A1654" t="s">
        <v>3068</v>
      </c>
      <c r="B1654" s="1">
        <v>45841</v>
      </c>
      <c r="C1654" t="s">
        <v>2571</v>
      </c>
      <c r="D1654" t="s">
        <v>30</v>
      </c>
      <c r="E1654" t="s">
        <v>18</v>
      </c>
      <c r="F1654" t="s">
        <v>19</v>
      </c>
      <c r="G1654" t="s">
        <v>32</v>
      </c>
      <c r="H1654" t="s">
        <v>50</v>
      </c>
      <c r="I1654">
        <v>1</v>
      </c>
      <c r="J1654">
        <v>12.16</v>
      </c>
      <c r="K1654">
        <v>5</v>
      </c>
      <c r="L1654">
        <v>11.55</v>
      </c>
      <c r="M1654">
        <v>6.58</v>
      </c>
      <c r="N1654">
        <v>-0.5</v>
      </c>
      <c r="O1654" t="s">
        <v>56</v>
      </c>
      <c r="P1654">
        <v>2025</v>
      </c>
      <c r="Q1654" t="s">
        <v>3642</v>
      </c>
      <c r="R1654">
        <v>10.9725</v>
      </c>
      <c r="S1654">
        <v>-4.5568466621098203E-2</v>
      </c>
      <c r="T1654" t="s">
        <v>3634</v>
      </c>
      <c r="U1654" t="s">
        <v>3636</v>
      </c>
    </row>
    <row r="1655" spans="1:21" x14ac:dyDescent="0.25">
      <c r="A1655" t="s">
        <v>3069</v>
      </c>
      <c r="B1655" s="1">
        <v>45841</v>
      </c>
      <c r="C1655" t="s">
        <v>3070</v>
      </c>
      <c r="D1655" t="s">
        <v>17</v>
      </c>
      <c r="E1655" t="s">
        <v>76</v>
      </c>
      <c r="F1655" t="s">
        <v>26</v>
      </c>
      <c r="G1655" t="s">
        <v>32</v>
      </c>
      <c r="H1655" t="s">
        <v>149</v>
      </c>
      <c r="I1655">
        <v>8</v>
      </c>
      <c r="J1655">
        <v>17.670000000000002</v>
      </c>
      <c r="K1655">
        <v>10</v>
      </c>
      <c r="L1655">
        <v>127.22</v>
      </c>
      <c r="M1655">
        <v>25.24</v>
      </c>
      <c r="N1655">
        <v>38.369999999999997</v>
      </c>
      <c r="O1655" t="s">
        <v>39</v>
      </c>
      <c r="P1655">
        <v>2025</v>
      </c>
      <c r="Q1655" t="s">
        <v>3642</v>
      </c>
      <c r="R1655">
        <v>114.498</v>
      </c>
      <c r="S1655">
        <v>0.33511502384321101</v>
      </c>
      <c r="T1655" t="s">
        <v>3632</v>
      </c>
      <c r="U1655" t="s">
        <v>3633</v>
      </c>
    </row>
    <row r="1656" spans="1:21" x14ac:dyDescent="0.25">
      <c r="A1656" t="s">
        <v>3071</v>
      </c>
      <c r="B1656" s="1">
        <v>45841</v>
      </c>
      <c r="C1656" t="s">
        <v>1612</v>
      </c>
      <c r="D1656" t="s">
        <v>30</v>
      </c>
      <c r="E1656" t="s">
        <v>76</v>
      </c>
      <c r="F1656" t="s">
        <v>26</v>
      </c>
      <c r="G1656" t="s">
        <v>42</v>
      </c>
      <c r="H1656" t="s">
        <v>64</v>
      </c>
      <c r="I1656">
        <v>1</v>
      </c>
      <c r="J1656">
        <v>94.65</v>
      </c>
      <c r="K1656">
        <v>10</v>
      </c>
      <c r="L1656">
        <v>85.19</v>
      </c>
      <c r="M1656">
        <v>8.91</v>
      </c>
      <c r="N1656">
        <v>19.489999999999998</v>
      </c>
      <c r="O1656" t="s">
        <v>22</v>
      </c>
      <c r="P1656">
        <v>2025</v>
      </c>
      <c r="Q1656" t="s">
        <v>3642</v>
      </c>
      <c r="R1656">
        <v>76.671000000000006</v>
      </c>
      <c r="S1656">
        <v>0.25420302330737798</v>
      </c>
      <c r="T1656" t="s">
        <v>3634</v>
      </c>
      <c r="U1656" t="s">
        <v>3633</v>
      </c>
    </row>
    <row r="1657" spans="1:21" x14ac:dyDescent="0.25">
      <c r="A1657" t="s">
        <v>3072</v>
      </c>
      <c r="B1657" s="1">
        <v>45842</v>
      </c>
      <c r="C1657" t="s">
        <v>1465</v>
      </c>
      <c r="D1657" t="s">
        <v>17</v>
      </c>
      <c r="E1657" t="s">
        <v>18</v>
      </c>
      <c r="F1657" t="s">
        <v>19</v>
      </c>
      <c r="G1657" t="s">
        <v>42</v>
      </c>
      <c r="H1657" t="s">
        <v>64</v>
      </c>
      <c r="I1657">
        <v>2</v>
      </c>
      <c r="J1657">
        <v>49.81</v>
      </c>
      <c r="K1657">
        <v>0</v>
      </c>
      <c r="L1657">
        <v>99.62</v>
      </c>
      <c r="M1657">
        <v>8.52</v>
      </c>
      <c r="N1657">
        <v>31.33</v>
      </c>
      <c r="O1657" t="s">
        <v>34</v>
      </c>
      <c r="P1657">
        <v>2025</v>
      </c>
      <c r="Q1657" t="s">
        <v>3642</v>
      </c>
      <c r="R1657">
        <v>99.62</v>
      </c>
      <c r="S1657">
        <v>0.31449508130897402</v>
      </c>
      <c r="T1657" t="s">
        <v>3634</v>
      </c>
      <c r="U1657" t="s">
        <v>3633</v>
      </c>
    </row>
    <row r="1658" spans="1:21" x14ac:dyDescent="0.25">
      <c r="A1658" t="s">
        <v>3073</v>
      </c>
      <c r="B1658" s="1">
        <v>45844</v>
      </c>
      <c r="C1658" t="s">
        <v>1736</v>
      </c>
      <c r="D1658" t="s">
        <v>49</v>
      </c>
      <c r="E1658" t="s">
        <v>129</v>
      </c>
      <c r="F1658" t="s">
        <v>19</v>
      </c>
      <c r="G1658" t="s">
        <v>20</v>
      </c>
      <c r="H1658" t="s">
        <v>264</v>
      </c>
      <c r="I1658">
        <v>1</v>
      </c>
      <c r="J1658">
        <v>42.35</v>
      </c>
      <c r="K1658">
        <v>5</v>
      </c>
      <c r="L1658">
        <v>40.229999999999997</v>
      </c>
      <c r="M1658">
        <v>6.81</v>
      </c>
      <c r="N1658">
        <v>10.130000000000001</v>
      </c>
      <c r="O1658" t="s">
        <v>34</v>
      </c>
      <c r="P1658">
        <v>2025</v>
      </c>
      <c r="Q1658" t="s">
        <v>3642</v>
      </c>
      <c r="R1658">
        <v>38.218499999999999</v>
      </c>
      <c r="S1658">
        <v>0.26505488179808201</v>
      </c>
      <c r="T1658" t="s">
        <v>3634</v>
      </c>
      <c r="U1658" t="s">
        <v>3633</v>
      </c>
    </row>
    <row r="1659" spans="1:21" x14ac:dyDescent="0.25">
      <c r="A1659" t="s">
        <v>3074</v>
      </c>
      <c r="B1659" s="1">
        <v>45844</v>
      </c>
      <c r="C1659" t="s">
        <v>3075</v>
      </c>
      <c r="D1659" t="s">
        <v>49</v>
      </c>
      <c r="E1659" t="s">
        <v>37</v>
      </c>
      <c r="F1659" t="s">
        <v>26</v>
      </c>
      <c r="G1659" t="s">
        <v>69</v>
      </c>
      <c r="H1659" t="s">
        <v>196</v>
      </c>
      <c r="I1659">
        <v>1</v>
      </c>
      <c r="J1659">
        <v>9.44</v>
      </c>
      <c r="K1659">
        <v>0</v>
      </c>
      <c r="L1659">
        <v>9.44</v>
      </c>
      <c r="M1659">
        <v>9.42</v>
      </c>
      <c r="N1659">
        <v>-4.7</v>
      </c>
      <c r="O1659" t="s">
        <v>39</v>
      </c>
      <c r="P1659">
        <v>2025</v>
      </c>
      <c r="Q1659" t="s">
        <v>3642</v>
      </c>
      <c r="R1659">
        <v>9.44</v>
      </c>
      <c r="S1659">
        <v>-0.49788135593220301</v>
      </c>
      <c r="T1659" t="s">
        <v>3634</v>
      </c>
      <c r="U1659" t="s">
        <v>3636</v>
      </c>
    </row>
    <row r="1660" spans="1:21" x14ac:dyDescent="0.25">
      <c r="A1660" t="s">
        <v>3076</v>
      </c>
      <c r="B1660" s="1">
        <v>45844</v>
      </c>
      <c r="C1660" t="s">
        <v>1322</v>
      </c>
      <c r="D1660" t="s">
        <v>30</v>
      </c>
      <c r="E1660" t="s">
        <v>166</v>
      </c>
      <c r="F1660" t="s">
        <v>60</v>
      </c>
      <c r="G1660" t="s">
        <v>20</v>
      </c>
      <c r="H1660" t="s">
        <v>175</v>
      </c>
      <c r="I1660">
        <v>4</v>
      </c>
      <c r="J1660">
        <v>16.22</v>
      </c>
      <c r="K1660">
        <v>25</v>
      </c>
      <c r="L1660">
        <v>48.66</v>
      </c>
      <c r="M1660">
        <v>16.63</v>
      </c>
      <c r="N1660">
        <v>-3.65</v>
      </c>
      <c r="O1660" t="s">
        <v>39</v>
      </c>
      <c r="P1660">
        <v>2025</v>
      </c>
      <c r="Q1660" t="s">
        <v>3642</v>
      </c>
      <c r="R1660">
        <v>36.494999999999997</v>
      </c>
      <c r="S1660">
        <v>-0.100013700506919</v>
      </c>
      <c r="T1660" t="s">
        <v>3634</v>
      </c>
      <c r="U1660" t="s">
        <v>3636</v>
      </c>
    </row>
    <row r="1661" spans="1:21" x14ac:dyDescent="0.25">
      <c r="A1661" t="s">
        <v>3077</v>
      </c>
      <c r="B1661" s="1">
        <v>45844</v>
      </c>
      <c r="C1661" t="s">
        <v>3078</v>
      </c>
      <c r="D1661" t="s">
        <v>30</v>
      </c>
      <c r="E1661" t="s">
        <v>138</v>
      </c>
      <c r="F1661" t="s">
        <v>54</v>
      </c>
      <c r="G1661" t="s">
        <v>42</v>
      </c>
      <c r="H1661" t="s">
        <v>118</v>
      </c>
      <c r="I1661">
        <v>6</v>
      </c>
      <c r="J1661">
        <v>75.930000000000007</v>
      </c>
      <c r="K1661">
        <v>5</v>
      </c>
      <c r="L1661">
        <v>432.8</v>
      </c>
      <c r="M1661">
        <v>17.420000000000002</v>
      </c>
      <c r="N1661">
        <v>142.03</v>
      </c>
      <c r="O1661" t="s">
        <v>39</v>
      </c>
      <c r="P1661">
        <v>2025</v>
      </c>
      <c r="Q1661" t="s">
        <v>3642</v>
      </c>
      <c r="R1661">
        <v>411.16</v>
      </c>
      <c r="S1661">
        <v>0.34543729934818601</v>
      </c>
      <c r="T1661" t="s">
        <v>3632</v>
      </c>
      <c r="U1661" t="s">
        <v>3633</v>
      </c>
    </row>
    <row r="1662" spans="1:21" x14ac:dyDescent="0.25">
      <c r="A1662" t="s">
        <v>3079</v>
      </c>
      <c r="B1662" s="1">
        <v>45845</v>
      </c>
      <c r="C1662" t="s">
        <v>3080</v>
      </c>
      <c r="D1662" t="s">
        <v>30</v>
      </c>
      <c r="E1662" t="s">
        <v>166</v>
      </c>
      <c r="F1662" t="s">
        <v>60</v>
      </c>
      <c r="G1662" t="s">
        <v>32</v>
      </c>
      <c r="H1662" t="s">
        <v>50</v>
      </c>
      <c r="I1662">
        <v>5</v>
      </c>
      <c r="J1662">
        <v>10.74</v>
      </c>
      <c r="K1662">
        <v>5</v>
      </c>
      <c r="L1662">
        <v>51.02</v>
      </c>
      <c r="M1662">
        <v>15.88</v>
      </c>
      <c r="N1662">
        <v>10.97</v>
      </c>
      <c r="O1662" t="s">
        <v>39</v>
      </c>
      <c r="P1662">
        <v>2025</v>
      </c>
      <c r="Q1662" t="s">
        <v>3642</v>
      </c>
      <c r="R1662">
        <v>48.469000000000001</v>
      </c>
      <c r="S1662">
        <v>0.22633023169448499</v>
      </c>
      <c r="T1662" t="s">
        <v>3634</v>
      </c>
      <c r="U1662" t="s">
        <v>3633</v>
      </c>
    </row>
    <row r="1663" spans="1:21" x14ac:dyDescent="0.25">
      <c r="A1663" t="s">
        <v>3081</v>
      </c>
      <c r="B1663" s="1">
        <v>45845</v>
      </c>
      <c r="C1663" t="s">
        <v>3040</v>
      </c>
      <c r="D1663" t="s">
        <v>30</v>
      </c>
      <c r="E1663" t="s">
        <v>85</v>
      </c>
      <c r="F1663" t="s">
        <v>60</v>
      </c>
      <c r="G1663" t="s">
        <v>69</v>
      </c>
      <c r="H1663" t="s">
        <v>160</v>
      </c>
      <c r="I1663">
        <v>3</v>
      </c>
      <c r="J1663">
        <v>13.01</v>
      </c>
      <c r="K1663">
        <v>0</v>
      </c>
      <c r="L1663">
        <v>39.03</v>
      </c>
      <c r="M1663">
        <v>14.95</v>
      </c>
      <c r="N1663">
        <v>4.57</v>
      </c>
      <c r="O1663" t="s">
        <v>39</v>
      </c>
      <c r="P1663">
        <v>2025</v>
      </c>
      <c r="Q1663" t="s">
        <v>3642</v>
      </c>
      <c r="R1663">
        <v>39.03</v>
      </c>
      <c r="S1663">
        <v>0.117089418396106</v>
      </c>
      <c r="T1663" t="s">
        <v>3634</v>
      </c>
      <c r="U1663" t="s">
        <v>3633</v>
      </c>
    </row>
    <row r="1664" spans="1:21" x14ac:dyDescent="0.25">
      <c r="A1664" t="s">
        <v>3082</v>
      </c>
      <c r="B1664" s="1">
        <v>45846</v>
      </c>
      <c r="C1664" t="s">
        <v>1848</v>
      </c>
      <c r="D1664" t="s">
        <v>49</v>
      </c>
      <c r="E1664" t="s">
        <v>92</v>
      </c>
      <c r="F1664" t="s">
        <v>60</v>
      </c>
      <c r="G1664" t="s">
        <v>32</v>
      </c>
      <c r="H1664" t="s">
        <v>132</v>
      </c>
      <c r="I1664">
        <v>12</v>
      </c>
      <c r="J1664">
        <v>15.36</v>
      </c>
      <c r="K1664">
        <v>5</v>
      </c>
      <c r="L1664">
        <v>175.1</v>
      </c>
      <c r="M1664">
        <v>38.299999999999997</v>
      </c>
      <c r="N1664">
        <v>53.86</v>
      </c>
      <c r="O1664" t="s">
        <v>34</v>
      </c>
      <c r="P1664">
        <v>2025</v>
      </c>
      <c r="Q1664" t="s">
        <v>3642</v>
      </c>
      <c r="R1664">
        <v>166.345</v>
      </c>
      <c r="S1664">
        <v>0.323784904866392</v>
      </c>
      <c r="T1664" t="s">
        <v>3632</v>
      </c>
      <c r="U1664" t="s">
        <v>3633</v>
      </c>
    </row>
    <row r="1665" spans="1:21" x14ac:dyDescent="0.25">
      <c r="A1665" t="s">
        <v>3083</v>
      </c>
      <c r="B1665" s="1">
        <v>45846</v>
      </c>
      <c r="C1665" t="s">
        <v>3084</v>
      </c>
      <c r="D1665" t="s">
        <v>30</v>
      </c>
      <c r="E1665" t="s">
        <v>85</v>
      </c>
      <c r="F1665" t="s">
        <v>60</v>
      </c>
      <c r="G1665" t="s">
        <v>20</v>
      </c>
      <c r="H1665" t="s">
        <v>27</v>
      </c>
      <c r="I1665">
        <v>1</v>
      </c>
      <c r="J1665">
        <v>59.17</v>
      </c>
      <c r="K1665">
        <v>0</v>
      </c>
      <c r="L1665">
        <v>59.17</v>
      </c>
      <c r="M1665">
        <v>11.08</v>
      </c>
      <c r="N1665">
        <v>15.55</v>
      </c>
      <c r="O1665" t="s">
        <v>34</v>
      </c>
      <c r="P1665">
        <v>2025</v>
      </c>
      <c r="Q1665" t="s">
        <v>3642</v>
      </c>
      <c r="R1665">
        <v>59.17</v>
      </c>
      <c r="S1665">
        <v>0.26280209565658302</v>
      </c>
      <c r="T1665" t="s">
        <v>3634</v>
      </c>
      <c r="U1665" t="s">
        <v>3633</v>
      </c>
    </row>
    <row r="1666" spans="1:21" x14ac:dyDescent="0.25">
      <c r="A1666" t="s">
        <v>3085</v>
      </c>
      <c r="B1666" s="1">
        <v>45848</v>
      </c>
      <c r="C1666" t="s">
        <v>3086</v>
      </c>
      <c r="D1666" t="s">
        <v>30</v>
      </c>
      <c r="E1666" t="s">
        <v>135</v>
      </c>
      <c r="F1666" t="s">
        <v>26</v>
      </c>
      <c r="G1666" t="s">
        <v>69</v>
      </c>
      <c r="H1666" t="s">
        <v>243</v>
      </c>
      <c r="I1666">
        <v>2</v>
      </c>
      <c r="J1666">
        <v>40.96</v>
      </c>
      <c r="K1666">
        <v>0</v>
      </c>
      <c r="L1666">
        <v>81.92</v>
      </c>
      <c r="M1666">
        <v>8.07</v>
      </c>
      <c r="N1666">
        <v>32.89</v>
      </c>
      <c r="O1666" t="s">
        <v>34</v>
      </c>
      <c r="P1666">
        <v>2025</v>
      </c>
      <c r="Q1666" t="s">
        <v>3642</v>
      </c>
      <c r="R1666">
        <v>81.92</v>
      </c>
      <c r="S1666">
        <v>0.4014892578125</v>
      </c>
      <c r="T1666" t="s">
        <v>3634</v>
      </c>
      <c r="U1666" t="s">
        <v>3633</v>
      </c>
    </row>
    <row r="1667" spans="1:21" x14ac:dyDescent="0.25">
      <c r="A1667" t="s">
        <v>3087</v>
      </c>
      <c r="B1667" s="1">
        <v>45850</v>
      </c>
      <c r="C1667" t="s">
        <v>3088</v>
      </c>
      <c r="D1667" t="s">
        <v>17</v>
      </c>
      <c r="E1667" t="s">
        <v>67</v>
      </c>
      <c r="F1667" t="s">
        <v>68</v>
      </c>
      <c r="G1667" t="s">
        <v>42</v>
      </c>
      <c r="H1667" t="s">
        <v>64</v>
      </c>
      <c r="I1667">
        <v>1</v>
      </c>
      <c r="J1667">
        <v>117.46</v>
      </c>
      <c r="K1667">
        <v>10</v>
      </c>
      <c r="L1667">
        <v>105.71</v>
      </c>
      <c r="M1667">
        <v>11.69</v>
      </c>
      <c r="N1667">
        <v>23.54</v>
      </c>
      <c r="O1667" t="s">
        <v>39</v>
      </c>
      <c r="P1667">
        <v>2025</v>
      </c>
      <c r="Q1667" t="s">
        <v>3642</v>
      </c>
      <c r="R1667">
        <v>95.138999999999996</v>
      </c>
      <c r="S1667">
        <v>0.247427448259914</v>
      </c>
      <c r="T1667" t="s">
        <v>3632</v>
      </c>
      <c r="U1667" t="s">
        <v>3633</v>
      </c>
    </row>
    <row r="1668" spans="1:21" x14ac:dyDescent="0.25">
      <c r="A1668" t="s">
        <v>3089</v>
      </c>
      <c r="B1668" s="1">
        <v>45851</v>
      </c>
      <c r="C1668" t="s">
        <v>383</v>
      </c>
      <c r="D1668" t="s">
        <v>17</v>
      </c>
      <c r="E1668" t="s">
        <v>248</v>
      </c>
      <c r="F1668" t="s">
        <v>26</v>
      </c>
      <c r="G1668" t="s">
        <v>42</v>
      </c>
      <c r="H1668" t="s">
        <v>46</v>
      </c>
      <c r="I1668">
        <v>4</v>
      </c>
      <c r="J1668">
        <v>96.5</v>
      </c>
      <c r="K1668">
        <v>20</v>
      </c>
      <c r="L1668">
        <v>308.8</v>
      </c>
      <c r="M1668">
        <v>15.4</v>
      </c>
      <c r="N1668">
        <v>61.8</v>
      </c>
      <c r="O1668" t="s">
        <v>34</v>
      </c>
      <c r="P1668">
        <v>2025</v>
      </c>
      <c r="Q1668" t="s">
        <v>3642</v>
      </c>
      <c r="R1668">
        <v>247.04</v>
      </c>
      <c r="S1668">
        <v>0.25016191709844599</v>
      </c>
      <c r="T1668" t="s">
        <v>3632</v>
      </c>
      <c r="U1668" t="s">
        <v>3633</v>
      </c>
    </row>
    <row r="1669" spans="1:21" x14ac:dyDescent="0.25">
      <c r="A1669" t="s">
        <v>3090</v>
      </c>
      <c r="B1669" s="1">
        <v>45851</v>
      </c>
      <c r="C1669" t="s">
        <v>786</v>
      </c>
      <c r="D1669" t="s">
        <v>30</v>
      </c>
      <c r="E1669" t="s">
        <v>248</v>
      </c>
      <c r="F1669" t="s">
        <v>26</v>
      </c>
      <c r="G1669" t="s">
        <v>69</v>
      </c>
      <c r="H1669" t="s">
        <v>196</v>
      </c>
      <c r="I1669">
        <v>7</v>
      </c>
      <c r="J1669">
        <v>12.71</v>
      </c>
      <c r="K1669">
        <v>0</v>
      </c>
      <c r="L1669">
        <v>88.97</v>
      </c>
      <c r="M1669">
        <v>11.25</v>
      </c>
      <c r="N1669">
        <v>33.229999999999997</v>
      </c>
      <c r="O1669" t="s">
        <v>22</v>
      </c>
      <c r="P1669">
        <v>2025</v>
      </c>
      <c r="Q1669" t="s">
        <v>3642</v>
      </c>
      <c r="R1669">
        <v>88.97</v>
      </c>
      <c r="S1669">
        <v>0.37349668427559801</v>
      </c>
      <c r="T1669" t="s">
        <v>3634</v>
      </c>
      <c r="U1669" t="s">
        <v>3633</v>
      </c>
    </row>
    <row r="1670" spans="1:21" x14ac:dyDescent="0.25">
      <c r="A1670" t="s">
        <v>3091</v>
      </c>
      <c r="B1670" s="1">
        <v>45851</v>
      </c>
      <c r="C1670" t="s">
        <v>3092</v>
      </c>
      <c r="D1670" t="s">
        <v>30</v>
      </c>
      <c r="E1670" t="s">
        <v>18</v>
      </c>
      <c r="F1670" t="s">
        <v>19</v>
      </c>
      <c r="G1670" t="s">
        <v>69</v>
      </c>
      <c r="H1670" t="s">
        <v>98</v>
      </c>
      <c r="I1670">
        <v>5</v>
      </c>
      <c r="J1670">
        <v>38.49</v>
      </c>
      <c r="K1670">
        <v>0</v>
      </c>
      <c r="L1670">
        <v>192.45</v>
      </c>
      <c r="M1670">
        <v>17.329999999999998</v>
      </c>
      <c r="N1670">
        <v>78.89</v>
      </c>
      <c r="O1670" t="s">
        <v>22</v>
      </c>
      <c r="P1670">
        <v>2025</v>
      </c>
      <c r="Q1670" t="s">
        <v>3642</v>
      </c>
      <c r="R1670">
        <v>192.45</v>
      </c>
      <c r="S1670">
        <v>0.40992465575474202</v>
      </c>
      <c r="T1670" t="s">
        <v>3632</v>
      </c>
      <c r="U1670" t="s">
        <v>3633</v>
      </c>
    </row>
    <row r="1671" spans="1:21" x14ac:dyDescent="0.25">
      <c r="A1671" t="s">
        <v>3093</v>
      </c>
      <c r="B1671" s="1">
        <v>45851</v>
      </c>
      <c r="C1671" t="s">
        <v>3094</v>
      </c>
      <c r="D1671" t="s">
        <v>17</v>
      </c>
      <c r="E1671" t="s">
        <v>248</v>
      </c>
      <c r="F1671" t="s">
        <v>26</v>
      </c>
      <c r="G1671" t="s">
        <v>42</v>
      </c>
      <c r="H1671" t="s">
        <v>89</v>
      </c>
      <c r="I1671">
        <v>5</v>
      </c>
      <c r="J1671">
        <v>431.91</v>
      </c>
      <c r="K1671">
        <v>5</v>
      </c>
      <c r="L1671">
        <v>2051.5700000000002</v>
      </c>
      <c r="M1671">
        <v>9.75</v>
      </c>
      <c r="N1671">
        <v>746.09</v>
      </c>
      <c r="O1671" t="s">
        <v>56</v>
      </c>
      <c r="P1671">
        <v>2025</v>
      </c>
      <c r="Q1671" t="s">
        <v>3642</v>
      </c>
      <c r="R1671">
        <v>1948.9915000000001</v>
      </c>
      <c r="S1671">
        <v>0.38280823697794503</v>
      </c>
      <c r="T1671" t="s">
        <v>3635</v>
      </c>
      <c r="U1671" t="s">
        <v>3633</v>
      </c>
    </row>
    <row r="1672" spans="1:21" x14ac:dyDescent="0.25">
      <c r="A1672" t="s">
        <v>3095</v>
      </c>
      <c r="B1672" s="1">
        <v>45852</v>
      </c>
      <c r="C1672" t="s">
        <v>3096</v>
      </c>
      <c r="D1672" t="s">
        <v>17</v>
      </c>
      <c r="E1672" t="s">
        <v>53</v>
      </c>
      <c r="F1672" t="s">
        <v>54</v>
      </c>
      <c r="G1672" t="s">
        <v>69</v>
      </c>
      <c r="H1672" t="s">
        <v>70</v>
      </c>
      <c r="I1672">
        <v>3</v>
      </c>
      <c r="J1672">
        <v>46.07</v>
      </c>
      <c r="K1672">
        <v>0</v>
      </c>
      <c r="L1672">
        <v>138.21</v>
      </c>
      <c r="M1672">
        <v>14.18</v>
      </c>
      <c r="N1672">
        <v>54.93</v>
      </c>
      <c r="O1672" t="s">
        <v>56</v>
      </c>
      <c r="P1672">
        <v>2025</v>
      </c>
      <c r="Q1672" t="s">
        <v>3642</v>
      </c>
      <c r="R1672">
        <v>138.21</v>
      </c>
      <c r="S1672">
        <v>0.39743868026915602</v>
      </c>
      <c r="T1672" t="s">
        <v>3632</v>
      </c>
      <c r="U1672" t="s">
        <v>3633</v>
      </c>
    </row>
    <row r="1673" spans="1:21" x14ac:dyDescent="0.25">
      <c r="A1673" t="s">
        <v>3097</v>
      </c>
      <c r="B1673" s="1">
        <v>45852</v>
      </c>
      <c r="C1673" t="s">
        <v>3098</v>
      </c>
      <c r="D1673" t="s">
        <v>30</v>
      </c>
      <c r="E1673" t="s">
        <v>135</v>
      </c>
      <c r="F1673" t="s">
        <v>26</v>
      </c>
      <c r="G1673" t="s">
        <v>69</v>
      </c>
      <c r="H1673" t="s">
        <v>70</v>
      </c>
      <c r="I1673">
        <v>2</v>
      </c>
      <c r="J1673">
        <v>15.72</v>
      </c>
      <c r="K1673">
        <v>10</v>
      </c>
      <c r="L1673">
        <v>28.3</v>
      </c>
      <c r="M1673">
        <v>9.1999999999999993</v>
      </c>
      <c r="N1673">
        <v>3.38</v>
      </c>
      <c r="O1673" t="s">
        <v>22</v>
      </c>
      <c r="P1673">
        <v>2025</v>
      </c>
      <c r="Q1673" t="s">
        <v>3642</v>
      </c>
      <c r="R1673">
        <v>25.47</v>
      </c>
      <c r="S1673">
        <v>0.13270514330585001</v>
      </c>
      <c r="T1673" t="s">
        <v>3634</v>
      </c>
      <c r="U1673" t="s">
        <v>3633</v>
      </c>
    </row>
    <row r="1674" spans="1:21" x14ac:dyDescent="0.25">
      <c r="A1674" t="s">
        <v>3099</v>
      </c>
      <c r="B1674" s="1">
        <v>45853</v>
      </c>
      <c r="C1674" t="s">
        <v>3100</v>
      </c>
      <c r="D1674" t="s">
        <v>30</v>
      </c>
      <c r="E1674" t="s">
        <v>37</v>
      </c>
      <c r="F1674" t="s">
        <v>26</v>
      </c>
      <c r="G1674" t="s">
        <v>42</v>
      </c>
      <c r="H1674" t="s">
        <v>234</v>
      </c>
      <c r="I1674">
        <v>4</v>
      </c>
      <c r="J1674">
        <v>27.46</v>
      </c>
      <c r="K1674">
        <v>0</v>
      </c>
      <c r="L1674">
        <v>109.84</v>
      </c>
      <c r="M1674">
        <v>11.74</v>
      </c>
      <c r="N1674">
        <v>32.200000000000003</v>
      </c>
      <c r="O1674" t="s">
        <v>34</v>
      </c>
      <c r="P1674">
        <v>2025</v>
      </c>
      <c r="Q1674" t="s">
        <v>3642</v>
      </c>
      <c r="R1674">
        <v>109.84</v>
      </c>
      <c r="S1674">
        <v>0.29315367807720299</v>
      </c>
      <c r="T1674" t="s">
        <v>3632</v>
      </c>
      <c r="U1674" t="s">
        <v>3633</v>
      </c>
    </row>
    <row r="1675" spans="1:21" x14ac:dyDescent="0.25">
      <c r="A1675" t="s">
        <v>3101</v>
      </c>
      <c r="B1675" s="1">
        <v>45853</v>
      </c>
      <c r="C1675" t="s">
        <v>2219</v>
      </c>
      <c r="D1675" t="s">
        <v>17</v>
      </c>
      <c r="E1675" t="s">
        <v>76</v>
      </c>
      <c r="F1675" t="s">
        <v>26</v>
      </c>
      <c r="G1675" t="s">
        <v>42</v>
      </c>
      <c r="H1675" t="s">
        <v>43</v>
      </c>
      <c r="I1675">
        <v>1</v>
      </c>
      <c r="J1675">
        <v>239.62</v>
      </c>
      <c r="K1675">
        <v>15</v>
      </c>
      <c r="L1675">
        <v>203.68</v>
      </c>
      <c r="M1675">
        <v>9.4</v>
      </c>
      <c r="N1675">
        <v>50.51</v>
      </c>
      <c r="O1675" t="s">
        <v>34</v>
      </c>
      <c r="P1675">
        <v>2025</v>
      </c>
      <c r="Q1675" t="s">
        <v>3642</v>
      </c>
      <c r="R1675">
        <v>173.12799999999999</v>
      </c>
      <c r="S1675">
        <v>0.29174945704911998</v>
      </c>
      <c r="T1675" t="s">
        <v>3632</v>
      </c>
      <c r="U1675" t="s">
        <v>3633</v>
      </c>
    </row>
    <row r="1676" spans="1:21" x14ac:dyDescent="0.25">
      <c r="A1676" t="s">
        <v>3102</v>
      </c>
      <c r="B1676" s="1">
        <v>45853</v>
      </c>
      <c r="C1676" t="s">
        <v>477</v>
      </c>
      <c r="D1676" t="s">
        <v>30</v>
      </c>
      <c r="E1676" t="s">
        <v>248</v>
      </c>
      <c r="F1676" t="s">
        <v>26</v>
      </c>
      <c r="G1676" t="s">
        <v>42</v>
      </c>
      <c r="H1676" t="s">
        <v>255</v>
      </c>
      <c r="I1676">
        <v>2</v>
      </c>
      <c r="J1676">
        <v>59.54</v>
      </c>
      <c r="K1676">
        <v>5</v>
      </c>
      <c r="L1676">
        <v>113.13</v>
      </c>
      <c r="M1676">
        <v>9.4600000000000009</v>
      </c>
      <c r="N1676">
        <v>32.22</v>
      </c>
      <c r="O1676" t="s">
        <v>34</v>
      </c>
      <c r="P1676">
        <v>2025</v>
      </c>
      <c r="Q1676" t="s">
        <v>3642</v>
      </c>
      <c r="R1676">
        <v>107.4735</v>
      </c>
      <c r="S1676">
        <v>0.29979483314491501</v>
      </c>
      <c r="T1676" t="s">
        <v>3632</v>
      </c>
      <c r="U1676" t="s">
        <v>3633</v>
      </c>
    </row>
    <row r="1677" spans="1:21" x14ac:dyDescent="0.25">
      <c r="A1677" t="s">
        <v>3103</v>
      </c>
      <c r="B1677" s="1">
        <v>45853</v>
      </c>
      <c r="C1677" t="s">
        <v>2807</v>
      </c>
      <c r="D1677" t="s">
        <v>30</v>
      </c>
      <c r="E1677" t="s">
        <v>25</v>
      </c>
      <c r="F1677" t="s">
        <v>26</v>
      </c>
      <c r="G1677" t="s">
        <v>42</v>
      </c>
      <c r="H1677" t="s">
        <v>64</v>
      </c>
      <c r="I1677">
        <v>1</v>
      </c>
      <c r="J1677">
        <v>77.09</v>
      </c>
      <c r="K1677">
        <v>5</v>
      </c>
      <c r="L1677">
        <v>73.239999999999995</v>
      </c>
      <c r="M1677">
        <v>9.2799999999999994</v>
      </c>
      <c r="N1677">
        <v>17.71</v>
      </c>
      <c r="O1677" t="s">
        <v>39</v>
      </c>
      <c r="P1677">
        <v>2025</v>
      </c>
      <c r="Q1677" t="s">
        <v>3642</v>
      </c>
      <c r="R1677">
        <v>69.578000000000003</v>
      </c>
      <c r="S1677">
        <v>0.25453447928943101</v>
      </c>
      <c r="T1677" t="s">
        <v>3634</v>
      </c>
      <c r="U1677" t="s">
        <v>3633</v>
      </c>
    </row>
    <row r="1678" spans="1:21" x14ac:dyDescent="0.25">
      <c r="A1678" t="s">
        <v>3104</v>
      </c>
      <c r="B1678" s="1">
        <v>45854</v>
      </c>
      <c r="C1678" t="s">
        <v>1246</v>
      </c>
      <c r="D1678" t="s">
        <v>30</v>
      </c>
      <c r="E1678" t="s">
        <v>109</v>
      </c>
      <c r="F1678" t="s">
        <v>54</v>
      </c>
      <c r="G1678" t="s">
        <v>20</v>
      </c>
      <c r="H1678" t="s">
        <v>175</v>
      </c>
      <c r="I1678">
        <v>12</v>
      </c>
      <c r="J1678">
        <v>29.22</v>
      </c>
      <c r="K1678">
        <v>20</v>
      </c>
      <c r="L1678">
        <v>280.51</v>
      </c>
      <c r="M1678">
        <v>32.57</v>
      </c>
      <c r="N1678">
        <v>55.09</v>
      </c>
      <c r="O1678" t="s">
        <v>39</v>
      </c>
      <c r="P1678">
        <v>2025</v>
      </c>
      <c r="Q1678" t="s">
        <v>3642</v>
      </c>
      <c r="R1678">
        <v>224.40799999999999</v>
      </c>
      <c r="S1678">
        <v>0.24549035685002299</v>
      </c>
      <c r="T1678" t="s">
        <v>3632</v>
      </c>
      <c r="U1678" t="s">
        <v>3633</v>
      </c>
    </row>
    <row r="1679" spans="1:21" x14ac:dyDescent="0.25">
      <c r="A1679" t="s">
        <v>3105</v>
      </c>
      <c r="B1679" s="1">
        <v>45854</v>
      </c>
      <c r="C1679" t="s">
        <v>3106</v>
      </c>
      <c r="D1679" t="s">
        <v>30</v>
      </c>
      <c r="E1679" t="s">
        <v>85</v>
      </c>
      <c r="F1679" t="s">
        <v>60</v>
      </c>
      <c r="G1679" t="s">
        <v>69</v>
      </c>
      <c r="H1679" t="s">
        <v>79</v>
      </c>
      <c r="I1679">
        <v>2</v>
      </c>
      <c r="J1679">
        <v>94.59</v>
      </c>
      <c r="K1679">
        <v>10</v>
      </c>
      <c r="L1679">
        <v>170.26</v>
      </c>
      <c r="M1679">
        <v>12.29</v>
      </c>
      <c r="N1679">
        <v>63.38</v>
      </c>
      <c r="O1679" t="s">
        <v>22</v>
      </c>
      <c r="P1679">
        <v>2025</v>
      </c>
      <c r="Q1679" t="s">
        <v>3642</v>
      </c>
      <c r="R1679">
        <v>153.23400000000001</v>
      </c>
      <c r="S1679">
        <v>0.41361577717738901</v>
      </c>
      <c r="T1679" t="s">
        <v>3632</v>
      </c>
      <c r="U1679" t="s">
        <v>3633</v>
      </c>
    </row>
    <row r="1680" spans="1:21" x14ac:dyDescent="0.25">
      <c r="A1680" t="s">
        <v>3107</v>
      </c>
      <c r="B1680" s="1">
        <v>45854</v>
      </c>
      <c r="C1680" t="s">
        <v>3108</v>
      </c>
      <c r="D1680" t="s">
        <v>17</v>
      </c>
      <c r="E1680" t="s">
        <v>85</v>
      </c>
      <c r="F1680" t="s">
        <v>60</v>
      </c>
      <c r="G1680" t="s">
        <v>32</v>
      </c>
      <c r="H1680" t="s">
        <v>82</v>
      </c>
      <c r="I1680">
        <v>2</v>
      </c>
      <c r="J1680">
        <v>22.61</v>
      </c>
      <c r="K1680">
        <v>20</v>
      </c>
      <c r="L1680">
        <v>36.18</v>
      </c>
      <c r="M1680">
        <v>11.67</v>
      </c>
      <c r="N1680">
        <v>4.16</v>
      </c>
      <c r="O1680" t="s">
        <v>39</v>
      </c>
      <c r="P1680">
        <v>2025</v>
      </c>
      <c r="Q1680" t="s">
        <v>3642</v>
      </c>
      <c r="R1680">
        <v>28.943999999999999</v>
      </c>
      <c r="S1680">
        <v>0.14372581536760601</v>
      </c>
      <c r="T1680" t="s">
        <v>3634</v>
      </c>
      <c r="U1680" t="s">
        <v>3633</v>
      </c>
    </row>
    <row r="1681" spans="1:21" x14ac:dyDescent="0.25">
      <c r="A1681" t="s">
        <v>3109</v>
      </c>
      <c r="B1681" s="1">
        <v>45855</v>
      </c>
      <c r="C1681" t="s">
        <v>2629</v>
      </c>
      <c r="D1681" t="s">
        <v>30</v>
      </c>
      <c r="E1681" t="s">
        <v>129</v>
      </c>
      <c r="F1681" t="s">
        <v>19</v>
      </c>
      <c r="G1681" t="s">
        <v>42</v>
      </c>
      <c r="H1681" t="s">
        <v>43</v>
      </c>
      <c r="I1681">
        <v>2</v>
      </c>
      <c r="J1681">
        <v>178.14</v>
      </c>
      <c r="K1681">
        <v>0</v>
      </c>
      <c r="L1681">
        <v>356.28</v>
      </c>
      <c r="M1681">
        <v>9.81</v>
      </c>
      <c r="N1681">
        <v>132.69999999999999</v>
      </c>
      <c r="O1681" t="s">
        <v>39</v>
      </c>
      <c r="P1681">
        <v>2025</v>
      </c>
      <c r="Q1681" t="s">
        <v>3642</v>
      </c>
      <c r="R1681">
        <v>356.28</v>
      </c>
      <c r="S1681">
        <v>0.37245986302907802</v>
      </c>
      <c r="T1681" t="s">
        <v>3632</v>
      </c>
      <c r="U1681" t="s">
        <v>3633</v>
      </c>
    </row>
    <row r="1682" spans="1:21" x14ac:dyDescent="0.25">
      <c r="A1682" t="s">
        <v>3110</v>
      </c>
      <c r="B1682" s="1">
        <v>45855</v>
      </c>
      <c r="C1682" t="s">
        <v>3111</v>
      </c>
      <c r="D1682" t="s">
        <v>17</v>
      </c>
      <c r="E1682" t="s">
        <v>85</v>
      </c>
      <c r="F1682" t="s">
        <v>60</v>
      </c>
      <c r="G1682" t="s">
        <v>42</v>
      </c>
      <c r="H1682" t="s">
        <v>294</v>
      </c>
      <c r="I1682">
        <v>4</v>
      </c>
      <c r="J1682">
        <v>274.79000000000002</v>
      </c>
      <c r="K1682">
        <v>5</v>
      </c>
      <c r="L1682">
        <v>1044.2</v>
      </c>
      <c r="M1682">
        <v>18.5</v>
      </c>
      <c r="N1682">
        <v>366.2</v>
      </c>
      <c r="O1682" t="s">
        <v>56</v>
      </c>
      <c r="P1682">
        <v>2025</v>
      </c>
      <c r="Q1682" t="s">
        <v>3642</v>
      </c>
      <c r="R1682">
        <v>991.99</v>
      </c>
      <c r="S1682">
        <v>0.36915694714664499</v>
      </c>
      <c r="T1682" t="s">
        <v>3635</v>
      </c>
      <c r="U1682" t="s">
        <v>3633</v>
      </c>
    </row>
    <row r="1683" spans="1:21" x14ac:dyDescent="0.25">
      <c r="A1683" t="s">
        <v>3112</v>
      </c>
      <c r="B1683" s="1">
        <v>45856</v>
      </c>
      <c r="C1683" t="s">
        <v>3113</v>
      </c>
      <c r="D1683" t="s">
        <v>17</v>
      </c>
      <c r="E1683" t="s">
        <v>129</v>
      </c>
      <c r="F1683" t="s">
        <v>19</v>
      </c>
      <c r="G1683" t="s">
        <v>42</v>
      </c>
      <c r="H1683" t="s">
        <v>255</v>
      </c>
      <c r="I1683">
        <v>2</v>
      </c>
      <c r="J1683">
        <v>29.02</v>
      </c>
      <c r="K1683">
        <v>25</v>
      </c>
      <c r="L1683">
        <v>43.53</v>
      </c>
      <c r="M1683">
        <v>8.3800000000000008</v>
      </c>
      <c r="N1683">
        <v>0.33</v>
      </c>
      <c r="O1683" t="s">
        <v>22</v>
      </c>
      <c r="P1683">
        <v>2025</v>
      </c>
      <c r="Q1683" t="s">
        <v>3642</v>
      </c>
      <c r="R1683">
        <v>32.647500000000001</v>
      </c>
      <c r="S1683">
        <v>1.01079715138985E-2</v>
      </c>
      <c r="T1683" t="s">
        <v>3634</v>
      </c>
      <c r="U1683" t="s">
        <v>3633</v>
      </c>
    </row>
    <row r="1684" spans="1:21" x14ac:dyDescent="0.25">
      <c r="A1684" t="s">
        <v>3114</v>
      </c>
      <c r="B1684" s="1">
        <v>45856</v>
      </c>
      <c r="C1684" t="s">
        <v>3115</v>
      </c>
      <c r="D1684" t="s">
        <v>17</v>
      </c>
      <c r="E1684" t="s">
        <v>31</v>
      </c>
      <c r="F1684" t="s">
        <v>19</v>
      </c>
      <c r="G1684" t="s">
        <v>20</v>
      </c>
      <c r="H1684" t="s">
        <v>27</v>
      </c>
      <c r="I1684">
        <v>7</v>
      </c>
      <c r="J1684">
        <v>143.11000000000001</v>
      </c>
      <c r="K1684">
        <v>25</v>
      </c>
      <c r="L1684">
        <v>751.33</v>
      </c>
      <c r="M1684">
        <v>19.7</v>
      </c>
      <c r="N1684">
        <v>180.66</v>
      </c>
      <c r="O1684" t="s">
        <v>39</v>
      </c>
      <c r="P1684">
        <v>2025</v>
      </c>
      <c r="Q1684" t="s">
        <v>3642</v>
      </c>
      <c r="R1684">
        <v>563.49749999999995</v>
      </c>
      <c r="S1684">
        <v>0.32060479416501397</v>
      </c>
      <c r="T1684" t="s">
        <v>3635</v>
      </c>
      <c r="U1684" t="s">
        <v>3633</v>
      </c>
    </row>
    <row r="1685" spans="1:21" x14ac:dyDescent="0.25">
      <c r="A1685" t="s">
        <v>3116</v>
      </c>
      <c r="B1685" s="1">
        <v>45857</v>
      </c>
      <c r="C1685" t="s">
        <v>797</v>
      </c>
      <c r="D1685" t="s">
        <v>30</v>
      </c>
      <c r="E1685" t="s">
        <v>76</v>
      </c>
      <c r="F1685" t="s">
        <v>26</v>
      </c>
      <c r="G1685" t="s">
        <v>69</v>
      </c>
      <c r="H1685" t="s">
        <v>86</v>
      </c>
      <c r="I1685">
        <v>8</v>
      </c>
      <c r="J1685">
        <v>94.55</v>
      </c>
      <c r="K1685">
        <v>10</v>
      </c>
      <c r="L1685">
        <v>680.76</v>
      </c>
      <c r="M1685">
        <v>22.09</v>
      </c>
      <c r="N1685">
        <v>280.47000000000003</v>
      </c>
      <c r="O1685" t="s">
        <v>39</v>
      </c>
      <c r="P1685">
        <v>2025</v>
      </c>
      <c r="Q1685" t="s">
        <v>3642</v>
      </c>
      <c r="R1685">
        <v>612.68399999999997</v>
      </c>
      <c r="S1685">
        <v>0.45777268543000998</v>
      </c>
      <c r="T1685" t="s">
        <v>3635</v>
      </c>
      <c r="U1685" t="s">
        <v>3633</v>
      </c>
    </row>
    <row r="1686" spans="1:21" x14ac:dyDescent="0.25">
      <c r="A1686" t="s">
        <v>3117</v>
      </c>
      <c r="B1686" s="1">
        <v>45857</v>
      </c>
      <c r="C1686" t="s">
        <v>3118</v>
      </c>
      <c r="D1686" t="s">
        <v>17</v>
      </c>
      <c r="E1686" t="s">
        <v>25</v>
      </c>
      <c r="F1686" t="s">
        <v>26</v>
      </c>
      <c r="G1686" t="s">
        <v>42</v>
      </c>
      <c r="H1686" t="s">
        <v>89</v>
      </c>
      <c r="I1686">
        <v>4</v>
      </c>
      <c r="J1686">
        <v>367.48</v>
      </c>
      <c r="K1686">
        <v>10</v>
      </c>
      <c r="L1686">
        <v>1322.93</v>
      </c>
      <c r="M1686">
        <v>9.83</v>
      </c>
      <c r="N1686">
        <v>431.15</v>
      </c>
      <c r="O1686" t="s">
        <v>34</v>
      </c>
      <c r="P1686">
        <v>2025</v>
      </c>
      <c r="Q1686" t="s">
        <v>3642</v>
      </c>
      <c r="R1686">
        <v>1190.6369999999999</v>
      </c>
      <c r="S1686">
        <v>0.362117085224128</v>
      </c>
      <c r="T1686" t="s">
        <v>3635</v>
      </c>
      <c r="U1686" t="s">
        <v>3633</v>
      </c>
    </row>
    <row r="1687" spans="1:21" x14ac:dyDescent="0.25">
      <c r="A1687" t="s">
        <v>3119</v>
      </c>
      <c r="B1687" s="1">
        <v>45857</v>
      </c>
      <c r="C1687" t="s">
        <v>3120</v>
      </c>
      <c r="D1687" t="s">
        <v>30</v>
      </c>
      <c r="E1687" t="s">
        <v>129</v>
      </c>
      <c r="F1687" t="s">
        <v>19</v>
      </c>
      <c r="G1687" t="s">
        <v>42</v>
      </c>
      <c r="H1687" t="s">
        <v>89</v>
      </c>
      <c r="I1687">
        <v>2</v>
      </c>
      <c r="J1687">
        <v>196.01</v>
      </c>
      <c r="K1687">
        <v>0</v>
      </c>
      <c r="L1687">
        <v>392.02</v>
      </c>
      <c r="M1687">
        <v>9.09</v>
      </c>
      <c r="N1687">
        <v>147.72</v>
      </c>
      <c r="O1687" t="s">
        <v>34</v>
      </c>
      <c r="P1687">
        <v>2025</v>
      </c>
      <c r="Q1687" t="s">
        <v>3642</v>
      </c>
      <c r="R1687">
        <v>392.02</v>
      </c>
      <c r="S1687">
        <v>0.37681750931074998</v>
      </c>
      <c r="T1687" t="s">
        <v>3632</v>
      </c>
      <c r="U1687" t="s">
        <v>3633</v>
      </c>
    </row>
    <row r="1688" spans="1:21" x14ac:dyDescent="0.25">
      <c r="A1688" t="s">
        <v>3121</v>
      </c>
      <c r="B1688" s="1">
        <v>45857</v>
      </c>
      <c r="C1688" t="s">
        <v>3122</v>
      </c>
      <c r="D1688" t="s">
        <v>30</v>
      </c>
      <c r="E1688" t="s">
        <v>37</v>
      </c>
      <c r="F1688" t="s">
        <v>26</v>
      </c>
      <c r="G1688" t="s">
        <v>20</v>
      </c>
      <c r="H1688" t="s">
        <v>170</v>
      </c>
      <c r="I1688">
        <v>1</v>
      </c>
      <c r="J1688">
        <v>44.78</v>
      </c>
      <c r="K1688">
        <v>10</v>
      </c>
      <c r="L1688">
        <v>40.299999999999997</v>
      </c>
      <c r="M1688">
        <v>8.85</v>
      </c>
      <c r="N1688">
        <v>6.82</v>
      </c>
      <c r="O1688" t="s">
        <v>22</v>
      </c>
      <c r="P1688">
        <v>2025</v>
      </c>
      <c r="Q1688" t="s">
        <v>3642</v>
      </c>
      <c r="R1688">
        <v>36.270000000000003</v>
      </c>
      <c r="S1688">
        <v>0.188034188034188</v>
      </c>
      <c r="T1688" t="s">
        <v>3634</v>
      </c>
      <c r="U1688" t="s">
        <v>3633</v>
      </c>
    </row>
    <row r="1689" spans="1:21" x14ac:dyDescent="0.25">
      <c r="A1689" t="s">
        <v>3123</v>
      </c>
      <c r="B1689" s="1">
        <v>45858</v>
      </c>
      <c r="C1689" t="s">
        <v>3124</v>
      </c>
      <c r="D1689" t="s">
        <v>17</v>
      </c>
      <c r="E1689" t="s">
        <v>166</v>
      </c>
      <c r="F1689" t="s">
        <v>60</v>
      </c>
      <c r="G1689" t="s">
        <v>69</v>
      </c>
      <c r="H1689" t="s">
        <v>98</v>
      </c>
      <c r="I1689">
        <v>7</v>
      </c>
      <c r="J1689">
        <v>41.19</v>
      </c>
      <c r="K1689">
        <v>20</v>
      </c>
      <c r="L1689">
        <v>230.66</v>
      </c>
      <c r="M1689">
        <v>13.8</v>
      </c>
      <c r="N1689">
        <v>72.7</v>
      </c>
      <c r="O1689" t="s">
        <v>22</v>
      </c>
      <c r="P1689">
        <v>2025</v>
      </c>
      <c r="Q1689" t="s">
        <v>3642</v>
      </c>
      <c r="R1689">
        <v>184.52799999999999</v>
      </c>
      <c r="S1689">
        <v>0.39397814965750499</v>
      </c>
      <c r="T1689" t="s">
        <v>3632</v>
      </c>
      <c r="U1689" t="s">
        <v>3633</v>
      </c>
    </row>
    <row r="1690" spans="1:21" x14ac:dyDescent="0.25">
      <c r="A1690" t="s">
        <v>3125</v>
      </c>
      <c r="B1690" s="1">
        <v>45858</v>
      </c>
      <c r="C1690" t="s">
        <v>3126</v>
      </c>
      <c r="D1690" t="s">
        <v>30</v>
      </c>
      <c r="E1690" t="s">
        <v>59</v>
      </c>
      <c r="F1690" t="s">
        <v>60</v>
      </c>
      <c r="G1690" t="s">
        <v>69</v>
      </c>
      <c r="H1690" t="s">
        <v>79</v>
      </c>
      <c r="I1690">
        <v>1</v>
      </c>
      <c r="J1690">
        <v>30.37</v>
      </c>
      <c r="K1690">
        <v>5</v>
      </c>
      <c r="L1690">
        <v>28.85</v>
      </c>
      <c r="M1690">
        <v>10.62</v>
      </c>
      <c r="N1690">
        <v>3.05</v>
      </c>
      <c r="O1690" t="s">
        <v>39</v>
      </c>
      <c r="P1690">
        <v>2025</v>
      </c>
      <c r="Q1690" t="s">
        <v>3642</v>
      </c>
      <c r="R1690">
        <v>27.407499999999999</v>
      </c>
      <c r="S1690">
        <v>0.111283407826325</v>
      </c>
      <c r="T1690" t="s">
        <v>3634</v>
      </c>
      <c r="U1690" t="s">
        <v>3633</v>
      </c>
    </row>
    <row r="1691" spans="1:21" x14ac:dyDescent="0.25">
      <c r="A1691" t="s">
        <v>3127</v>
      </c>
      <c r="B1691" s="1">
        <v>45858</v>
      </c>
      <c r="C1691" t="s">
        <v>3128</v>
      </c>
      <c r="D1691" t="s">
        <v>30</v>
      </c>
      <c r="E1691" t="s">
        <v>92</v>
      </c>
      <c r="F1691" t="s">
        <v>60</v>
      </c>
      <c r="G1691" t="s">
        <v>20</v>
      </c>
      <c r="H1691" t="s">
        <v>106</v>
      </c>
      <c r="I1691">
        <v>1</v>
      </c>
      <c r="J1691">
        <v>46.12</v>
      </c>
      <c r="K1691">
        <v>5</v>
      </c>
      <c r="L1691">
        <v>43.81</v>
      </c>
      <c r="M1691">
        <v>10.98</v>
      </c>
      <c r="N1691">
        <v>7.46</v>
      </c>
      <c r="O1691" t="s">
        <v>34</v>
      </c>
      <c r="P1691">
        <v>2025</v>
      </c>
      <c r="Q1691" t="s">
        <v>3642</v>
      </c>
      <c r="R1691">
        <v>41.619500000000002</v>
      </c>
      <c r="S1691">
        <v>0.179242902966158</v>
      </c>
      <c r="T1691" t="s">
        <v>3634</v>
      </c>
      <c r="U1691" t="s">
        <v>3633</v>
      </c>
    </row>
    <row r="1692" spans="1:21" x14ac:dyDescent="0.25">
      <c r="A1692" t="s">
        <v>3129</v>
      </c>
      <c r="B1692" s="1">
        <v>45858</v>
      </c>
      <c r="C1692" t="s">
        <v>3130</v>
      </c>
      <c r="D1692" t="s">
        <v>30</v>
      </c>
      <c r="E1692" t="s">
        <v>67</v>
      </c>
      <c r="F1692" t="s">
        <v>68</v>
      </c>
      <c r="G1692" t="s">
        <v>42</v>
      </c>
      <c r="H1692" t="s">
        <v>46</v>
      </c>
      <c r="I1692">
        <v>7</v>
      </c>
      <c r="J1692">
        <v>123.59</v>
      </c>
      <c r="K1692">
        <v>0</v>
      </c>
      <c r="L1692">
        <v>865.13</v>
      </c>
      <c r="M1692">
        <v>17.52</v>
      </c>
      <c r="N1692">
        <v>328.53</v>
      </c>
      <c r="O1692" t="s">
        <v>56</v>
      </c>
      <c r="P1692">
        <v>2025</v>
      </c>
      <c r="Q1692" t="s">
        <v>3642</v>
      </c>
      <c r="R1692">
        <v>865.13</v>
      </c>
      <c r="S1692">
        <v>0.37974639649532399</v>
      </c>
      <c r="T1692" t="s">
        <v>3635</v>
      </c>
      <c r="U1692" t="s">
        <v>3633</v>
      </c>
    </row>
    <row r="1693" spans="1:21" x14ac:dyDescent="0.25">
      <c r="A1693" t="s">
        <v>3131</v>
      </c>
      <c r="B1693" s="1">
        <v>45859</v>
      </c>
      <c r="C1693" t="s">
        <v>2520</v>
      </c>
      <c r="D1693" t="s">
        <v>30</v>
      </c>
      <c r="E1693" t="s">
        <v>18</v>
      </c>
      <c r="F1693" t="s">
        <v>19</v>
      </c>
      <c r="G1693" t="s">
        <v>69</v>
      </c>
      <c r="H1693" t="s">
        <v>79</v>
      </c>
      <c r="I1693">
        <v>2</v>
      </c>
      <c r="J1693">
        <v>85.59</v>
      </c>
      <c r="K1693">
        <v>0</v>
      </c>
      <c r="L1693">
        <v>171.18</v>
      </c>
      <c r="M1693">
        <v>8.25</v>
      </c>
      <c r="N1693">
        <v>77.34</v>
      </c>
      <c r="O1693" t="s">
        <v>34</v>
      </c>
      <c r="P1693">
        <v>2025</v>
      </c>
      <c r="Q1693" t="s">
        <v>3642</v>
      </c>
      <c r="R1693">
        <v>171.18</v>
      </c>
      <c r="S1693">
        <v>0.45180511742025897</v>
      </c>
      <c r="T1693" t="s">
        <v>3632</v>
      </c>
      <c r="U1693" t="s">
        <v>3633</v>
      </c>
    </row>
    <row r="1694" spans="1:21" x14ac:dyDescent="0.25">
      <c r="A1694" t="s">
        <v>3132</v>
      </c>
      <c r="B1694" s="1">
        <v>45861</v>
      </c>
      <c r="C1694" t="s">
        <v>3133</v>
      </c>
      <c r="D1694" t="s">
        <v>17</v>
      </c>
      <c r="E1694" t="s">
        <v>169</v>
      </c>
      <c r="F1694" t="s">
        <v>68</v>
      </c>
      <c r="G1694" t="s">
        <v>20</v>
      </c>
      <c r="H1694" t="s">
        <v>264</v>
      </c>
      <c r="I1694">
        <v>12</v>
      </c>
      <c r="J1694">
        <v>53.38</v>
      </c>
      <c r="K1694">
        <v>10</v>
      </c>
      <c r="L1694">
        <v>576.5</v>
      </c>
      <c r="M1694">
        <v>38.799999999999997</v>
      </c>
      <c r="N1694">
        <v>185.39</v>
      </c>
      <c r="O1694" t="s">
        <v>22</v>
      </c>
      <c r="P1694">
        <v>2025</v>
      </c>
      <c r="Q1694" t="s">
        <v>3642</v>
      </c>
      <c r="R1694">
        <v>518.85</v>
      </c>
      <c r="S1694">
        <v>0.357309434325913</v>
      </c>
      <c r="T1694" t="s">
        <v>3635</v>
      </c>
      <c r="U1694" t="s">
        <v>3633</v>
      </c>
    </row>
    <row r="1695" spans="1:21" x14ac:dyDescent="0.25">
      <c r="A1695" t="s">
        <v>3134</v>
      </c>
      <c r="B1695" s="1">
        <v>45861</v>
      </c>
      <c r="C1695" t="s">
        <v>329</v>
      </c>
      <c r="D1695" t="s">
        <v>30</v>
      </c>
      <c r="E1695" t="s">
        <v>129</v>
      </c>
      <c r="F1695" t="s">
        <v>19</v>
      </c>
      <c r="G1695" t="s">
        <v>20</v>
      </c>
      <c r="H1695" t="s">
        <v>106</v>
      </c>
      <c r="I1695">
        <v>3</v>
      </c>
      <c r="J1695">
        <v>59.5</v>
      </c>
      <c r="K1695">
        <v>5</v>
      </c>
      <c r="L1695">
        <v>169.57</v>
      </c>
      <c r="M1695">
        <v>11.82</v>
      </c>
      <c r="N1695">
        <v>59.57</v>
      </c>
      <c r="O1695" t="s">
        <v>34</v>
      </c>
      <c r="P1695">
        <v>2025</v>
      </c>
      <c r="Q1695" t="s">
        <v>3642</v>
      </c>
      <c r="R1695">
        <v>161.0915</v>
      </c>
      <c r="S1695">
        <v>0.36978983993568898</v>
      </c>
      <c r="T1695" t="s">
        <v>3632</v>
      </c>
      <c r="U1695" t="s">
        <v>3633</v>
      </c>
    </row>
    <row r="1696" spans="1:21" x14ac:dyDescent="0.25">
      <c r="A1696" t="s">
        <v>3135</v>
      </c>
      <c r="B1696" s="1">
        <v>45861</v>
      </c>
      <c r="C1696" t="s">
        <v>3136</v>
      </c>
      <c r="D1696" t="s">
        <v>17</v>
      </c>
      <c r="E1696" t="s">
        <v>138</v>
      </c>
      <c r="F1696" t="s">
        <v>54</v>
      </c>
      <c r="G1696" t="s">
        <v>20</v>
      </c>
      <c r="H1696" t="s">
        <v>199</v>
      </c>
      <c r="I1696">
        <v>3</v>
      </c>
      <c r="J1696">
        <v>87.29</v>
      </c>
      <c r="K1696">
        <v>10</v>
      </c>
      <c r="L1696">
        <v>235.68</v>
      </c>
      <c r="M1696">
        <v>14.8</v>
      </c>
      <c r="N1696">
        <v>76.849999999999994</v>
      </c>
      <c r="O1696" t="s">
        <v>22</v>
      </c>
      <c r="P1696">
        <v>2025</v>
      </c>
      <c r="Q1696" t="s">
        <v>3642</v>
      </c>
      <c r="R1696">
        <v>212.11199999999999</v>
      </c>
      <c r="S1696">
        <v>0.36230859168740998</v>
      </c>
      <c r="T1696" t="s">
        <v>3632</v>
      </c>
      <c r="U1696" t="s">
        <v>3633</v>
      </c>
    </row>
    <row r="1697" spans="1:21" x14ac:dyDescent="0.25">
      <c r="A1697" t="s">
        <v>3137</v>
      </c>
      <c r="B1697" s="1">
        <v>45862</v>
      </c>
      <c r="C1697" t="s">
        <v>2318</v>
      </c>
      <c r="D1697" t="s">
        <v>49</v>
      </c>
      <c r="E1697" t="s">
        <v>169</v>
      </c>
      <c r="F1697" t="s">
        <v>68</v>
      </c>
      <c r="G1697" t="s">
        <v>32</v>
      </c>
      <c r="H1697" t="s">
        <v>33</v>
      </c>
      <c r="I1697">
        <v>3</v>
      </c>
      <c r="J1697">
        <v>7.1</v>
      </c>
      <c r="K1697">
        <v>10</v>
      </c>
      <c r="L1697">
        <v>19.170000000000002</v>
      </c>
      <c r="M1697">
        <v>12.32</v>
      </c>
      <c r="N1697">
        <v>-2.73</v>
      </c>
      <c r="O1697" t="s">
        <v>34</v>
      </c>
      <c r="P1697">
        <v>2025</v>
      </c>
      <c r="Q1697" t="s">
        <v>3642</v>
      </c>
      <c r="R1697">
        <v>17.253</v>
      </c>
      <c r="S1697">
        <v>-0.15823335072161401</v>
      </c>
      <c r="T1697" t="s">
        <v>3634</v>
      </c>
      <c r="U1697" t="s">
        <v>3636</v>
      </c>
    </row>
    <row r="1698" spans="1:21" x14ac:dyDescent="0.25">
      <c r="A1698" t="s">
        <v>3138</v>
      </c>
      <c r="B1698" s="1">
        <v>45862</v>
      </c>
      <c r="C1698" t="s">
        <v>3139</v>
      </c>
      <c r="D1698" t="s">
        <v>49</v>
      </c>
      <c r="E1698" t="s">
        <v>135</v>
      </c>
      <c r="F1698" t="s">
        <v>26</v>
      </c>
      <c r="G1698" t="s">
        <v>32</v>
      </c>
      <c r="H1698" t="s">
        <v>50</v>
      </c>
      <c r="I1698">
        <v>1</v>
      </c>
      <c r="J1698">
        <v>21.92</v>
      </c>
      <c r="K1698">
        <v>10</v>
      </c>
      <c r="L1698">
        <v>19.73</v>
      </c>
      <c r="M1698">
        <v>8.01</v>
      </c>
      <c r="N1698">
        <v>1.86</v>
      </c>
      <c r="O1698" t="s">
        <v>56</v>
      </c>
      <c r="P1698">
        <v>2025</v>
      </c>
      <c r="Q1698" t="s">
        <v>3642</v>
      </c>
      <c r="R1698">
        <v>17.757000000000001</v>
      </c>
      <c r="S1698">
        <v>0.104747423551276</v>
      </c>
      <c r="T1698" t="s">
        <v>3634</v>
      </c>
      <c r="U1698" t="s">
        <v>3633</v>
      </c>
    </row>
    <row r="1699" spans="1:21" x14ac:dyDescent="0.25">
      <c r="A1699" t="s">
        <v>3140</v>
      </c>
      <c r="B1699" s="1">
        <v>45862</v>
      </c>
      <c r="C1699" t="s">
        <v>3141</v>
      </c>
      <c r="D1699" t="s">
        <v>17</v>
      </c>
      <c r="E1699" t="s">
        <v>92</v>
      </c>
      <c r="F1699" t="s">
        <v>60</v>
      </c>
      <c r="G1699" t="s">
        <v>42</v>
      </c>
      <c r="H1699" t="s">
        <v>294</v>
      </c>
      <c r="I1699">
        <v>1</v>
      </c>
      <c r="J1699">
        <v>279.64999999999998</v>
      </c>
      <c r="K1699">
        <v>10</v>
      </c>
      <c r="L1699">
        <v>251.68</v>
      </c>
      <c r="M1699">
        <v>9.76</v>
      </c>
      <c r="N1699">
        <v>74.13</v>
      </c>
      <c r="O1699" t="s">
        <v>34</v>
      </c>
      <c r="P1699">
        <v>2025</v>
      </c>
      <c r="Q1699" t="s">
        <v>3642</v>
      </c>
      <c r="R1699">
        <v>226.512</v>
      </c>
      <c r="S1699">
        <v>0.32726742954015697</v>
      </c>
      <c r="T1699" t="s">
        <v>3632</v>
      </c>
      <c r="U1699" t="s">
        <v>3633</v>
      </c>
    </row>
    <row r="1700" spans="1:21" x14ac:dyDescent="0.25">
      <c r="A1700" t="s">
        <v>3142</v>
      </c>
      <c r="B1700" s="1">
        <v>45863</v>
      </c>
      <c r="C1700" t="s">
        <v>728</v>
      </c>
      <c r="D1700" t="s">
        <v>30</v>
      </c>
      <c r="E1700" t="s">
        <v>129</v>
      </c>
      <c r="F1700" t="s">
        <v>19</v>
      </c>
      <c r="G1700" t="s">
        <v>20</v>
      </c>
      <c r="H1700" t="s">
        <v>264</v>
      </c>
      <c r="I1700">
        <v>1</v>
      </c>
      <c r="J1700">
        <v>49.84</v>
      </c>
      <c r="K1700">
        <v>5</v>
      </c>
      <c r="L1700">
        <v>47.35</v>
      </c>
      <c r="M1700">
        <v>5.98</v>
      </c>
      <c r="N1700">
        <v>13.96</v>
      </c>
      <c r="O1700" t="s">
        <v>34</v>
      </c>
      <c r="P1700">
        <v>2025</v>
      </c>
      <c r="Q1700" t="s">
        <v>3642</v>
      </c>
      <c r="R1700">
        <v>44.982500000000002</v>
      </c>
      <c r="S1700">
        <v>0.31034291113210699</v>
      </c>
      <c r="T1700" t="s">
        <v>3634</v>
      </c>
      <c r="U1700" t="s">
        <v>3633</v>
      </c>
    </row>
    <row r="1701" spans="1:21" x14ac:dyDescent="0.25">
      <c r="A1701" t="s">
        <v>3143</v>
      </c>
      <c r="B1701" s="1">
        <v>45863</v>
      </c>
      <c r="C1701" t="s">
        <v>3144</v>
      </c>
      <c r="D1701" t="s">
        <v>30</v>
      </c>
      <c r="E1701" t="s">
        <v>85</v>
      </c>
      <c r="F1701" t="s">
        <v>60</v>
      </c>
      <c r="G1701" t="s">
        <v>42</v>
      </c>
      <c r="H1701" t="s">
        <v>43</v>
      </c>
      <c r="I1701">
        <v>1</v>
      </c>
      <c r="J1701">
        <v>271.05</v>
      </c>
      <c r="K1701">
        <v>10</v>
      </c>
      <c r="L1701">
        <v>243.95</v>
      </c>
      <c r="M1701">
        <v>10.25</v>
      </c>
      <c r="N1701">
        <v>71.069999999999993</v>
      </c>
      <c r="O1701" t="s">
        <v>34</v>
      </c>
      <c r="P1701">
        <v>2025</v>
      </c>
      <c r="Q1701" t="s">
        <v>3642</v>
      </c>
      <c r="R1701">
        <v>219.55500000000001</v>
      </c>
      <c r="S1701">
        <v>0.32370021179203401</v>
      </c>
      <c r="T1701" t="s">
        <v>3632</v>
      </c>
      <c r="U1701" t="s">
        <v>3633</v>
      </c>
    </row>
    <row r="1702" spans="1:21" x14ac:dyDescent="0.25">
      <c r="A1702" t="s">
        <v>3145</v>
      </c>
      <c r="B1702" s="1">
        <v>45864</v>
      </c>
      <c r="C1702" t="s">
        <v>3146</v>
      </c>
      <c r="D1702" t="s">
        <v>17</v>
      </c>
      <c r="E1702" t="s">
        <v>92</v>
      </c>
      <c r="F1702" t="s">
        <v>60</v>
      </c>
      <c r="G1702" t="s">
        <v>20</v>
      </c>
      <c r="H1702" t="s">
        <v>38</v>
      </c>
      <c r="I1702">
        <v>3</v>
      </c>
      <c r="J1702">
        <v>77.91</v>
      </c>
      <c r="K1702">
        <v>5</v>
      </c>
      <c r="L1702">
        <v>222.04</v>
      </c>
      <c r="M1702">
        <v>13.07</v>
      </c>
      <c r="N1702">
        <v>80.42</v>
      </c>
      <c r="O1702" t="s">
        <v>22</v>
      </c>
      <c r="P1702">
        <v>2025</v>
      </c>
      <c r="Q1702" t="s">
        <v>3642</v>
      </c>
      <c r="R1702">
        <v>210.93799999999999</v>
      </c>
      <c r="S1702">
        <v>0.38124946666793103</v>
      </c>
      <c r="T1702" t="s">
        <v>3632</v>
      </c>
      <c r="U1702" t="s">
        <v>3633</v>
      </c>
    </row>
    <row r="1703" spans="1:21" x14ac:dyDescent="0.25">
      <c r="A1703" t="s">
        <v>3147</v>
      </c>
      <c r="B1703" s="1">
        <v>45864</v>
      </c>
      <c r="C1703" t="s">
        <v>3148</v>
      </c>
      <c r="D1703" t="s">
        <v>17</v>
      </c>
      <c r="E1703" t="s">
        <v>18</v>
      </c>
      <c r="F1703" t="s">
        <v>19</v>
      </c>
      <c r="G1703" t="s">
        <v>42</v>
      </c>
      <c r="H1703" t="s">
        <v>371</v>
      </c>
      <c r="I1703">
        <v>9</v>
      </c>
      <c r="J1703">
        <v>109.79</v>
      </c>
      <c r="K1703">
        <v>25</v>
      </c>
      <c r="L1703">
        <v>741.08</v>
      </c>
      <c r="M1703">
        <v>15.31</v>
      </c>
      <c r="N1703">
        <v>132.9</v>
      </c>
      <c r="O1703" t="s">
        <v>34</v>
      </c>
      <c r="P1703">
        <v>2025</v>
      </c>
      <c r="Q1703" t="s">
        <v>3642</v>
      </c>
      <c r="R1703">
        <v>555.80999999999995</v>
      </c>
      <c r="S1703">
        <v>0.23911048739677199</v>
      </c>
      <c r="T1703" t="s">
        <v>3635</v>
      </c>
      <c r="U1703" t="s">
        <v>3633</v>
      </c>
    </row>
    <row r="1704" spans="1:21" x14ac:dyDescent="0.25">
      <c r="A1704" t="s">
        <v>3149</v>
      </c>
      <c r="B1704" s="1">
        <v>45864</v>
      </c>
      <c r="C1704" t="s">
        <v>2113</v>
      </c>
      <c r="D1704" t="s">
        <v>30</v>
      </c>
      <c r="E1704" t="s">
        <v>148</v>
      </c>
      <c r="F1704" t="s">
        <v>60</v>
      </c>
      <c r="G1704" t="s">
        <v>69</v>
      </c>
      <c r="H1704" t="s">
        <v>86</v>
      </c>
      <c r="I1704">
        <v>2</v>
      </c>
      <c r="J1704">
        <v>116.48</v>
      </c>
      <c r="K1704">
        <v>5</v>
      </c>
      <c r="L1704">
        <v>221.31</v>
      </c>
      <c r="M1704">
        <v>10.72</v>
      </c>
      <c r="N1704">
        <v>94.11</v>
      </c>
      <c r="O1704" t="s">
        <v>22</v>
      </c>
      <c r="P1704">
        <v>2025</v>
      </c>
      <c r="Q1704" t="s">
        <v>3642</v>
      </c>
      <c r="R1704">
        <v>210.24449999999999</v>
      </c>
      <c r="S1704">
        <v>0.44762169759494302</v>
      </c>
      <c r="T1704" t="s">
        <v>3632</v>
      </c>
      <c r="U1704" t="s">
        <v>3633</v>
      </c>
    </row>
    <row r="1705" spans="1:21" x14ac:dyDescent="0.25">
      <c r="A1705" t="s">
        <v>3150</v>
      </c>
      <c r="B1705" s="1">
        <v>45864</v>
      </c>
      <c r="C1705" t="s">
        <v>952</v>
      </c>
      <c r="D1705" t="s">
        <v>17</v>
      </c>
      <c r="E1705" t="s">
        <v>67</v>
      </c>
      <c r="F1705" t="s">
        <v>68</v>
      </c>
      <c r="G1705" t="s">
        <v>32</v>
      </c>
      <c r="H1705" t="s">
        <v>348</v>
      </c>
      <c r="I1705">
        <v>8</v>
      </c>
      <c r="J1705">
        <v>5.71</v>
      </c>
      <c r="K1705">
        <v>10</v>
      </c>
      <c r="L1705">
        <v>41.11</v>
      </c>
      <c r="M1705">
        <v>26.4</v>
      </c>
      <c r="N1705">
        <v>-5.85</v>
      </c>
      <c r="O1705" t="s">
        <v>39</v>
      </c>
      <c r="P1705">
        <v>2025</v>
      </c>
      <c r="Q1705" t="s">
        <v>3642</v>
      </c>
      <c r="R1705">
        <v>36.999000000000002</v>
      </c>
      <c r="S1705">
        <v>-0.15811238141571399</v>
      </c>
      <c r="T1705" t="s">
        <v>3634</v>
      </c>
      <c r="U1705" t="s">
        <v>3636</v>
      </c>
    </row>
    <row r="1706" spans="1:21" x14ac:dyDescent="0.25">
      <c r="A1706" t="s">
        <v>3151</v>
      </c>
      <c r="B1706" s="1">
        <v>45864</v>
      </c>
      <c r="C1706" t="s">
        <v>896</v>
      </c>
      <c r="D1706" t="s">
        <v>30</v>
      </c>
      <c r="E1706" t="s">
        <v>166</v>
      </c>
      <c r="F1706" t="s">
        <v>60</v>
      </c>
      <c r="G1706" t="s">
        <v>69</v>
      </c>
      <c r="H1706" t="s">
        <v>98</v>
      </c>
      <c r="I1706">
        <v>1</v>
      </c>
      <c r="J1706">
        <v>56.01</v>
      </c>
      <c r="K1706">
        <v>25</v>
      </c>
      <c r="L1706">
        <v>42.01</v>
      </c>
      <c r="M1706">
        <v>11.23</v>
      </c>
      <c r="N1706">
        <v>2.77</v>
      </c>
      <c r="O1706" t="s">
        <v>34</v>
      </c>
      <c r="P1706">
        <v>2025</v>
      </c>
      <c r="Q1706" t="s">
        <v>3642</v>
      </c>
      <c r="R1706">
        <v>31.5075</v>
      </c>
      <c r="S1706">
        <v>8.7915575656589695E-2</v>
      </c>
      <c r="T1706" t="s">
        <v>3634</v>
      </c>
      <c r="U1706" t="s">
        <v>3633</v>
      </c>
    </row>
    <row r="1707" spans="1:21" x14ac:dyDescent="0.25">
      <c r="A1707" t="s">
        <v>3152</v>
      </c>
      <c r="B1707" s="1">
        <v>45865</v>
      </c>
      <c r="C1707" t="s">
        <v>3153</v>
      </c>
      <c r="D1707" t="s">
        <v>49</v>
      </c>
      <c r="E1707" t="s">
        <v>248</v>
      </c>
      <c r="F1707" t="s">
        <v>26</v>
      </c>
      <c r="G1707" t="s">
        <v>69</v>
      </c>
      <c r="H1707" t="s">
        <v>163</v>
      </c>
      <c r="I1707">
        <v>3</v>
      </c>
      <c r="J1707">
        <v>49.04</v>
      </c>
      <c r="K1707">
        <v>10</v>
      </c>
      <c r="L1707">
        <v>132.41</v>
      </c>
      <c r="M1707">
        <v>10.87</v>
      </c>
      <c r="N1707">
        <v>47.98</v>
      </c>
      <c r="O1707" t="s">
        <v>39</v>
      </c>
      <c r="P1707">
        <v>2025</v>
      </c>
      <c r="Q1707" t="s">
        <v>3642</v>
      </c>
      <c r="R1707">
        <v>119.169</v>
      </c>
      <c r="S1707">
        <v>0.40262148713172002</v>
      </c>
      <c r="T1707" t="s">
        <v>3632</v>
      </c>
      <c r="U1707" t="s">
        <v>3633</v>
      </c>
    </row>
    <row r="1708" spans="1:21" x14ac:dyDescent="0.25">
      <c r="A1708" t="s">
        <v>3154</v>
      </c>
      <c r="B1708" s="1">
        <v>45865</v>
      </c>
      <c r="C1708" t="s">
        <v>3155</v>
      </c>
      <c r="D1708" t="s">
        <v>30</v>
      </c>
      <c r="E1708" t="s">
        <v>135</v>
      </c>
      <c r="F1708" t="s">
        <v>26</v>
      </c>
      <c r="G1708" t="s">
        <v>69</v>
      </c>
      <c r="H1708" t="s">
        <v>243</v>
      </c>
      <c r="I1708">
        <v>5</v>
      </c>
      <c r="J1708">
        <v>15.17</v>
      </c>
      <c r="K1708">
        <v>25</v>
      </c>
      <c r="L1708">
        <v>56.89</v>
      </c>
      <c r="M1708">
        <v>12.81</v>
      </c>
      <c r="N1708">
        <v>6.16</v>
      </c>
      <c r="O1708" t="s">
        <v>56</v>
      </c>
      <c r="P1708">
        <v>2025</v>
      </c>
      <c r="Q1708" t="s">
        <v>3642</v>
      </c>
      <c r="R1708">
        <v>42.667499999999997</v>
      </c>
      <c r="S1708">
        <v>0.14437218023085499</v>
      </c>
      <c r="T1708" t="s">
        <v>3634</v>
      </c>
      <c r="U1708" t="s">
        <v>3633</v>
      </c>
    </row>
    <row r="1709" spans="1:21" x14ac:dyDescent="0.25">
      <c r="A1709" t="s">
        <v>3156</v>
      </c>
      <c r="B1709" s="1">
        <v>45866</v>
      </c>
      <c r="C1709" t="s">
        <v>3157</v>
      </c>
      <c r="D1709" t="s">
        <v>49</v>
      </c>
      <c r="E1709" t="s">
        <v>135</v>
      </c>
      <c r="F1709" t="s">
        <v>26</v>
      </c>
      <c r="G1709" t="s">
        <v>42</v>
      </c>
      <c r="H1709" t="s">
        <v>46</v>
      </c>
      <c r="I1709">
        <v>1</v>
      </c>
      <c r="J1709">
        <v>137.38999999999999</v>
      </c>
      <c r="K1709">
        <v>5</v>
      </c>
      <c r="L1709">
        <v>130.52000000000001</v>
      </c>
      <c r="M1709">
        <v>8.07</v>
      </c>
      <c r="N1709">
        <v>40.020000000000003</v>
      </c>
      <c r="O1709" t="s">
        <v>39</v>
      </c>
      <c r="P1709">
        <v>2025</v>
      </c>
      <c r="Q1709" t="s">
        <v>3642</v>
      </c>
      <c r="R1709">
        <v>123.994</v>
      </c>
      <c r="S1709">
        <v>0.322757552784812</v>
      </c>
      <c r="T1709" t="s">
        <v>3632</v>
      </c>
      <c r="U1709" t="s">
        <v>3633</v>
      </c>
    </row>
    <row r="1710" spans="1:21" x14ac:dyDescent="0.25">
      <c r="A1710" t="s">
        <v>3158</v>
      </c>
      <c r="B1710" s="1">
        <v>45867</v>
      </c>
      <c r="C1710" t="s">
        <v>277</v>
      </c>
      <c r="D1710" t="s">
        <v>30</v>
      </c>
      <c r="E1710" t="s">
        <v>148</v>
      </c>
      <c r="F1710" t="s">
        <v>60</v>
      </c>
      <c r="G1710" t="s">
        <v>42</v>
      </c>
      <c r="H1710" t="s">
        <v>46</v>
      </c>
      <c r="I1710">
        <v>1</v>
      </c>
      <c r="J1710">
        <v>95.66</v>
      </c>
      <c r="K1710">
        <v>0</v>
      </c>
      <c r="L1710">
        <v>95.66</v>
      </c>
      <c r="M1710">
        <v>10.25</v>
      </c>
      <c r="N1710">
        <v>28.01</v>
      </c>
      <c r="O1710" t="s">
        <v>39</v>
      </c>
      <c r="P1710">
        <v>2025</v>
      </c>
      <c r="Q1710" t="s">
        <v>3642</v>
      </c>
      <c r="R1710">
        <v>95.66</v>
      </c>
      <c r="S1710">
        <v>0.29280786117499502</v>
      </c>
      <c r="T1710" t="s">
        <v>3634</v>
      </c>
      <c r="U1710" t="s">
        <v>3633</v>
      </c>
    </row>
    <row r="1711" spans="1:21" x14ac:dyDescent="0.25">
      <c r="A1711" t="s">
        <v>3159</v>
      </c>
      <c r="B1711" s="1">
        <v>45867</v>
      </c>
      <c r="C1711" t="s">
        <v>3160</v>
      </c>
      <c r="D1711" t="s">
        <v>30</v>
      </c>
      <c r="E1711" t="s">
        <v>31</v>
      </c>
      <c r="F1711" t="s">
        <v>19</v>
      </c>
      <c r="G1711" t="s">
        <v>69</v>
      </c>
      <c r="H1711" t="s">
        <v>139</v>
      </c>
      <c r="I1711">
        <v>8</v>
      </c>
      <c r="J1711">
        <v>45.61</v>
      </c>
      <c r="K1711">
        <v>20</v>
      </c>
      <c r="L1711">
        <v>291.89999999999998</v>
      </c>
      <c r="M1711">
        <v>10.199999999999999</v>
      </c>
      <c r="N1711">
        <v>99.26</v>
      </c>
      <c r="O1711" t="s">
        <v>22</v>
      </c>
      <c r="P1711">
        <v>2025</v>
      </c>
      <c r="Q1711" t="s">
        <v>3642</v>
      </c>
      <c r="R1711">
        <v>233.52</v>
      </c>
      <c r="S1711">
        <v>0.42505995203836899</v>
      </c>
      <c r="T1711" t="s">
        <v>3632</v>
      </c>
      <c r="U1711" t="s">
        <v>3633</v>
      </c>
    </row>
    <row r="1712" spans="1:21" x14ac:dyDescent="0.25">
      <c r="A1712" t="s">
        <v>3161</v>
      </c>
      <c r="B1712" s="1">
        <v>45869</v>
      </c>
      <c r="C1712" t="s">
        <v>3162</v>
      </c>
      <c r="D1712" t="s">
        <v>30</v>
      </c>
      <c r="E1712" t="s">
        <v>25</v>
      </c>
      <c r="F1712" t="s">
        <v>26</v>
      </c>
      <c r="G1712" t="s">
        <v>42</v>
      </c>
      <c r="H1712" t="s">
        <v>255</v>
      </c>
      <c r="I1712">
        <v>1</v>
      </c>
      <c r="J1712">
        <v>27.82</v>
      </c>
      <c r="K1712">
        <v>5</v>
      </c>
      <c r="L1712">
        <v>26.43</v>
      </c>
      <c r="M1712">
        <v>7.75</v>
      </c>
      <c r="N1712">
        <v>1.99</v>
      </c>
      <c r="O1712" t="s">
        <v>39</v>
      </c>
      <c r="P1712">
        <v>2025</v>
      </c>
      <c r="Q1712" t="s">
        <v>3642</v>
      </c>
      <c r="R1712">
        <v>25.108499999999999</v>
      </c>
      <c r="S1712">
        <v>7.9256028834856704E-2</v>
      </c>
      <c r="T1712" t="s">
        <v>3634</v>
      </c>
      <c r="U1712" t="s">
        <v>3633</v>
      </c>
    </row>
    <row r="1713" spans="1:21" x14ac:dyDescent="0.25">
      <c r="A1713" t="s">
        <v>3163</v>
      </c>
      <c r="B1713" s="1">
        <v>45869</v>
      </c>
      <c r="C1713" t="s">
        <v>948</v>
      </c>
      <c r="D1713" t="s">
        <v>30</v>
      </c>
      <c r="E1713" t="s">
        <v>76</v>
      </c>
      <c r="F1713" t="s">
        <v>26</v>
      </c>
      <c r="G1713" t="s">
        <v>69</v>
      </c>
      <c r="H1713" t="s">
        <v>79</v>
      </c>
      <c r="I1713">
        <v>3</v>
      </c>
      <c r="J1713">
        <v>107.11</v>
      </c>
      <c r="K1713">
        <v>5</v>
      </c>
      <c r="L1713">
        <v>305.26</v>
      </c>
      <c r="M1713">
        <v>11.77</v>
      </c>
      <c r="N1713">
        <v>132.82</v>
      </c>
      <c r="O1713" t="s">
        <v>34</v>
      </c>
      <c r="P1713">
        <v>2025</v>
      </c>
      <c r="Q1713" t="s">
        <v>3642</v>
      </c>
      <c r="R1713">
        <v>289.99700000000001</v>
      </c>
      <c r="S1713">
        <v>0.45800473798004798</v>
      </c>
      <c r="T1713" t="s">
        <v>3632</v>
      </c>
      <c r="U1713" t="s">
        <v>3633</v>
      </c>
    </row>
    <row r="1714" spans="1:21" x14ac:dyDescent="0.25">
      <c r="A1714" t="s">
        <v>3164</v>
      </c>
      <c r="B1714" s="1">
        <v>45870</v>
      </c>
      <c r="C1714" t="s">
        <v>635</v>
      </c>
      <c r="D1714" t="s">
        <v>17</v>
      </c>
      <c r="E1714" t="s">
        <v>67</v>
      </c>
      <c r="F1714" t="s">
        <v>68</v>
      </c>
      <c r="G1714" t="s">
        <v>20</v>
      </c>
      <c r="H1714" t="s">
        <v>38</v>
      </c>
      <c r="I1714">
        <v>5</v>
      </c>
      <c r="J1714">
        <v>81.709999999999994</v>
      </c>
      <c r="K1714">
        <v>20</v>
      </c>
      <c r="L1714">
        <v>326.83999999999997</v>
      </c>
      <c r="M1714">
        <v>22.16</v>
      </c>
      <c r="N1714">
        <v>79.98</v>
      </c>
      <c r="O1714" t="s">
        <v>39</v>
      </c>
      <c r="P1714">
        <v>2025</v>
      </c>
      <c r="Q1714" t="s">
        <v>3643</v>
      </c>
      <c r="R1714">
        <v>261.47199999999998</v>
      </c>
      <c r="S1714">
        <v>0.30588361277689402</v>
      </c>
      <c r="T1714" t="s">
        <v>3632</v>
      </c>
      <c r="U1714" t="s">
        <v>3633</v>
      </c>
    </row>
    <row r="1715" spans="1:21" x14ac:dyDescent="0.25">
      <c r="A1715" t="s">
        <v>3165</v>
      </c>
      <c r="B1715" s="1">
        <v>45870</v>
      </c>
      <c r="C1715" t="s">
        <v>3166</v>
      </c>
      <c r="D1715" t="s">
        <v>49</v>
      </c>
      <c r="E1715" t="s">
        <v>129</v>
      </c>
      <c r="F1715" t="s">
        <v>19</v>
      </c>
      <c r="G1715" t="s">
        <v>20</v>
      </c>
      <c r="H1715" t="s">
        <v>264</v>
      </c>
      <c r="I1715">
        <v>1</v>
      </c>
      <c r="J1715">
        <v>31.28</v>
      </c>
      <c r="K1715">
        <v>0</v>
      </c>
      <c r="L1715">
        <v>31.28</v>
      </c>
      <c r="M1715">
        <v>7.32</v>
      </c>
      <c r="N1715">
        <v>6.76</v>
      </c>
      <c r="O1715" t="s">
        <v>34</v>
      </c>
      <c r="P1715">
        <v>2025</v>
      </c>
      <c r="Q1715" t="s">
        <v>3643</v>
      </c>
      <c r="R1715">
        <v>31.28</v>
      </c>
      <c r="S1715">
        <v>0.21611253196930899</v>
      </c>
      <c r="T1715" t="s">
        <v>3634</v>
      </c>
      <c r="U1715" t="s">
        <v>3633</v>
      </c>
    </row>
    <row r="1716" spans="1:21" x14ac:dyDescent="0.25">
      <c r="A1716" t="s">
        <v>3167</v>
      </c>
      <c r="B1716" s="1">
        <v>45871</v>
      </c>
      <c r="C1716" t="s">
        <v>3168</v>
      </c>
      <c r="D1716" t="s">
        <v>17</v>
      </c>
      <c r="E1716" t="s">
        <v>67</v>
      </c>
      <c r="F1716" t="s">
        <v>68</v>
      </c>
      <c r="G1716" t="s">
        <v>32</v>
      </c>
      <c r="H1716" t="s">
        <v>149</v>
      </c>
      <c r="I1716">
        <v>1</v>
      </c>
      <c r="J1716">
        <v>8.7799999999999994</v>
      </c>
      <c r="K1716">
        <v>0</v>
      </c>
      <c r="L1716">
        <v>8.7799999999999994</v>
      </c>
      <c r="M1716">
        <v>11.95</v>
      </c>
      <c r="N1716">
        <v>-7.12</v>
      </c>
      <c r="O1716" t="s">
        <v>39</v>
      </c>
      <c r="P1716">
        <v>2025</v>
      </c>
      <c r="Q1716" t="s">
        <v>3643</v>
      </c>
      <c r="R1716">
        <v>8.7799999999999994</v>
      </c>
      <c r="S1716">
        <v>-0.81093394077448799</v>
      </c>
      <c r="T1716" t="s">
        <v>3634</v>
      </c>
      <c r="U1716" t="s">
        <v>3636</v>
      </c>
    </row>
    <row r="1717" spans="1:21" x14ac:dyDescent="0.25">
      <c r="A1717" t="s">
        <v>3169</v>
      </c>
      <c r="B1717" s="1">
        <v>45871</v>
      </c>
      <c r="C1717" t="s">
        <v>3170</v>
      </c>
      <c r="D1717" t="s">
        <v>30</v>
      </c>
      <c r="E1717" t="s">
        <v>138</v>
      </c>
      <c r="F1717" t="s">
        <v>54</v>
      </c>
      <c r="G1717" t="s">
        <v>20</v>
      </c>
      <c r="H1717" t="s">
        <v>122</v>
      </c>
      <c r="I1717">
        <v>1</v>
      </c>
      <c r="J1717">
        <v>115.18</v>
      </c>
      <c r="K1717">
        <v>5</v>
      </c>
      <c r="L1717">
        <v>109.42</v>
      </c>
      <c r="M1717">
        <v>11.78</v>
      </c>
      <c r="N1717">
        <v>34.29</v>
      </c>
      <c r="O1717" t="s">
        <v>56</v>
      </c>
      <c r="P1717">
        <v>2025</v>
      </c>
      <c r="Q1717" t="s">
        <v>3643</v>
      </c>
      <c r="R1717">
        <v>103.949</v>
      </c>
      <c r="S1717">
        <v>0.329873303254481</v>
      </c>
      <c r="T1717" t="s">
        <v>3632</v>
      </c>
      <c r="U1717" t="s">
        <v>3633</v>
      </c>
    </row>
    <row r="1718" spans="1:21" x14ac:dyDescent="0.25">
      <c r="A1718" t="s">
        <v>3171</v>
      </c>
      <c r="B1718" s="1">
        <v>45872</v>
      </c>
      <c r="C1718" t="s">
        <v>1780</v>
      </c>
      <c r="D1718" t="s">
        <v>30</v>
      </c>
      <c r="E1718" t="s">
        <v>129</v>
      </c>
      <c r="F1718" t="s">
        <v>19</v>
      </c>
      <c r="G1718" t="s">
        <v>42</v>
      </c>
      <c r="H1718" t="s">
        <v>43</v>
      </c>
      <c r="I1718">
        <v>1</v>
      </c>
      <c r="J1718">
        <v>111.03</v>
      </c>
      <c r="K1718">
        <v>0</v>
      </c>
      <c r="L1718">
        <v>111.03</v>
      </c>
      <c r="M1718">
        <v>7.07</v>
      </c>
      <c r="N1718">
        <v>37.340000000000003</v>
      </c>
      <c r="O1718" t="s">
        <v>34</v>
      </c>
      <c r="P1718">
        <v>2025</v>
      </c>
      <c r="Q1718" t="s">
        <v>3643</v>
      </c>
      <c r="R1718">
        <v>111.03</v>
      </c>
      <c r="S1718">
        <v>0.33630550301720302</v>
      </c>
      <c r="T1718" t="s">
        <v>3632</v>
      </c>
      <c r="U1718" t="s">
        <v>3633</v>
      </c>
    </row>
    <row r="1719" spans="1:21" x14ac:dyDescent="0.25">
      <c r="A1719" t="s">
        <v>3172</v>
      </c>
      <c r="B1719" s="1">
        <v>45873</v>
      </c>
      <c r="C1719" t="s">
        <v>3173</v>
      </c>
      <c r="D1719" t="s">
        <v>30</v>
      </c>
      <c r="E1719" t="s">
        <v>18</v>
      </c>
      <c r="F1719" t="s">
        <v>19</v>
      </c>
      <c r="G1719" t="s">
        <v>20</v>
      </c>
      <c r="H1719" t="s">
        <v>264</v>
      </c>
      <c r="I1719">
        <v>5</v>
      </c>
      <c r="J1719">
        <v>39.06</v>
      </c>
      <c r="K1719">
        <v>15</v>
      </c>
      <c r="L1719">
        <v>166</v>
      </c>
      <c r="M1719">
        <v>11.47</v>
      </c>
      <c r="N1719">
        <v>47.11</v>
      </c>
      <c r="O1719" t="s">
        <v>34</v>
      </c>
      <c r="P1719">
        <v>2025</v>
      </c>
      <c r="Q1719" t="s">
        <v>3643</v>
      </c>
      <c r="R1719">
        <v>141.1</v>
      </c>
      <c r="S1719">
        <v>0.33387668320340202</v>
      </c>
      <c r="T1719" t="s">
        <v>3632</v>
      </c>
      <c r="U1719" t="s">
        <v>3633</v>
      </c>
    </row>
    <row r="1720" spans="1:21" x14ac:dyDescent="0.25">
      <c r="A1720" t="s">
        <v>3174</v>
      </c>
      <c r="B1720" s="1">
        <v>45874</v>
      </c>
      <c r="C1720" t="s">
        <v>3175</v>
      </c>
      <c r="D1720" t="s">
        <v>30</v>
      </c>
      <c r="E1720" t="s">
        <v>138</v>
      </c>
      <c r="F1720" t="s">
        <v>54</v>
      </c>
      <c r="G1720" t="s">
        <v>32</v>
      </c>
      <c r="H1720" t="s">
        <v>33</v>
      </c>
      <c r="I1720">
        <v>1</v>
      </c>
      <c r="J1720">
        <v>15.21</v>
      </c>
      <c r="K1720">
        <v>5</v>
      </c>
      <c r="L1720">
        <v>14.45</v>
      </c>
      <c r="M1720">
        <v>12.63</v>
      </c>
      <c r="N1720">
        <v>-5.0199999999999996</v>
      </c>
      <c r="O1720" t="s">
        <v>39</v>
      </c>
      <c r="P1720">
        <v>2025</v>
      </c>
      <c r="Q1720" t="s">
        <v>3643</v>
      </c>
      <c r="R1720">
        <v>13.727499999999999</v>
      </c>
      <c r="S1720">
        <v>-0.36568930977963898</v>
      </c>
      <c r="T1720" t="s">
        <v>3634</v>
      </c>
      <c r="U1720" t="s">
        <v>3636</v>
      </c>
    </row>
    <row r="1721" spans="1:21" x14ac:dyDescent="0.25">
      <c r="A1721" t="s">
        <v>3176</v>
      </c>
      <c r="B1721" s="1">
        <v>45874</v>
      </c>
      <c r="C1721" t="s">
        <v>3177</v>
      </c>
      <c r="D1721" t="s">
        <v>49</v>
      </c>
      <c r="E1721" t="s">
        <v>248</v>
      </c>
      <c r="F1721" t="s">
        <v>26</v>
      </c>
      <c r="G1721" t="s">
        <v>32</v>
      </c>
      <c r="H1721" t="s">
        <v>149</v>
      </c>
      <c r="I1721">
        <v>3</v>
      </c>
      <c r="J1721">
        <v>15.81</v>
      </c>
      <c r="K1721">
        <v>10</v>
      </c>
      <c r="L1721">
        <v>42.69</v>
      </c>
      <c r="M1721">
        <v>11.47</v>
      </c>
      <c r="N1721">
        <v>9.8800000000000008</v>
      </c>
      <c r="O1721" t="s">
        <v>56</v>
      </c>
      <c r="P1721">
        <v>2025</v>
      </c>
      <c r="Q1721" t="s">
        <v>3643</v>
      </c>
      <c r="R1721">
        <v>38.420999999999999</v>
      </c>
      <c r="S1721">
        <v>0.25715103719320198</v>
      </c>
      <c r="T1721" t="s">
        <v>3634</v>
      </c>
      <c r="U1721" t="s">
        <v>3633</v>
      </c>
    </row>
    <row r="1722" spans="1:21" x14ac:dyDescent="0.25">
      <c r="A1722" t="s">
        <v>3178</v>
      </c>
      <c r="B1722" s="1">
        <v>45875</v>
      </c>
      <c r="C1722" t="s">
        <v>3179</v>
      </c>
      <c r="D1722" t="s">
        <v>30</v>
      </c>
      <c r="E1722" t="s">
        <v>31</v>
      </c>
      <c r="F1722" t="s">
        <v>19</v>
      </c>
      <c r="G1722" t="s">
        <v>42</v>
      </c>
      <c r="H1722" t="s">
        <v>118</v>
      </c>
      <c r="I1722">
        <v>3</v>
      </c>
      <c r="J1722">
        <v>41.55</v>
      </c>
      <c r="K1722">
        <v>5</v>
      </c>
      <c r="L1722">
        <v>118.42</v>
      </c>
      <c r="M1722">
        <v>7.02</v>
      </c>
      <c r="N1722">
        <v>36.61</v>
      </c>
      <c r="O1722" t="s">
        <v>39</v>
      </c>
      <c r="P1722">
        <v>2025</v>
      </c>
      <c r="Q1722" t="s">
        <v>3643</v>
      </c>
      <c r="R1722">
        <v>112.499</v>
      </c>
      <c r="S1722">
        <v>0.32542511488990999</v>
      </c>
      <c r="T1722" t="s">
        <v>3632</v>
      </c>
      <c r="U1722" t="s">
        <v>3633</v>
      </c>
    </row>
    <row r="1723" spans="1:21" x14ac:dyDescent="0.25">
      <c r="A1723" t="s">
        <v>3180</v>
      </c>
      <c r="B1723" s="1">
        <v>45875</v>
      </c>
      <c r="C1723" t="s">
        <v>3181</v>
      </c>
      <c r="D1723" t="s">
        <v>30</v>
      </c>
      <c r="E1723" t="s">
        <v>148</v>
      </c>
      <c r="F1723" t="s">
        <v>60</v>
      </c>
      <c r="G1723" t="s">
        <v>42</v>
      </c>
      <c r="H1723" t="s">
        <v>255</v>
      </c>
      <c r="I1723">
        <v>1</v>
      </c>
      <c r="J1723">
        <v>30.49</v>
      </c>
      <c r="K1723">
        <v>15</v>
      </c>
      <c r="L1723">
        <v>25.92</v>
      </c>
      <c r="M1723">
        <v>10.67</v>
      </c>
      <c r="N1723">
        <v>-3.04</v>
      </c>
      <c r="O1723" t="s">
        <v>22</v>
      </c>
      <c r="P1723">
        <v>2025</v>
      </c>
      <c r="Q1723" t="s">
        <v>3643</v>
      </c>
      <c r="R1723">
        <v>22.032</v>
      </c>
      <c r="S1723">
        <v>-0.13798111837327501</v>
      </c>
      <c r="T1723" t="s">
        <v>3634</v>
      </c>
      <c r="U1723" t="s">
        <v>3636</v>
      </c>
    </row>
    <row r="1724" spans="1:21" x14ac:dyDescent="0.25">
      <c r="A1724" t="s">
        <v>3182</v>
      </c>
      <c r="B1724" s="1">
        <v>45876</v>
      </c>
      <c r="C1724" t="s">
        <v>2406</v>
      </c>
      <c r="D1724" t="s">
        <v>17</v>
      </c>
      <c r="E1724" t="s">
        <v>85</v>
      </c>
      <c r="F1724" t="s">
        <v>60</v>
      </c>
      <c r="G1724" t="s">
        <v>69</v>
      </c>
      <c r="H1724" t="s">
        <v>305</v>
      </c>
      <c r="I1724">
        <v>4</v>
      </c>
      <c r="J1724">
        <v>35.06</v>
      </c>
      <c r="K1724">
        <v>10</v>
      </c>
      <c r="L1724">
        <v>126.22</v>
      </c>
      <c r="M1724">
        <v>11.96</v>
      </c>
      <c r="N1724">
        <v>44.14</v>
      </c>
      <c r="O1724" t="s">
        <v>34</v>
      </c>
      <c r="P1724">
        <v>2025</v>
      </c>
      <c r="Q1724" t="s">
        <v>3643</v>
      </c>
      <c r="R1724">
        <v>113.598</v>
      </c>
      <c r="S1724">
        <v>0.388563178929206</v>
      </c>
      <c r="T1724" t="s">
        <v>3632</v>
      </c>
      <c r="U1724" t="s">
        <v>3633</v>
      </c>
    </row>
    <row r="1725" spans="1:21" x14ac:dyDescent="0.25">
      <c r="A1725" t="s">
        <v>3183</v>
      </c>
      <c r="B1725" s="1">
        <v>45878</v>
      </c>
      <c r="C1725" t="s">
        <v>3184</v>
      </c>
      <c r="D1725" t="s">
        <v>30</v>
      </c>
      <c r="E1725" t="s">
        <v>135</v>
      </c>
      <c r="F1725" t="s">
        <v>26</v>
      </c>
      <c r="G1725" t="s">
        <v>69</v>
      </c>
      <c r="H1725" t="s">
        <v>70</v>
      </c>
      <c r="I1725">
        <v>6</v>
      </c>
      <c r="J1725">
        <v>46.59</v>
      </c>
      <c r="K1725">
        <v>0</v>
      </c>
      <c r="L1725">
        <v>279.54000000000002</v>
      </c>
      <c r="M1725">
        <v>19.309999999999999</v>
      </c>
      <c r="N1725">
        <v>120.46</v>
      </c>
      <c r="O1725" t="s">
        <v>39</v>
      </c>
      <c r="P1725">
        <v>2025</v>
      </c>
      <c r="Q1725" t="s">
        <v>3643</v>
      </c>
      <c r="R1725">
        <v>279.54000000000002</v>
      </c>
      <c r="S1725">
        <v>0.430922229376833</v>
      </c>
      <c r="T1725" t="s">
        <v>3632</v>
      </c>
      <c r="U1725" t="s">
        <v>3633</v>
      </c>
    </row>
    <row r="1726" spans="1:21" x14ac:dyDescent="0.25">
      <c r="A1726" t="s">
        <v>3185</v>
      </c>
      <c r="B1726" s="1">
        <v>45878</v>
      </c>
      <c r="C1726" t="s">
        <v>2406</v>
      </c>
      <c r="D1726" t="s">
        <v>30</v>
      </c>
      <c r="E1726" t="s">
        <v>18</v>
      </c>
      <c r="F1726" t="s">
        <v>19</v>
      </c>
      <c r="G1726" t="s">
        <v>69</v>
      </c>
      <c r="H1726" t="s">
        <v>70</v>
      </c>
      <c r="I1726">
        <v>1</v>
      </c>
      <c r="J1726">
        <v>36.299999999999997</v>
      </c>
      <c r="K1726">
        <v>5</v>
      </c>
      <c r="L1726">
        <v>34.479999999999997</v>
      </c>
      <c r="M1726">
        <v>6.35</v>
      </c>
      <c r="N1726">
        <v>9.98</v>
      </c>
      <c r="O1726" t="s">
        <v>34</v>
      </c>
      <c r="P1726">
        <v>2025</v>
      </c>
      <c r="Q1726" t="s">
        <v>3643</v>
      </c>
      <c r="R1726">
        <v>32.756</v>
      </c>
      <c r="S1726">
        <v>0.30467700573940698</v>
      </c>
      <c r="T1726" t="s">
        <v>3634</v>
      </c>
      <c r="U1726" t="s">
        <v>3633</v>
      </c>
    </row>
    <row r="1727" spans="1:21" x14ac:dyDescent="0.25">
      <c r="A1727" t="s">
        <v>3186</v>
      </c>
      <c r="B1727" s="1">
        <v>45879</v>
      </c>
      <c r="C1727" t="s">
        <v>1171</v>
      </c>
      <c r="D1727" t="s">
        <v>17</v>
      </c>
      <c r="E1727" t="s">
        <v>169</v>
      </c>
      <c r="F1727" t="s">
        <v>68</v>
      </c>
      <c r="G1727" t="s">
        <v>20</v>
      </c>
      <c r="H1727" t="s">
        <v>21</v>
      </c>
      <c r="I1727">
        <v>2</v>
      </c>
      <c r="J1727">
        <v>139.35</v>
      </c>
      <c r="K1727">
        <v>10</v>
      </c>
      <c r="L1727">
        <v>250.83</v>
      </c>
      <c r="M1727">
        <v>11.26</v>
      </c>
      <c r="N1727">
        <v>86.29</v>
      </c>
      <c r="O1727" t="s">
        <v>22</v>
      </c>
      <c r="P1727">
        <v>2025</v>
      </c>
      <c r="Q1727" t="s">
        <v>3643</v>
      </c>
      <c r="R1727">
        <v>225.74700000000001</v>
      </c>
      <c r="S1727">
        <v>0.38224206744718597</v>
      </c>
      <c r="T1727" t="s">
        <v>3632</v>
      </c>
      <c r="U1727" t="s">
        <v>3633</v>
      </c>
    </row>
    <row r="1728" spans="1:21" x14ac:dyDescent="0.25">
      <c r="A1728" t="s">
        <v>3187</v>
      </c>
      <c r="B1728" s="1">
        <v>45879</v>
      </c>
      <c r="C1728" t="s">
        <v>3188</v>
      </c>
      <c r="D1728" t="s">
        <v>30</v>
      </c>
      <c r="E1728" t="s">
        <v>25</v>
      </c>
      <c r="F1728" t="s">
        <v>26</v>
      </c>
      <c r="G1728" t="s">
        <v>69</v>
      </c>
      <c r="H1728" t="s">
        <v>79</v>
      </c>
      <c r="I1728">
        <v>4</v>
      </c>
      <c r="J1728">
        <v>39.229999999999997</v>
      </c>
      <c r="K1728">
        <v>20</v>
      </c>
      <c r="L1728">
        <v>125.54</v>
      </c>
      <c r="M1728">
        <v>10.84</v>
      </c>
      <c r="N1728">
        <v>36.24</v>
      </c>
      <c r="O1728" t="s">
        <v>56</v>
      </c>
      <c r="P1728">
        <v>2025</v>
      </c>
      <c r="Q1728" t="s">
        <v>3643</v>
      </c>
      <c r="R1728">
        <v>100.432</v>
      </c>
      <c r="S1728">
        <v>0.36084116616217898</v>
      </c>
      <c r="T1728" t="s">
        <v>3632</v>
      </c>
      <c r="U1728" t="s">
        <v>3633</v>
      </c>
    </row>
    <row r="1729" spans="1:21" x14ac:dyDescent="0.25">
      <c r="A1729" t="s">
        <v>3189</v>
      </c>
      <c r="B1729" s="1">
        <v>45880</v>
      </c>
      <c r="C1729" t="s">
        <v>75</v>
      </c>
      <c r="D1729" t="s">
        <v>17</v>
      </c>
      <c r="E1729" t="s">
        <v>59</v>
      </c>
      <c r="F1729" t="s">
        <v>60</v>
      </c>
      <c r="G1729" t="s">
        <v>32</v>
      </c>
      <c r="H1729" t="s">
        <v>101</v>
      </c>
      <c r="I1729">
        <v>3</v>
      </c>
      <c r="J1729">
        <v>20.38</v>
      </c>
      <c r="K1729">
        <v>10</v>
      </c>
      <c r="L1729">
        <v>55.03</v>
      </c>
      <c r="M1729">
        <v>14.11</v>
      </c>
      <c r="N1729">
        <v>13.41</v>
      </c>
      <c r="O1729" t="s">
        <v>39</v>
      </c>
      <c r="P1729">
        <v>2025</v>
      </c>
      <c r="Q1729" t="s">
        <v>3643</v>
      </c>
      <c r="R1729">
        <v>49.527000000000001</v>
      </c>
      <c r="S1729">
        <v>0.27076140287116102</v>
      </c>
      <c r="T1729" t="s">
        <v>3634</v>
      </c>
      <c r="U1729" t="s">
        <v>3633</v>
      </c>
    </row>
    <row r="1730" spans="1:21" x14ac:dyDescent="0.25">
      <c r="A1730" t="s">
        <v>3190</v>
      </c>
      <c r="B1730" s="1">
        <v>45882</v>
      </c>
      <c r="C1730" t="s">
        <v>3191</v>
      </c>
      <c r="D1730" t="s">
        <v>17</v>
      </c>
      <c r="E1730" t="s">
        <v>25</v>
      </c>
      <c r="F1730" t="s">
        <v>26</v>
      </c>
      <c r="G1730" t="s">
        <v>69</v>
      </c>
      <c r="H1730" t="s">
        <v>196</v>
      </c>
      <c r="I1730">
        <v>4</v>
      </c>
      <c r="J1730">
        <v>15.79</v>
      </c>
      <c r="K1730">
        <v>15</v>
      </c>
      <c r="L1730">
        <v>53.69</v>
      </c>
      <c r="M1730">
        <v>14.99</v>
      </c>
      <c r="N1730">
        <v>7.12</v>
      </c>
      <c r="O1730" t="s">
        <v>56</v>
      </c>
      <c r="P1730">
        <v>2025</v>
      </c>
      <c r="Q1730" t="s">
        <v>3643</v>
      </c>
      <c r="R1730">
        <v>45.636499999999998</v>
      </c>
      <c r="S1730">
        <v>0.156015470073297</v>
      </c>
      <c r="T1730" t="s">
        <v>3634</v>
      </c>
      <c r="U1730" t="s">
        <v>3633</v>
      </c>
    </row>
    <row r="1731" spans="1:21" x14ac:dyDescent="0.25">
      <c r="A1731" t="s">
        <v>3192</v>
      </c>
      <c r="B1731" s="1">
        <v>45885</v>
      </c>
      <c r="C1731" t="s">
        <v>3193</v>
      </c>
      <c r="D1731" t="s">
        <v>30</v>
      </c>
      <c r="E1731" t="s">
        <v>109</v>
      </c>
      <c r="F1731" t="s">
        <v>54</v>
      </c>
      <c r="G1731" t="s">
        <v>69</v>
      </c>
      <c r="H1731" t="s">
        <v>86</v>
      </c>
      <c r="I1731">
        <v>5</v>
      </c>
      <c r="J1731">
        <v>79.7</v>
      </c>
      <c r="K1731">
        <v>15</v>
      </c>
      <c r="L1731">
        <v>338.72</v>
      </c>
      <c r="M1731">
        <v>21.72</v>
      </c>
      <c r="N1731">
        <v>117.75</v>
      </c>
      <c r="O1731" t="s">
        <v>56</v>
      </c>
      <c r="P1731">
        <v>2025</v>
      </c>
      <c r="Q1731" t="s">
        <v>3643</v>
      </c>
      <c r="R1731">
        <v>287.91199999999998</v>
      </c>
      <c r="S1731">
        <v>0.40897913251271201</v>
      </c>
      <c r="T1731" t="s">
        <v>3632</v>
      </c>
      <c r="U1731" t="s">
        <v>3633</v>
      </c>
    </row>
    <row r="1732" spans="1:21" x14ac:dyDescent="0.25">
      <c r="A1732" t="s">
        <v>3194</v>
      </c>
      <c r="B1732" s="1">
        <v>45885</v>
      </c>
      <c r="C1732" t="s">
        <v>3195</v>
      </c>
      <c r="D1732" t="s">
        <v>49</v>
      </c>
      <c r="E1732" t="s">
        <v>135</v>
      </c>
      <c r="F1732" t="s">
        <v>26</v>
      </c>
      <c r="G1732" t="s">
        <v>69</v>
      </c>
      <c r="H1732" t="s">
        <v>70</v>
      </c>
      <c r="I1732">
        <v>11</v>
      </c>
      <c r="J1732">
        <v>28.85</v>
      </c>
      <c r="K1732">
        <v>5</v>
      </c>
      <c r="L1732">
        <v>301.48</v>
      </c>
      <c r="M1732">
        <v>31.33</v>
      </c>
      <c r="N1732">
        <v>111.48</v>
      </c>
      <c r="O1732" t="s">
        <v>39</v>
      </c>
      <c r="P1732">
        <v>2025</v>
      </c>
      <c r="Q1732" t="s">
        <v>3643</v>
      </c>
      <c r="R1732">
        <v>286.40600000000001</v>
      </c>
      <c r="S1732">
        <v>0.389237655635706</v>
      </c>
      <c r="T1732" t="s">
        <v>3632</v>
      </c>
      <c r="U1732" t="s">
        <v>3633</v>
      </c>
    </row>
    <row r="1733" spans="1:21" x14ac:dyDescent="0.25">
      <c r="A1733" t="s">
        <v>3196</v>
      </c>
      <c r="B1733" s="1">
        <v>45885</v>
      </c>
      <c r="C1733" t="s">
        <v>3053</v>
      </c>
      <c r="D1733" t="s">
        <v>17</v>
      </c>
      <c r="E1733" t="s">
        <v>135</v>
      </c>
      <c r="F1733" t="s">
        <v>26</v>
      </c>
      <c r="G1733" t="s">
        <v>20</v>
      </c>
      <c r="H1733" t="s">
        <v>122</v>
      </c>
      <c r="I1733">
        <v>4</v>
      </c>
      <c r="J1733">
        <v>141.99</v>
      </c>
      <c r="K1733">
        <v>0</v>
      </c>
      <c r="L1733">
        <v>567.96</v>
      </c>
      <c r="M1733">
        <v>15.11</v>
      </c>
      <c r="N1733">
        <v>240.47</v>
      </c>
      <c r="O1733" t="s">
        <v>56</v>
      </c>
      <c r="P1733">
        <v>2025</v>
      </c>
      <c r="Q1733" t="s">
        <v>3643</v>
      </c>
      <c r="R1733">
        <v>567.96</v>
      </c>
      <c r="S1733">
        <v>0.42339249242904398</v>
      </c>
      <c r="T1733" t="s">
        <v>3635</v>
      </c>
      <c r="U1733" t="s">
        <v>3633</v>
      </c>
    </row>
    <row r="1734" spans="1:21" x14ac:dyDescent="0.25">
      <c r="A1734" t="s">
        <v>3197</v>
      </c>
      <c r="B1734" s="1">
        <v>45886</v>
      </c>
      <c r="C1734" t="s">
        <v>3198</v>
      </c>
      <c r="D1734" t="s">
        <v>17</v>
      </c>
      <c r="E1734" t="s">
        <v>148</v>
      </c>
      <c r="F1734" t="s">
        <v>60</v>
      </c>
      <c r="G1734" t="s">
        <v>42</v>
      </c>
      <c r="H1734" t="s">
        <v>118</v>
      </c>
      <c r="I1734">
        <v>6</v>
      </c>
      <c r="J1734">
        <v>70.12</v>
      </c>
      <c r="K1734">
        <v>10</v>
      </c>
      <c r="L1734">
        <v>378.65</v>
      </c>
      <c r="M1734">
        <v>13.58</v>
      </c>
      <c r="N1734">
        <v>112.64</v>
      </c>
      <c r="O1734" t="s">
        <v>34</v>
      </c>
      <c r="P1734">
        <v>2025</v>
      </c>
      <c r="Q1734" t="s">
        <v>3643</v>
      </c>
      <c r="R1734">
        <v>340.78500000000003</v>
      </c>
      <c r="S1734">
        <v>0.330530979943366</v>
      </c>
      <c r="T1734" t="s">
        <v>3632</v>
      </c>
      <c r="U1734" t="s">
        <v>3633</v>
      </c>
    </row>
    <row r="1735" spans="1:21" x14ac:dyDescent="0.25">
      <c r="A1735" t="s">
        <v>3199</v>
      </c>
      <c r="B1735" s="1">
        <v>45887</v>
      </c>
      <c r="C1735" t="s">
        <v>1313</v>
      </c>
      <c r="D1735" t="s">
        <v>17</v>
      </c>
      <c r="E1735" t="s">
        <v>31</v>
      </c>
      <c r="F1735" t="s">
        <v>19</v>
      </c>
      <c r="G1735" t="s">
        <v>32</v>
      </c>
      <c r="H1735" t="s">
        <v>101</v>
      </c>
      <c r="I1735">
        <v>2</v>
      </c>
      <c r="J1735">
        <v>8.94</v>
      </c>
      <c r="K1735">
        <v>10</v>
      </c>
      <c r="L1735">
        <v>16.09</v>
      </c>
      <c r="M1735">
        <v>6.66</v>
      </c>
      <c r="N1735">
        <v>1.38</v>
      </c>
      <c r="O1735" t="s">
        <v>34</v>
      </c>
      <c r="P1735">
        <v>2025</v>
      </c>
      <c r="Q1735" t="s">
        <v>3643</v>
      </c>
      <c r="R1735">
        <v>14.481</v>
      </c>
      <c r="S1735">
        <v>9.5297286099026296E-2</v>
      </c>
      <c r="T1735" t="s">
        <v>3634</v>
      </c>
      <c r="U1735" t="s">
        <v>3633</v>
      </c>
    </row>
    <row r="1736" spans="1:21" x14ac:dyDescent="0.25">
      <c r="A1736" t="s">
        <v>3200</v>
      </c>
      <c r="B1736" s="1">
        <v>45889</v>
      </c>
      <c r="C1736" t="s">
        <v>3201</v>
      </c>
      <c r="D1736" t="s">
        <v>17</v>
      </c>
      <c r="E1736" t="s">
        <v>76</v>
      </c>
      <c r="F1736" t="s">
        <v>26</v>
      </c>
      <c r="G1736" t="s">
        <v>69</v>
      </c>
      <c r="H1736" t="s">
        <v>305</v>
      </c>
      <c r="I1736">
        <v>3</v>
      </c>
      <c r="J1736">
        <v>45.19</v>
      </c>
      <c r="K1736">
        <v>15</v>
      </c>
      <c r="L1736">
        <v>115.23</v>
      </c>
      <c r="M1736">
        <v>9.7100000000000009</v>
      </c>
      <c r="N1736">
        <v>37.74</v>
      </c>
      <c r="O1736" t="s">
        <v>34</v>
      </c>
      <c r="P1736">
        <v>2025</v>
      </c>
      <c r="Q1736" t="s">
        <v>3643</v>
      </c>
      <c r="R1736">
        <v>97.945499999999996</v>
      </c>
      <c r="S1736">
        <v>0.38531632387399101</v>
      </c>
      <c r="T1736" t="s">
        <v>3632</v>
      </c>
      <c r="U1736" t="s">
        <v>3633</v>
      </c>
    </row>
    <row r="1737" spans="1:21" x14ac:dyDescent="0.25">
      <c r="A1737" t="s">
        <v>3202</v>
      </c>
      <c r="B1737" s="1">
        <v>45890</v>
      </c>
      <c r="C1737" t="s">
        <v>1657</v>
      </c>
      <c r="D1737" t="s">
        <v>17</v>
      </c>
      <c r="E1737" t="s">
        <v>76</v>
      </c>
      <c r="F1737" t="s">
        <v>26</v>
      </c>
      <c r="G1737" t="s">
        <v>20</v>
      </c>
      <c r="H1737" t="s">
        <v>264</v>
      </c>
      <c r="I1737">
        <v>6</v>
      </c>
      <c r="J1737">
        <v>37.479999999999997</v>
      </c>
      <c r="K1737">
        <v>20</v>
      </c>
      <c r="L1737">
        <v>179.9</v>
      </c>
      <c r="M1737">
        <v>12.68</v>
      </c>
      <c r="N1737">
        <v>43.54</v>
      </c>
      <c r="O1737" t="s">
        <v>39</v>
      </c>
      <c r="P1737">
        <v>2025</v>
      </c>
      <c r="Q1737" t="s">
        <v>3643</v>
      </c>
      <c r="R1737">
        <v>143.91999999999999</v>
      </c>
      <c r="S1737">
        <v>0.30252918287937702</v>
      </c>
      <c r="T1737" t="s">
        <v>3632</v>
      </c>
      <c r="U1737" t="s">
        <v>3633</v>
      </c>
    </row>
    <row r="1738" spans="1:21" x14ac:dyDescent="0.25">
      <c r="A1738" t="s">
        <v>3203</v>
      </c>
      <c r="B1738" s="1">
        <v>45891</v>
      </c>
      <c r="C1738" t="s">
        <v>3204</v>
      </c>
      <c r="D1738" t="s">
        <v>30</v>
      </c>
      <c r="E1738" t="s">
        <v>129</v>
      </c>
      <c r="F1738" t="s">
        <v>19</v>
      </c>
      <c r="G1738" t="s">
        <v>32</v>
      </c>
      <c r="H1738" t="s">
        <v>149</v>
      </c>
      <c r="I1738">
        <v>1</v>
      </c>
      <c r="J1738">
        <v>12.12</v>
      </c>
      <c r="K1738">
        <v>10</v>
      </c>
      <c r="L1738">
        <v>10.91</v>
      </c>
      <c r="M1738">
        <v>6.34</v>
      </c>
      <c r="N1738">
        <v>-0.88</v>
      </c>
      <c r="O1738" t="s">
        <v>22</v>
      </c>
      <c r="P1738">
        <v>2025</v>
      </c>
      <c r="Q1738" t="s">
        <v>3643</v>
      </c>
      <c r="R1738">
        <v>9.8190000000000008</v>
      </c>
      <c r="S1738">
        <v>-8.9622161116203303E-2</v>
      </c>
      <c r="T1738" t="s">
        <v>3634</v>
      </c>
      <c r="U1738" t="s">
        <v>3636</v>
      </c>
    </row>
    <row r="1739" spans="1:21" x14ac:dyDescent="0.25">
      <c r="A1739" t="s">
        <v>3205</v>
      </c>
      <c r="B1739" s="1">
        <v>45892</v>
      </c>
      <c r="C1739" t="s">
        <v>722</v>
      </c>
      <c r="D1739" t="s">
        <v>17</v>
      </c>
      <c r="E1739" t="s">
        <v>76</v>
      </c>
      <c r="F1739" t="s">
        <v>26</v>
      </c>
      <c r="G1739" t="s">
        <v>69</v>
      </c>
      <c r="H1739" t="s">
        <v>79</v>
      </c>
      <c r="I1739">
        <v>4</v>
      </c>
      <c r="J1739">
        <v>33.659999999999997</v>
      </c>
      <c r="K1739">
        <v>0</v>
      </c>
      <c r="L1739">
        <v>134.63999999999999</v>
      </c>
      <c r="M1739">
        <v>10.38</v>
      </c>
      <c r="N1739">
        <v>56.94</v>
      </c>
      <c r="O1739" t="s">
        <v>34</v>
      </c>
      <c r="P1739">
        <v>2025</v>
      </c>
      <c r="Q1739" t="s">
        <v>3643</v>
      </c>
      <c r="R1739">
        <v>134.63999999999999</v>
      </c>
      <c r="S1739">
        <v>0.42290552584670199</v>
      </c>
      <c r="T1739" t="s">
        <v>3632</v>
      </c>
      <c r="U1739" t="s">
        <v>3633</v>
      </c>
    </row>
    <row r="1740" spans="1:21" x14ac:dyDescent="0.25">
      <c r="A1740" t="s">
        <v>3206</v>
      </c>
      <c r="B1740" s="1">
        <v>45893</v>
      </c>
      <c r="C1740" t="s">
        <v>3207</v>
      </c>
      <c r="D1740" t="s">
        <v>49</v>
      </c>
      <c r="E1740" t="s">
        <v>18</v>
      </c>
      <c r="F1740" t="s">
        <v>19</v>
      </c>
      <c r="G1740" t="s">
        <v>42</v>
      </c>
      <c r="H1740" t="s">
        <v>46</v>
      </c>
      <c r="I1740">
        <v>10</v>
      </c>
      <c r="J1740">
        <v>85.05</v>
      </c>
      <c r="K1740">
        <v>0</v>
      </c>
      <c r="L1740">
        <v>850.5</v>
      </c>
      <c r="M1740">
        <v>26.06</v>
      </c>
      <c r="N1740">
        <v>314.14</v>
      </c>
      <c r="O1740" t="s">
        <v>56</v>
      </c>
      <c r="P1740">
        <v>2025</v>
      </c>
      <c r="Q1740" t="s">
        <v>3643</v>
      </c>
      <c r="R1740">
        <v>850.5</v>
      </c>
      <c r="S1740">
        <v>0.36935920047031201</v>
      </c>
      <c r="T1740" t="s">
        <v>3635</v>
      </c>
      <c r="U1740" t="s">
        <v>3633</v>
      </c>
    </row>
    <row r="1741" spans="1:21" x14ac:dyDescent="0.25">
      <c r="A1741" t="s">
        <v>3208</v>
      </c>
      <c r="B1741" s="1">
        <v>45893</v>
      </c>
      <c r="C1741" t="s">
        <v>3209</v>
      </c>
      <c r="D1741" t="s">
        <v>30</v>
      </c>
      <c r="E1741" t="s">
        <v>67</v>
      </c>
      <c r="F1741" t="s">
        <v>68</v>
      </c>
      <c r="G1741" t="s">
        <v>20</v>
      </c>
      <c r="H1741" t="s">
        <v>21</v>
      </c>
      <c r="I1741">
        <v>5</v>
      </c>
      <c r="J1741">
        <v>175.98</v>
      </c>
      <c r="K1741">
        <v>0</v>
      </c>
      <c r="L1741">
        <v>879.9</v>
      </c>
      <c r="M1741">
        <v>21.15</v>
      </c>
      <c r="N1741">
        <v>374.8</v>
      </c>
      <c r="O1741" t="s">
        <v>56</v>
      </c>
      <c r="P1741">
        <v>2025</v>
      </c>
      <c r="Q1741" t="s">
        <v>3643</v>
      </c>
      <c r="R1741">
        <v>879.9</v>
      </c>
      <c r="S1741">
        <v>0.425957495169906</v>
      </c>
      <c r="T1741" t="s">
        <v>3635</v>
      </c>
      <c r="U1741" t="s">
        <v>3633</v>
      </c>
    </row>
    <row r="1742" spans="1:21" x14ac:dyDescent="0.25">
      <c r="A1742" t="s">
        <v>3210</v>
      </c>
      <c r="B1742" s="1">
        <v>45894</v>
      </c>
      <c r="C1742" t="s">
        <v>485</v>
      </c>
      <c r="D1742" t="s">
        <v>17</v>
      </c>
      <c r="E1742" t="s">
        <v>135</v>
      </c>
      <c r="F1742" t="s">
        <v>26</v>
      </c>
      <c r="G1742" t="s">
        <v>20</v>
      </c>
      <c r="H1742" t="s">
        <v>21</v>
      </c>
      <c r="I1742">
        <v>13</v>
      </c>
      <c r="J1742">
        <v>161.29</v>
      </c>
      <c r="K1742">
        <v>20</v>
      </c>
      <c r="L1742">
        <v>1677.42</v>
      </c>
      <c r="M1742">
        <v>27.16</v>
      </c>
      <c r="N1742">
        <v>497.04</v>
      </c>
      <c r="O1742" t="s">
        <v>34</v>
      </c>
      <c r="P1742">
        <v>2025</v>
      </c>
      <c r="Q1742" t="s">
        <v>3643</v>
      </c>
      <c r="R1742">
        <v>1341.9359999999999</v>
      </c>
      <c r="S1742">
        <v>0.37039024215759903</v>
      </c>
      <c r="T1742" t="s">
        <v>3635</v>
      </c>
      <c r="U1742" t="s">
        <v>3633</v>
      </c>
    </row>
    <row r="1743" spans="1:21" x14ac:dyDescent="0.25">
      <c r="A1743" t="s">
        <v>3211</v>
      </c>
      <c r="B1743" s="1">
        <v>45894</v>
      </c>
      <c r="C1743" t="s">
        <v>423</v>
      </c>
      <c r="D1743" t="s">
        <v>17</v>
      </c>
      <c r="E1743" t="s">
        <v>109</v>
      </c>
      <c r="F1743" t="s">
        <v>54</v>
      </c>
      <c r="G1743" t="s">
        <v>42</v>
      </c>
      <c r="H1743" t="s">
        <v>89</v>
      </c>
      <c r="I1743">
        <v>1</v>
      </c>
      <c r="J1743">
        <v>377.92</v>
      </c>
      <c r="K1743">
        <v>0</v>
      </c>
      <c r="L1743">
        <v>377.92</v>
      </c>
      <c r="M1743">
        <v>13.11</v>
      </c>
      <c r="N1743">
        <v>138.06</v>
      </c>
      <c r="O1743" t="s">
        <v>39</v>
      </c>
      <c r="P1743">
        <v>2025</v>
      </c>
      <c r="Q1743" t="s">
        <v>3643</v>
      </c>
      <c r="R1743">
        <v>377.92</v>
      </c>
      <c r="S1743">
        <v>0.36531541066892498</v>
      </c>
      <c r="T1743" t="s">
        <v>3632</v>
      </c>
      <c r="U1743" t="s">
        <v>3633</v>
      </c>
    </row>
    <row r="1744" spans="1:21" x14ac:dyDescent="0.25">
      <c r="A1744" t="s">
        <v>3212</v>
      </c>
      <c r="B1744" s="1">
        <v>45895</v>
      </c>
      <c r="C1744" t="s">
        <v>3213</v>
      </c>
      <c r="D1744" t="s">
        <v>30</v>
      </c>
      <c r="E1744" t="s">
        <v>148</v>
      </c>
      <c r="F1744" t="s">
        <v>60</v>
      </c>
      <c r="G1744" t="s">
        <v>32</v>
      </c>
      <c r="H1744" t="s">
        <v>101</v>
      </c>
      <c r="I1744">
        <v>1</v>
      </c>
      <c r="J1744">
        <v>17.45</v>
      </c>
      <c r="K1744">
        <v>15</v>
      </c>
      <c r="L1744">
        <v>14.83</v>
      </c>
      <c r="M1744">
        <v>9.94</v>
      </c>
      <c r="N1744">
        <v>-2.96</v>
      </c>
      <c r="O1744" t="s">
        <v>34</v>
      </c>
      <c r="P1744">
        <v>2025</v>
      </c>
      <c r="Q1744" t="s">
        <v>3643</v>
      </c>
      <c r="R1744">
        <v>12.605499999999999</v>
      </c>
      <c r="S1744">
        <v>-0.23481813494109699</v>
      </c>
      <c r="T1744" t="s">
        <v>3634</v>
      </c>
      <c r="U1744" t="s">
        <v>3636</v>
      </c>
    </row>
    <row r="1745" spans="1:21" x14ac:dyDescent="0.25">
      <c r="A1745" t="s">
        <v>3214</v>
      </c>
      <c r="B1745" s="1">
        <v>45896</v>
      </c>
      <c r="C1745" t="s">
        <v>134</v>
      </c>
      <c r="D1745" t="s">
        <v>30</v>
      </c>
      <c r="E1745" t="s">
        <v>25</v>
      </c>
      <c r="F1745" t="s">
        <v>26</v>
      </c>
      <c r="G1745" t="s">
        <v>20</v>
      </c>
      <c r="H1745" t="s">
        <v>27</v>
      </c>
      <c r="I1745">
        <v>4</v>
      </c>
      <c r="J1745">
        <v>89.1</v>
      </c>
      <c r="K1745">
        <v>15</v>
      </c>
      <c r="L1745">
        <v>302.94</v>
      </c>
      <c r="M1745">
        <v>16.32</v>
      </c>
      <c r="N1745">
        <v>90.6</v>
      </c>
      <c r="O1745" t="s">
        <v>39</v>
      </c>
      <c r="P1745">
        <v>2025</v>
      </c>
      <c r="Q1745" t="s">
        <v>3643</v>
      </c>
      <c r="R1745">
        <v>257.49900000000002</v>
      </c>
      <c r="S1745">
        <v>0.35184602658651098</v>
      </c>
      <c r="T1745" t="s">
        <v>3632</v>
      </c>
      <c r="U1745" t="s">
        <v>3633</v>
      </c>
    </row>
    <row r="1746" spans="1:21" x14ac:dyDescent="0.25">
      <c r="A1746" t="s">
        <v>3215</v>
      </c>
      <c r="B1746" s="1">
        <v>45896</v>
      </c>
      <c r="C1746" t="s">
        <v>3216</v>
      </c>
      <c r="D1746" t="s">
        <v>49</v>
      </c>
      <c r="E1746" t="s">
        <v>37</v>
      </c>
      <c r="F1746" t="s">
        <v>26</v>
      </c>
      <c r="G1746" t="s">
        <v>20</v>
      </c>
      <c r="H1746" t="s">
        <v>27</v>
      </c>
      <c r="I1746">
        <v>9</v>
      </c>
      <c r="J1746">
        <v>162.84</v>
      </c>
      <c r="K1746">
        <v>10</v>
      </c>
      <c r="L1746">
        <v>1319</v>
      </c>
      <c r="M1746">
        <v>16.36</v>
      </c>
      <c r="N1746">
        <v>496.58</v>
      </c>
      <c r="O1746" t="s">
        <v>39</v>
      </c>
      <c r="P1746">
        <v>2025</v>
      </c>
      <c r="Q1746" t="s">
        <v>3643</v>
      </c>
      <c r="R1746">
        <v>1187.0999999999999</v>
      </c>
      <c r="S1746">
        <v>0.41831353719147502</v>
      </c>
      <c r="T1746" t="s">
        <v>3635</v>
      </c>
      <c r="U1746" t="s">
        <v>3633</v>
      </c>
    </row>
    <row r="1747" spans="1:21" x14ac:dyDescent="0.25">
      <c r="A1747" t="s">
        <v>3217</v>
      </c>
      <c r="B1747" s="1">
        <v>45897</v>
      </c>
      <c r="C1747" t="s">
        <v>3218</v>
      </c>
      <c r="D1747" t="s">
        <v>49</v>
      </c>
      <c r="E1747" t="s">
        <v>76</v>
      </c>
      <c r="F1747" t="s">
        <v>26</v>
      </c>
      <c r="G1747" t="s">
        <v>20</v>
      </c>
      <c r="H1747" t="s">
        <v>27</v>
      </c>
      <c r="I1747">
        <v>2</v>
      </c>
      <c r="J1747">
        <v>67.73</v>
      </c>
      <c r="K1747">
        <v>15</v>
      </c>
      <c r="L1747">
        <v>115.14</v>
      </c>
      <c r="M1747">
        <v>10.18</v>
      </c>
      <c r="N1747">
        <v>30.46</v>
      </c>
      <c r="O1747" t="s">
        <v>22</v>
      </c>
      <c r="P1747">
        <v>2025</v>
      </c>
      <c r="Q1747" t="s">
        <v>3643</v>
      </c>
      <c r="R1747">
        <v>97.869</v>
      </c>
      <c r="S1747">
        <v>0.311232361626256</v>
      </c>
      <c r="T1747" t="s">
        <v>3632</v>
      </c>
      <c r="U1747" t="s">
        <v>3633</v>
      </c>
    </row>
    <row r="1748" spans="1:21" x14ac:dyDescent="0.25">
      <c r="A1748" t="s">
        <v>3219</v>
      </c>
      <c r="B1748" s="1">
        <v>45897</v>
      </c>
      <c r="C1748" t="s">
        <v>2859</v>
      </c>
      <c r="D1748" t="s">
        <v>30</v>
      </c>
      <c r="E1748" t="s">
        <v>92</v>
      </c>
      <c r="F1748" t="s">
        <v>60</v>
      </c>
      <c r="G1748" t="s">
        <v>20</v>
      </c>
      <c r="H1748" t="s">
        <v>106</v>
      </c>
      <c r="I1748">
        <v>5</v>
      </c>
      <c r="J1748">
        <v>56.91</v>
      </c>
      <c r="K1748">
        <v>10</v>
      </c>
      <c r="L1748">
        <v>256.08999999999997</v>
      </c>
      <c r="M1748">
        <v>13.57</v>
      </c>
      <c r="N1748">
        <v>86.02</v>
      </c>
      <c r="O1748" t="s">
        <v>22</v>
      </c>
      <c r="P1748">
        <v>2025</v>
      </c>
      <c r="Q1748" t="s">
        <v>3643</v>
      </c>
      <c r="R1748">
        <v>230.48099999999999</v>
      </c>
      <c r="S1748">
        <v>0.37321948446943598</v>
      </c>
      <c r="T1748" t="s">
        <v>3632</v>
      </c>
      <c r="U1748" t="s">
        <v>3633</v>
      </c>
    </row>
    <row r="1749" spans="1:21" x14ac:dyDescent="0.25">
      <c r="A1749" t="s">
        <v>3220</v>
      </c>
      <c r="B1749" s="1">
        <v>45897</v>
      </c>
      <c r="C1749" t="s">
        <v>3221</v>
      </c>
      <c r="D1749" t="s">
        <v>17</v>
      </c>
      <c r="E1749" t="s">
        <v>18</v>
      </c>
      <c r="F1749" t="s">
        <v>19</v>
      </c>
      <c r="G1749" t="s">
        <v>69</v>
      </c>
      <c r="H1749" t="s">
        <v>70</v>
      </c>
      <c r="I1749">
        <v>1</v>
      </c>
      <c r="J1749">
        <v>20.71</v>
      </c>
      <c r="K1749">
        <v>10</v>
      </c>
      <c r="L1749">
        <v>18.64</v>
      </c>
      <c r="M1749">
        <v>7.24</v>
      </c>
      <c r="N1749">
        <v>1.04</v>
      </c>
      <c r="O1749" t="s">
        <v>34</v>
      </c>
      <c r="P1749">
        <v>2025</v>
      </c>
      <c r="Q1749" t="s">
        <v>3643</v>
      </c>
      <c r="R1749">
        <v>16.776</v>
      </c>
      <c r="S1749">
        <v>6.1993323795898898E-2</v>
      </c>
      <c r="T1749" t="s">
        <v>3634</v>
      </c>
      <c r="U1749" t="s">
        <v>3633</v>
      </c>
    </row>
    <row r="1750" spans="1:21" x14ac:dyDescent="0.25">
      <c r="A1750" t="s">
        <v>3222</v>
      </c>
      <c r="B1750" s="1">
        <v>45898</v>
      </c>
      <c r="C1750" t="s">
        <v>2090</v>
      </c>
      <c r="D1750" t="s">
        <v>30</v>
      </c>
      <c r="E1750" t="s">
        <v>18</v>
      </c>
      <c r="F1750" t="s">
        <v>19</v>
      </c>
      <c r="G1750" t="s">
        <v>42</v>
      </c>
      <c r="H1750" t="s">
        <v>46</v>
      </c>
      <c r="I1750">
        <v>1</v>
      </c>
      <c r="J1750">
        <v>153.82</v>
      </c>
      <c r="K1750">
        <v>10</v>
      </c>
      <c r="L1750">
        <v>138.44</v>
      </c>
      <c r="M1750">
        <v>6.07</v>
      </c>
      <c r="N1750">
        <v>40.08</v>
      </c>
      <c r="O1750" t="s">
        <v>39</v>
      </c>
      <c r="P1750">
        <v>2025</v>
      </c>
      <c r="Q1750" t="s">
        <v>3643</v>
      </c>
      <c r="R1750">
        <v>124.596</v>
      </c>
      <c r="S1750">
        <v>0.321679668689204</v>
      </c>
      <c r="T1750" t="s">
        <v>3632</v>
      </c>
      <c r="U1750" t="s">
        <v>3633</v>
      </c>
    </row>
    <row r="1751" spans="1:21" x14ac:dyDescent="0.25">
      <c r="A1751" t="s">
        <v>3223</v>
      </c>
      <c r="B1751" s="1">
        <v>45898</v>
      </c>
      <c r="C1751" t="s">
        <v>3224</v>
      </c>
      <c r="D1751" t="s">
        <v>30</v>
      </c>
      <c r="E1751" t="s">
        <v>76</v>
      </c>
      <c r="F1751" t="s">
        <v>26</v>
      </c>
      <c r="G1751" t="s">
        <v>69</v>
      </c>
      <c r="H1751" t="s">
        <v>305</v>
      </c>
      <c r="I1751">
        <v>8</v>
      </c>
      <c r="J1751">
        <v>75.599999999999994</v>
      </c>
      <c r="K1751">
        <v>10</v>
      </c>
      <c r="L1751">
        <v>544.32000000000005</v>
      </c>
      <c r="M1751">
        <v>14.7</v>
      </c>
      <c r="N1751">
        <v>227.22</v>
      </c>
      <c r="O1751" t="s">
        <v>34</v>
      </c>
      <c r="P1751">
        <v>2025</v>
      </c>
      <c r="Q1751" t="s">
        <v>3643</v>
      </c>
      <c r="R1751">
        <v>489.88799999999998</v>
      </c>
      <c r="S1751">
        <v>0.463820301783265</v>
      </c>
      <c r="T1751" t="s">
        <v>3635</v>
      </c>
      <c r="U1751" t="s">
        <v>3633</v>
      </c>
    </row>
    <row r="1752" spans="1:21" x14ac:dyDescent="0.25">
      <c r="A1752" t="s">
        <v>3225</v>
      </c>
      <c r="B1752" s="1">
        <v>45899</v>
      </c>
      <c r="C1752" t="s">
        <v>3226</v>
      </c>
      <c r="D1752" t="s">
        <v>49</v>
      </c>
      <c r="E1752" t="s">
        <v>135</v>
      </c>
      <c r="F1752" t="s">
        <v>26</v>
      </c>
      <c r="G1752" t="s">
        <v>42</v>
      </c>
      <c r="H1752" t="s">
        <v>371</v>
      </c>
      <c r="I1752">
        <v>2</v>
      </c>
      <c r="J1752">
        <v>222.78</v>
      </c>
      <c r="K1752">
        <v>15</v>
      </c>
      <c r="L1752">
        <v>378.73</v>
      </c>
      <c r="M1752">
        <v>9.94</v>
      </c>
      <c r="N1752">
        <v>101.45</v>
      </c>
      <c r="O1752" t="s">
        <v>34</v>
      </c>
      <c r="P1752">
        <v>2025</v>
      </c>
      <c r="Q1752" t="s">
        <v>3643</v>
      </c>
      <c r="R1752">
        <v>321.9205</v>
      </c>
      <c r="S1752">
        <v>0.31513991808536601</v>
      </c>
      <c r="T1752" t="s">
        <v>3632</v>
      </c>
      <c r="U1752" t="s">
        <v>3633</v>
      </c>
    </row>
    <row r="1753" spans="1:21" x14ac:dyDescent="0.25">
      <c r="A1753" t="s">
        <v>3227</v>
      </c>
      <c r="B1753" s="1">
        <v>45900</v>
      </c>
      <c r="C1753" t="s">
        <v>3228</v>
      </c>
      <c r="D1753" t="s">
        <v>49</v>
      </c>
      <c r="E1753" t="s">
        <v>18</v>
      </c>
      <c r="F1753" t="s">
        <v>19</v>
      </c>
      <c r="G1753" t="s">
        <v>42</v>
      </c>
      <c r="H1753" t="s">
        <v>118</v>
      </c>
      <c r="I1753">
        <v>7</v>
      </c>
      <c r="J1753">
        <v>80.08</v>
      </c>
      <c r="K1753">
        <v>10</v>
      </c>
      <c r="L1753">
        <v>504.5</v>
      </c>
      <c r="M1753">
        <v>16.07</v>
      </c>
      <c r="N1753">
        <v>152.09</v>
      </c>
      <c r="O1753" t="s">
        <v>34</v>
      </c>
      <c r="P1753">
        <v>2025</v>
      </c>
      <c r="Q1753" t="s">
        <v>3643</v>
      </c>
      <c r="R1753">
        <v>454.05</v>
      </c>
      <c r="S1753">
        <v>0.33496310978967098</v>
      </c>
      <c r="T1753" t="s">
        <v>3635</v>
      </c>
      <c r="U1753" t="s">
        <v>3633</v>
      </c>
    </row>
    <row r="1754" spans="1:21" x14ac:dyDescent="0.25">
      <c r="A1754" t="s">
        <v>3229</v>
      </c>
      <c r="B1754" s="1">
        <v>45901</v>
      </c>
      <c r="C1754" t="s">
        <v>3230</v>
      </c>
      <c r="D1754" t="s">
        <v>30</v>
      </c>
      <c r="E1754" t="s">
        <v>248</v>
      </c>
      <c r="F1754" t="s">
        <v>26</v>
      </c>
      <c r="G1754" t="s">
        <v>69</v>
      </c>
      <c r="H1754" t="s">
        <v>163</v>
      </c>
      <c r="I1754">
        <v>5</v>
      </c>
      <c r="J1754">
        <v>38.659999999999997</v>
      </c>
      <c r="K1754">
        <v>0</v>
      </c>
      <c r="L1754">
        <v>193.3</v>
      </c>
      <c r="M1754">
        <v>12.1</v>
      </c>
      <c r="N1754">
        <v>84.55</v>
      </c>
      <c r="O1754" t="s">
        <v>39</v>
      </c>
      <c r="P1754">
        <v>2025</v>
      </c>
      <c r="Q1754" t="s">
        <v>3644</v>
      </c>
      <c r="R1754">
        <v>193.3</v>
      </c>
      <c r="S1754">
        <v>0.437403000517331</v>
      </c>
      <c r="T1754" t="s">
        <v>3632</v>
      </c>
      <c r="U1754" t="s">
        <v>3633</v>
      </c>
    </row>
    <row r="1755" spans="1:21" x14ac:dyDescent="0.25">
      <c r="A1755" t="s">
        <v>3231</v>
      </c>
      <c r="B1755" s="1">
        <v>45902</v>
      </c>
      <c r="C1755" t="s">
        <v>3232</v>
      </c>
      <c r="D1755" t="s">
        <v>30</v>
      </c>
      <c r="E1755" t="s">
        <v>248</v>
      </c>
      <c r="F1755" t="s">
        <v>26</v>
      </c>
      <c r="G1755" t="s">
        <v>42</v>
      </c>
      <c r="H1755" t="s">
        <v>118</v>
      </c>
      <c r="I1755">
        <v>3</v>
      </c>
      <c r="J1755">
        <v>95.44</v>
      </c>
      <c r="K1755">
        <v>0</v>
      </c>
      <c r="L1755">
        <v>286.32</v>
      </c>
      <c r="M1755">
        <v>14.19</v>
      </c>
      <c r="N1755">
        <v>100.34</v>
      </c>
      <c r="O1755" t="s">
        <v>39</v>
      </c>
      <c r="P1755">
        <v>2025</v>
      </c>
      <c r="Q1755" t="s">
        <v>3644</v>
      </c>
      <c r="R1755">
        <v>286.32</v>
      </c>
      <c r="S1755">
        <v>0.35044705224923201</v>
      </c>
      <c r="T1755" t="s">
        <v>3632</v>
      </c>
      <c r="U1755" t="s">
        <v>3633</v>
      </c>
    </row>
    <row r="1756" spans="1:21" x14ac:dyDescent="0.25">
      <c r="A1756" t="s">
        <v>3233</v>
      </c>
      <c r="B1756" s="1">
        <v>45902</v>
      </c>
      <c r="C1756" t="s">
        <v>3234</v>
      </c>
      <c r="D1756" t="s">
        <v>17</v>
      </c>
      <c r="E1756" t="s">
        <v>59</v>
      </c>
      <c r="F1756" t="s">
        <v>60</v>
      </c>
      <c r="G1756" t="s">
        <v>42</v>
      </c>
      <c r="H1756" t="s">
        <v>234</v>
      </c>
      <c r="I1756">
        <v>10</v>
      </c>
      <c r="J1756">
        <v>61.71</v>
      </c>
      <c r="K1756">
        <v>10</v>
      </c>
      <c r="L1756">
        <v>555.39</v>
      </c>
      <c r="M1756">
        <v>27.35</v>
      </c>
      <c r="N1756">
        <v>157.78</v>
      </c>
      <c r="O1756" t="s">
        <v>34</v>
      </c>
      <c r="P1756">
        <v>2025</v>
      </c>
      <c r="Q1756" t="s">
        <v>3644</v>
      </c>
      <c r="R1756">
        <v>499.851</v>
      </c>
      <c r="S1756">
        <v>0.31565406491134401</v>
      </c>
      <c r="T1756" t="s">
        <v>3635</v>
      </c>
      <c r="U1756" t="s">
        <v>3633</v>
      </c>
    </row>
    <row r="1757" spans="1:21" x14ac:dyDescent="0.25">
      <c r="A1757" t="s">
        <v>3235</v>
      </c>
      <c r="B1757" s="1">
        <v>45902</v>
      </c>
      <c r="C1757" t="s">
        <v>921</v>
      </c>
      <c r="D1757" t="s">
        <v>30</v>
      </c>
      <c r="E1757" t="s">
        <v>37</v>
      </c>
      <c r="F1757" t="s">
        <v>26</v>
      </c>
      <c r="G1757" t="s">
        <v>42</v>
      </c>
      <c r="H1757" t="s">
        <v>46</v>
      </c>
      <c r="I1757">
        <v>2</v>
      </c>
      <c r="J1757">
        <v>161.02000000000001</v>
      </c>
      <c r="K1757">
        <v>0</v>
      </c>
      <c r="L1757">
        <v>322.04000000000002</v>
      </c>
      <c r="M1757">
        <v>10.83</v>
      </c>
      <c r="N1757">
        <v>117.99</v>
      </c>
      <c r="O1757" t="s">
        <v>39</v>
      </c>
      <c r="P1757">
        <v>2025</v>
      </c>
      <c r="Q1757" t="s">
        <v>3644</v>
      </c>
      <c r="R1757">
        <v>322.04000000000002</v>
      </c>
      <c r="S1757">
        <v>0.36638305800521698</v>
      </c>
      <c r="T1757" t="s">
        <v>3632</v>
      </c>
      <c r="U1757" t="s">
        <v>3633</v>
      </c>
    </row>
    <row r="1758" spans="1:21" x14ac:dyDescent="0.25">
      <c r="A1758" t="s">
        <v>3236</v>
      </c>
      <c r="B1758" s="1">
        <v>45902</v>
      </c>
      <c r="C1758" t="s">
        <v>3237</v>
      </c>
      <c r="D1758" t="s">
        <v>17</v>
      </c>
      <c r="E1758" t="s">
        <v>63</v>
      </c>
      <c r="F1758" t="s">
        <v>54</v>
      </c>
      <c r="G1758" t="s">
        <v>32</v>
      </c>
      <c r="H1758" t="s">
        <v>132</v>
      </c>
      <c r="I1758">
        <v>2</v>
      </c>
      <c r="J1758">
        <v>11.64</v>
      </c>
      <c r="K1758">
        <v>10</v>
      </c>
      <c r="L1758">
        <v>20.95</v>
      </c>
      <c r="M1758">
        <v>13.33</v>
      </c>
      <c r="N1758">
        <v>-2.86</v>
      </c>
      <c r="O1758" t="s">
        <v>34</v>
      </c>
      <c r="P1758">
        <v>2025</v>
      </c>
      <c r="Q1758" t="s">
        <v>3644</v>
      </c>
      <c r="R1758">
        <v>18.855</v>
      </c>
      <c r="S1758">
        <v>-0.15168390347388</v>
      </c>
      <c r="T1758" t="s">
        <v>3634</v>
      </c>
      <c r="U1758" t="s">
        <v>3636</v>
      </c>
    </row>
    <row r="1759" spans="1:21" x14ac:dyDescent="0.25">
      <c r="A1759" t="s">
        <v>3238</v>
      </c>
      <c r="B1759" s="1">
        <v>45903</v>
      </c>
      <c r="C1759" t="s">
        <v>2198</v>
      </c>
      <c r="D1759" t="s">
        <v>30</v>
      </c>
      <c r="E1759" t="s">
        <v>166</v>
      </c>
      <c r="F1759" t="s">
        <v>60</v>
      </c>
      <c r="G1759" t="s">
        <v>69</v>
      </c>
      <c r="H1759" t="s">
        <v>243</v>
      </c>
      <c r="I1759">
        <v>2</v>
      </c>
      <c r="J1759">
        <v>17.55</v>
      </c>
      <c r="K1759">
        <v>20</v>
      </c>
      <c r="L1759">
        <v>28.08</v>
      </c>
      <c r="M1759">
        <v>11.1</v>
      </c>
      <c r="N1759">
        <v>-0.56999999999999995</v>
      </c>
      <c r="O1759" t="s">
        <v>34</v>
      </c>
      <c r="P1759">
        <v>2025</v>
      </c>
      <c r="Q1759" t="s">
        <v>3644</v>
      </c>
      <c r="R1759">
        <v>22.463999999999999</v>
      </c>
      <c r="S1759">
        <v>-2.53739316239316E-2</v>
      </c>
      <c r="T1759" t="s">
        <v>3634</v>
      </c>
      <c r="U1759" t="s">
        <v>3636</v>
      </c>
    </row>
    <row r="1760" spans="1:21" x14ac:dyDescent="0.25">
      <c r="A1760" t="s">
        <v>3239</v>
      </c>
      <c r="B1760" s="1">
        <v>45903</v>
      </c>
      <c r="C1760" t="s">
        <v>3240</v>
      </c>
      <c r="D1760" t="s">
        <v>17</v>
      </c>
      <c r="E1760" t="s">
        <v>18</v>
      </c>
      <c r="F1760" t="s">
        <v>19</v>
      </c>
      <c r="G1760" t="s">
        <v>20</v>
      </c>
      <c r="H1760" t="s">
        <v>106</v>
      </c>
      <c r="I1760">
        <v>1</v>
      </c>
      <c r="J1760">
        <v>62.48</v>
      </c>
      <c r="K1760">
        <v>15</v>
      </c>
      <c r="L1760">
        <v>53.11</v>
      </c>
      <c r="M1760">
        <v>5.86</v>
      </c>
      <c r="N1760">
        <v>12.89</v>
      </c>
      <c r="O1760" t="s">
        <v>56</v>
      </c>
      <c r="P1760">
        <v>2025</v>
      </c>
      <c r="Q1760" t="s">
        <v>3644</v>
      </c>
      <c r="R1760">
        <v>45.143500000000003</v>
      </c>
      <c r="S1760">
        <v>0.28553390853611299</v>
      </c>
      <c r="T1760" t="s">
        <v>3634</v>
      </c>
      <c r="U1760" t="s">
        <v>3633</v>
      </c>
    </row>
    <row r="1761" spans="1:21" x14ac:dyDescent="0.25">
      <c r="A1761" t="s">
        <v>3241</v>
      </c>
      <c r="B1761" s="1">
        <v>45905</v>
      </c>
      <c r="C1761" t="s">
        <v>3242</v>
      </c>
      <c r="D1761" t="s">
        <v>30</v>
      </c>
      <c r="E1761" t="s">
        <v>25</v>
      </c>
      <c r="F1761" t="s">
        <v>26</v>
      </c>
      <c r="G1761" t="s">
        <v>32</v>
      </c>
      <c r="H1761" t="s">
        <v>73</v>
      </c>
      <c r="I1761">
        <v>5</v>
      </c>
      <c r="J1761">
        <v>5.25</v>
      </c>
      <c r="K1761">
        <v>0</v>
      </c>
      <c r="L1761">
        <v>26.25</v>
      </c>
      <c r="M1761">
        <v>12.14</v>
      </c>
      <c r="N1761">
        <v>2.2999999999999998</v>
      </c>
      <c r="O1761" t="s">
        <v>34</v>
      </c>
      <c r="P1761">
        <v>2025</v>
      </c>
      <c r="Q1761" t="s">
        <v>3644</v>
      </c>
      <c r="R1761">
        <v>26.25</v>
      </c>
      <c r="S1761">
        <v>8.7619047619047596E-2</v>
      </c>
      <c r="T1761" t="s">
        <v>3634</v>
      </c>
      <c r="U1761" t="s">
        <v>3633</v>
      </c>
    </row>
    <row r="1762" spans="1:21" x14ac:dyDescent="0.25">
      <c r="A1762" t="s">
        <v>3243</v>
      </c>
      <c r="B1762" s="1">
        <v>45905</v>
      </c>
      <c r="C1762" t="s">
        <v>383</v>
      </c>
      <c r="D1762" t="s">
        <v>17</v>
      </c>
      <c r="E1762" t="s">
        <v>109</v>
      </c>
      <c r="F1762" t="s">
        <v>54</v>
      </c>
      <c r="G1762" t="s">
        <v>42</v>
      </c>
      <c r="H1762" t="s">
        <v>43</v>
      </c>
      <c r="I1762">
        <v>1</v>
      </c>
      <c r="J1762">
        <v>241.54</v>
      </c>
      <c r="K1762">
        <v>15</v>
      </c>
      <c r="L1762">
        <v>205.31</v>
      </c>
      <c r="M1762">
        <v>13.18</v>
      </c>
      <c r="N1762">
        <v>47.21</v>
      </c>
      <c r="O1762" t="s">
        <v>34</v>
      </c>
      <c r="P1762">
        <v>2025</v>
      </c>
      <c r="Q1762" t="s">
        <v>3644</v>
      </c>
      <c r="R1762">
        <v>174.51349999999999</v>
      </c>
      <c r="S1762">
        <v>0.27052348385655001</v>
      </c>
      <c r="T1762" t="s">
        <v>3632</v>
      </c>
      <c r="U1762" t="s">
        <v>3633</v>
      </c>
    </row>
    <row r="1763" spans="1:21" x14ac:dyDescent="0.25">
      <c r="A1763" t="s">
        <v>3244</v>
      </c>
      <c r="B1763" s="1">
        <v>45906</v>
      </c>
      <c r="C1763" t="s">
        <v>3245</v>
      </c>
      <c r="D1763" t="s">
        <v>30</v>
      </c>
      <c r="E1763" t="s">
        <v>25</v>
      </c>
      <c r="F1763" t="s">
        <v>26</v>
      </c>
      <c r="G1763" t="s">
        <v>32</v>
      </c>
      <c r="H1763" t="s">
        <v>132</v>
      </c>
      <c r="I1763">
        <v>3</v>
      </c>
      <c r="J1763">
        <v>7.54</v>
      </c>
      <c r="K1763">
        <v>0</v>
      </c>
      <c r="L1763">
        <v>22.62</v>
      </c>
      <c r="M1763">
        <v>10.42</v>
      </c>
      <c r="N1763">
        <v>2.02</v>
      </c>
      <c r="O1763" t="s">
        <v>34</v>
      </c>
      <c r="P1763">
        <v>2025</v>
      </c>
      <c r="Q1763" t="s">
        <v>3644</v>
      </c>
      <c r="R1763">
        <v>22.62</v>
      </c>
      <c r="S1763">
        <v>8.9301503094606494E-2</v>
      </c>
      <c r="T1763" t="s">
        <v>3634</v>
      </c>
      <c r="U1763" t="s">
        <v>3633</v>
      </c>
    </row>
    <row r="1764" spans="1:21" x14ac:dyDescent="0.25">
      <c r="A1764" t="s">
        <v>3246</v>
      </c>
      <c r="B1764" s="1">
        <v>45907</v>
      </c>
      <c r="C1764" t="s">
        <v>2162</v>
      </c>
      <c r="D1764" t="s">
        <v>49</v>
      </c>
      <c r="E1764" t="s">
        <v>92</v>
      </c>
      <c r="F1764" t="s">
        <v>60</v>
      </c>
      <c r="G1764" t="s">
        <v>42</v>
      </c>
      <c r="H1764" t="s">
        <v>46</v>
      </c>
      <c r="I1764">
        <v>2</v>
      </c>
      <c r="J1764">
        <v>195.17</v>
      </c>
      <c r="K1764">
        <v>15</v>
      </c>
      <c r="L1764">
        <v>331.79</v>
      </c>
      <c r="M1764">
        <v>10.46</v>
      </c>
      <c r="N1764">
        <v>87.13</v>
      </c>
      <c r="O1764" t="s">
        <v>34</v>
      </c>
      <c r="P1764">
        <v>2025</v>
      </c>
      <c r="Q1764" t="s">
        <v>3644</v>
      </c>
      <c r="R1764">
        <v>282.0215</v>
      </c>
      <c r="S1764">
        <v>0.30894807665372997</v>
      </c>
      <c r="T1764" t="s">
        <v>3632</v>
      </c>
      <c r="U1764" t="s">
        <v>3633</v>
      </c>
    </row>
    <row r="1765" spans="1:21" x14ac:dyDescent="0.25">
      <c r="A1765" t="s">
        <v>3247</v>
      </c>
      <c r="B1765" s="1">
        <v>45907</v>
      </c>
      <c r="C1765" t="s">
        <v>3248</v>
      </c>
      <c r="D1765" t="s">
        <v>30</v>
      </c>
      <c r="E1765" t="s">
        <v>92</v>
      </c>
      <c r="F1765" t="s">
        <v>60</v>
      </c>
      <c r="G1765" t="s">
        <v>20</v>
      </c>
      <c r="H1765" t="s">
        <v>170</v>
      </c>
      <c r="I1765">
        <v>4</v>
      </c>
      <c r="J1765">
        <v>37.450000000000003</v>
      </c>
      <c r="K1765">
        <v>5</v>
      </c>
      <c r="L1765">
        <v>142.31</v>
      </c>
      <c r="M1765">
        <v>17.43</v>
      </c>
      <c r="N1765">
        <v>42.49</v>
      </c>
      <c r="O1765" t="s">
        <v>34</v>
      </c>
      <c r="P1765">
        <v>2025</v>
      </c>
      <c r="Q1765" t="s">
        <v>3644</v>
      </c>
      <c r="R1765">
        <v>135.19450000000001</v>
      </c>
      <c r="S1765">
        <v>0.31428793331089699</v>
      </c>
      <c r="T1765" t="s">
        <v>3632</v>
      </c>
      <c r="U1765" t="s">
        <v>3633</v>
      </c>
    </row>
    <row r="1766" spans="1:21" x14ac:dyDescent="0.25">
      <c r="A1766" t="s">
        <v>3249</v>
      </c>
      <c r="B1766" s="1">
        <v>45908</v>
      </c>
      <c r="C1766" t="s">
        <v>3250</v>
      </c>
      <c r="D1766" t="s">
        <v>30</v>
      </c>
      <c r="E1766" t="s">
        <v>63</v>
      </c>
      <c r="F1766" t="s">
        <v>54</v>
      </c>
      <c r="G1766" t="s">
        <v>20</v>
      </c>
      <c r="H1766" t="s">
        <v>38</v>
      </c>
      <c r="I1766">
        <v>8</v>
      </c>
      <c r="J1766">
        <v>48.19</v>
      </c>
      <c r="K1766">
        <v>0</v>
      </c>
      <c r="L1766">
        <v>385.52</v>
      </c>
      <c r="M1766">
        <v>18.04</v>
      </c>
      <c r="N1766">
        <v>155.44</v>
      </c>
      <c r="O1766" t="s">
        <v>56</v>
      </c>
      <c r="P1766">
        <v>2025</v>
      </c>
      <c r="Q1766" t="s">
        <v>3644</v>
      </c>
      <c r="R1766">
        <v>385.52</v>
      </c>
      <c r="S1766">
        <v>0.40319568375181603</v>
      </c>
      <c r="T1766" t="s">
        <v>3632</v>
      </c>
      <c r="U1766" t="s">
        <v>3633</v>
      </c>
    </row>
    <row r="1767" spans="1:21" x14ac:dyDescent="0.25">
      <c r="A1767" t="s">
        <v>3251</v>
      </c>
      <c r="B1767" s="1">
        <v>45908</v>
      </c>
      <c r="C1767" t="s">
        <v>1924</v>
      </c>
      <c r="D1767" t="s">
        <v>30</v>
      </c>
      <c r="E1767" t="s">
        <v>169</v>
      </c>
      <c r="F1767" t="s">
        <v>68</v>
      </c>
      <c r="G1767" t="s">
        <v>42</v>
      </c>
      <c r="H1767" t="s">
        <v>294</v>
      </c>
      <c r="I1767">
        <v>2</v>
      </c>
      <c r="J1767">
        <v>293.43</v>
      </c>
      <c r="K1767">
        <v>10</v>
      </c>
      <c r="L1767">
        <v>528.16999999999996</v>
      </c>
      <c r="M1767">
        <v>12.96</v>
      </c>
      <c r="N1767">
        <v>163.09</v>
      </c>
      <c r="O1767" t="s">
        <v>39</v>
      </c>
      <c r="P1767">
        <v>2025</v>
      </c>
      <c r="Q1767" t="s">
        <v>3644</v>
      </c>
      <c r="R1767">
        <v>475.35300000000001</v>
      </c>
      <c r="S1767">
        <v>0.34309239659789698</v>
      </c>
      <c r="T1767" t="s">
        <v>3635</v>
      </c>
      <c r="U1767" t="s">
        <v>3633</v>
      </c>
    </row>
    <row r="1768" spans="1:21" x14ac:dyDescent="0.25">
      <c r="A1768" t="s">
        <v>3252</v>
      </c>
      <c r="B1768" s="1">
        <v>45908</v>
      </c>
      <c r="C1768" t="s">
        <v>3253</v>
      </c>
      <c r="D1768" t="s">
        <v>30</v>
      </c>
      <c r="E1768" t="s">
        <v>25</v>
      </c>
      <c r="F1768" t="s">
        <v>26</v>
      </c>
      <c r="G1768" t="s">
        <v>20</v>
      </c>
      <c r="H1768" t="s">
        <v>122</v>
      </c>
      <c r="I1768">
        <v>2</v>
      </c>
      <c r="J1768">
        <v>94.47</v>
      </c>
      <c r="K1768">
        <v>10</v>
      </c>
      <c r="L1768">
        <v>170.05</v>
      </c>
      <c r="M1768">
        <v>11.19</v>
      </c>
      <c r="N1768">
        <v>54.94</v>
      </c>
      <c r="O1768" t="s">
        <v>34</v>
      </c>
      <c r="P1768">
        <v>2025</v>
      </c>
      <c r="Q1768" t="s">
        <v>3644</v>
      </c>
      <c r="R1768">
        <v>153.04499999999999</v>
      </c>
      <c r="S1768">
        <v>0.35897938514815902</v>
      </c>
      <c r="T1768" t="s">
        <v>3632</v>
      </c>
      <c r="U1768" t="s">
        <v>3633</v>
      </c>
    </row>
    <row r="1769" spans="1:21" x14ac:dyDescent="0.25">
      <c r="A1769" t="s">
        <v>3254</v>
      </c>
      <c r="B1769" s="1">
        <v>45909</v>
      </c>
      <c r="C1769" t="s">
        <v>1690</v>
      </c>
      <c r="D1769" t="s">
        <v>30</v>
      </c>
      <c r="E1769" t="s">
        <v>166</v>
      </c>
      <c r="F1769" t="s">
        <v>60</v>
      </c>
      <c r="G1769" t="s">
        <v>42</v>
      </c>
      <c r="H1769" t="s">
        <v>234</v>
      </c>
      <c r="I1769">
        <v>3</v>
      </c>
      <c r="J1769">
        <v>40.83</v>
      </c>
      <c r="K1769">
        <v>5</v>
      </c>
      <c r="L1769">
        <v>116.37</v>
      </c>
      <c r="M1769">
        <v>15.87</v>
      </c>
      <c r="N1769">
        <v>27.01</v>
      </c>
      <c r="O1769" t="s">
        <v>34</v>
      </c>
      <c r="P1769">
        <v>2025</v>
      </c>
      <c r="Q1769" t="s">
        <v>3644</v>
      </c>
      <c r="R1769">
        <v>110.5515</v>
      </c>
      <c r="S1769">
        <v>0.244320520300493</v>
      </c>
      <c r="T1769" t="s">
        <v>3632</v>
      </c>
      <c r="U1769" t="s">
        <v>3633</v>
      </c>
    </row>
    <row r="1770" spans="1:21" x14ac:dyDescent="0.25">
      <c r="A1770" t="s">
        <v>3255</v>
      </c>
      <c r="B1770" s="1">
        <v>45909</v>
      </c>
      <c r="C1770" t="s">
        <v>3256</v>
      </c>
      <c r="D1770" t="s">
        <v>17</v>
      </c>
      <c r="E1770" t="s">
        <v>76</v>
      </c>
      <c r="F1770" t="s">
        <v>26</v>
      </c>
      <c r="G1770" t="s">
        <v>20</v>
      </c>
      <c r="H1770" t="s">
        <v>55</v>
      </c>
      <c r="I1770">
        <v>1</v>
      </c>
      <c r="J1770">
        <v>68.69</v>
      </c>
      <c r="K1770">
        <v>10</v>
      </c>
      <c r="L1770">
        <v>61.82</v>
      </c>
      <c r="M1770">
        <v>8.7899999999999991</v>
      </c>
      <c r="N1770">
        <v>15.25</v>
      </c>
      <c r="O1770" t="s">
        <v>39</v>
      </c>
      <c r="P1770">
        <v>2025</v>
      </c>
      <c r="Q1770" t="s">
        <v>3644</v>
      </c>
      <c r="R1770">
        <v>55.637999999999998</v>
      </c>
      <c r="S1770">
        <v>0.27409324562349502</v>
      </c>
      <c r="T1770" t="s">
        <v>3634</v>
      </c>
      <c r="U1770" t="s">
        <v>3633</v>
      </c>
    </row>
    <row r="1771" spans="1:21" x14ac:dyDescent="0.25">
      <c r="A1771" t="s">
        <v>3257</v>
      </c>
      <c r="B1771" s="1">
        <v>45909</v>
      </c>
      <c r="C1771" t="s">
        <v>500</v>
      </c>
      <c r="D1771" t="s">
        <v>30</v>
      </c>
      <c r="E1771" t="s">
        <v>166</v>
      </c>
      <c r="F1771" t="s">
        <v>60</v>
      </c>
      <c r="G1771" t="s">
        <v>42</v>
      </c>
      <c r="H1771" t="s">
        <v>93</v>
      </c>
      <c r="I1771">
        <v>2</v>
      </c>
      <c r="J1771">
        <v>396.83</v>
      </c>
      <c r="K1771">
        <v>10</v>
      </c>
      <c r="L1771">
        <v>714.29</v>
      </c>
      <c r="M1771">
        <v>12.78</v>
      </c>
      <c r="N1771">
        <v>225.31</v>
      </c>
      <c r="O1771" t="s">
        <v>56</v>
      </c>
      <c r="P1771">
        <v>2025</v>
      </c>
      <c r="Q1771" t="s">
        <v>3644</v>
      </c>
      <c r="R1771">
        <v>642.86099999999999</v>
      </c>
      <c r="S1771">
        <v>0.35048011934150602</v>
      </c>
      <c r="T1771" t="s">
        <v>3635</v>
      </c>
      <c r="U1771" t="s">
        <v>3633</v>
      </c>
    </row>
    <row r="1772" spans="1:21" x14ac:dyDescent="0.25">
      <c r="A1772" t="s">
        <v>3258</v>
      </c>
      <c r="B1772" s="1">
        <v>45911</v>
      </c>
      <c r="C1772" t="s">
        <v>3259</v>
      </c>
      <c r="D1772" t="s">
        <v>17</v>
      </c>
      <c r="E1772" t="s">
        <v>109</v>
      </c>
      <c r="F1772" t="s">
        <v>54</v>
      </c>
      <c r="G1772" t="s">
        <v>69</v>
      </c>
      <c r="H1772" t="s">
        <v>196</v>
      </c>
      <c r="I1772">
        <v>4</v>
      </c>
      <c r="J1772">
        <v>28.55</v>
      </c>
      <c r="K1772">
        <v>10</v>
      </c>
      <c r="L1772">
        <v>102.78</v>
      </c>
      <c r="M1772">
        <v>14</v>
      </c>
      <c r="N1772">
        <v>31.68</v>
      </c>
      <c r="O1772" t="s">
        <v>34</v>
      </c>
      <c r="P1772">
        <v>2025</v>
      </c>
      <c r="Q1772" t="s">
        <v>3644</v>
      </c>
      <c r="R1772">
        <v>92.501999999999995</v>
      </c>
      <c r="S1772">
        <v>0.34247908153337198</v>
      </c>
      <c r="T1772" t="s">
        <v>3632</v>
      </c>
      <c r="U1772" t="s">
        <v>3633</v>
      </c>
    </row>
    <row r="1773" spans="1:21" x14ac:dyDescent="0.25">
      <c r="A1773" t="s">
        <v>3260</v>
      </c>
      <c r="B1773" s="1">
        <v>45911</v>
      </c>
      <c r="C1773" t="s">
        <v>3261</v>
      </c>
      <c r="D1773" t="s">
        <v>30</v>
      </c>
      <c r="E1773" t="s">
        <v>37</v>
      </c>
      <c r="F1773" t="s">
        <v>26</v>
      </c>
      <c r="G1773" t="s">
        <v>20</v>
      </c>
      <c r="H1773" t="s">
        <v>170</v>
      </c>
      <c r="I1773">
        <v>1</v>
      </c>
      <c r="J1773">
        <v>52.17</v>
      </c>
      <c r="K1773">
        <v>20</v>
      </c>
      <c r="L1773">
        <v>41.74</v>
      </c>
      <c r="M1773">
        <v>7.51</v>
      </c>
      <c r="N1773">
        <v>5.54</v>
      </c>
      <c r="O1773" t="s">
        <v>22</v>
      </c>
      <c r="P1773">
        <v>2025</v>
      </c>
      <c r="Q1773" t="s">
        <v>3644</v>
      </c>
      <c r="R1773">
        <v>33.392000000000003</v>
      </c>
      <c r="S1773">
        <v>0.165908001916627</v>
      </c>
      <c r="T1773" t="s">
        <v>3634</v>
      </c>
      <c r="U1773" t="s">
        <v>3633</v>
      </c>
    </row>
    <row r="1774" spans="1:21" x14ac:dyDescent="0.25">
      <c r="A1774" t="s">
        <v>3262</v>
      </c>
      <c r="B1774" s="1">
        <v>45914</v>
      </c>
      <c r="C1774" t="s">
        <v>2208</v>
      </c>
      <c r="D1774" t="s">
        <v>30</v>
      </c>
      <c r="E1774" t="s">
        <v>121</v>
      </c>
      <c r="F1774" t="s">
        <v>68</v>
      </c>
      <c r="G1774" t="s">
        <v>32</v>
      </c>
      <c r="H1774" t="s">
        <v>110</v>
      </c>
      <c r="I1774">
        <v>2</v>
      </c>
      <c r="J1774">
        <v>14.53</v>
      </c>
      <c r="K1774">
        <v>15</v>
      </c>
      <c r="L1774">
        <v>24.7</v>
      </c>
      <c r="M1774">
        <v>12.13</v>
      </c>
      <c r="N1774">
        <v>-0.51</v>
      </c>
      <c r="O1774" t="s">
        <v>56</v>
      </c>
      <c r="P1774">
        <v>2025</v>
      </c>
      <c r="Q1774" t="s">
        <v>3644</v>
      </c>
      <c r="R1774">
        <v>20.995000000000001</v>
      </c>
      <c r="S1774">
        <v>-2.4291497975708499E-2</v>
      </c>
      <c r="T1774" t="s">
        <v>3634</v>
      </c>
      <c r="U1774" t="s">
        <v>3636</v>
      </c>
    </row>
    <row r="1775" spans="1:21" x14ac:dyDescent="0.25">
      <c r="A1775" t="s">
        <v>3263</v>
      </c>
      <c r="B1775" s="1">
        <v>45915</v>
      </c>
      <c r="C1775" t="s">
        <v>3264</v>
      </c>
      <c r="D1775" t="s">
        <v>30</v>
      </c>
      <c r="E1775" t="s">
        <v>85</v>
      </c>
      <c r="F1775" t="s">
        <v>60</v>
      </c>
      <c r="G1775" t="s">
        <v>20</v>
      </c>
      <c r="H1775" t="s">
        <v>27</v>
      </c>
      <c r="I1775">
        <v>3</v>
      </c>
      <c r="J1775">
        <v>70.319999999999993</v>
      </c>
      <c r="K1775">
        <v>15</v>
      </c>
      <c r="L1775">
        <v>179.32</v>
      </c>
      <c r="M1775">
        <v>16.16</v>
      </c>
      <c r="N1775">
        <v>47.13</v>
      </c>
      <c r="O1775" t="s">
        <v>39</v>
      </c>
      <c r="P1775">
        <v>2025</v>
      </c>
      <c r="Q1775" t="s">
        <v>3644</v>
      </c>
      <c r="R1775">
        <v>152.422</v>
      </c>
      <c r="S1775">
        <v>0.30920733227486802</v>
      </c>
      <c r="T1775" t="s">
        <v>3632</v>
      </c>
      <c r="U1775" t="s">
        <v>3633</v>
      </c>
    </row>
    <row r="1776" spans="1:21" x14ac:dyDescent="0.25">
      <c r="A1776" t="s">
        <v>3265</v>
      </c>
      <c r="B1776" s="1">
        <v>45915</v>
      </c>
      <c r="C1776" t="s">
        <v>1687</v>
      </c>
      <c r="D1776" t="s">
        <v>17</v>
      </c>
      <c r="E1776" t="s">
        <v>25</v>
      </c>
      <c r="F1776" t="s">
        <v>26</v>
      </c>
      <c r="G1776" t="s">
        <v>32</v>
      </c>
      <c r="H1776" t="s">
        <v>73</v>
      </c>
      <c r="I1776">
        <v>3</v>
      </c>
      <c r="J1776">
        <v>9.6999999999999993</v>
      </c>
      <c r="K1776">
        <v>5</v>
      </c>
      <c r="L1776">
        <v>27.64</v>
      </c>
      <c r="M1776">
        <v>13.8</v>
      </c>
      <c r="N1776">
        <v>0.75</v>
      </c>
      <c r="O1776" t="s">
        <v>34</v>
      </c>
      <c r="P1776">
        <v>2025</v>
      </c>
      <c r="Q1776" t="s">
        <v>3644</v>
      </c>
      <c r="R1776">
        <v>26.257999999999999</v>
      </c>
      <c r="S1776">
        <v>2.8562723741336001E-2</v>
      </c>
      <c r="T1776" t="s">
        <v>3634</v>
      </c>
      <c r="U1776" t="s">
        <v>3633</v>
      </c>
    </row>
    <row r="1777" spans="1:21" x14ac:dyDescent="0.25">
      <c r="A1777" t="s">
        <v>3266</v>
      </c>
      <c r="B1777" s="1">
        <v>45915</v>
      </c>
      <c r="C1777" t="s">
        <v>3267</v>
      </c>
      <c r="D1777" t="s">
        <v>49</v>
      </c>
      <c r="E1777" t="s">
        <v>166</v>
      </c>
      <c r="F1777" t="s">
        <v>60</v>
      </c>
      <c r="G1777" t="s">
        <v>32</v>
      </c>
      <c r="H1777" t="s">
        <v>110</v>
      </c>
      <c r="I1777">
        <v>9</v>
      </c>
      <c r="J1777">
        <v>10.29</v>
      </c>
      <c r="K1777">
        <v>0</v>
      </c>
      <c r="L1777">
        <v>92.61</v>
      </c>
      <c r="M1777">
        <v>30.73</v>
      </c>
      <c r="N1777">
        <v>20.21</v>
      </c>
      <c r="O1777" t="s">
        <v>22</v>
      </c>
      <c r="P1777">
        <v>2025</v>
      </c>
      <c r="Q1777" t="s">
        <v>3644</v>
      </c>
      <c r="R1777">
        <v>92.61</v>
      </c>
      <c r="S1777">
        <v>0.218226973329014</v>
      </c>
      <c r="T1777" t="s">
        <v>3634</v>
      </c>
      <c r="U1777" t="s">
        <v>3633</v>
      </c>
    </row>
    <row r="1778" spans="1:21" x14ac:dyDescent="0.25">
      <c r="A1778" t="s">
        <v>3268</v>
      </c>
      <c r="B1778" s="1">
        <v>45916</v>
      </c>
      <c r="C1778" t="s">
        <v>1729</v>
      </c>
      <c r="D1778" t="s">
        <v>49</v>
      </c>
      <c r="E1778" t="s">
        <v>248</v>
      </c>
      <c r="F1778" t="s">
        <v>26</v>
      </c>
      <c r="G1778" t="s">
        <v>20</v>
      </c>
      <c r="H1778" t="s">
        <v>106</v>
      </c>
      <c r="I1778">
        <v>1</v>
      </c>
      <c r="J1778">
        <v>39.869999999999997</v>
      </c>
      <c r="K1778">
        <v>0</v>
      </c>
      <c r="L1778">
        <v>39.869999999999997</v>
      </c>
      <c r="M1778">
        <v>8.3800000000000008</v>
      </c>
      <c r="N1778">
        <v>9.56</v>
      </c>
      <c r="O1778" t="s">
        <v>39</v>
      </c>
      <c r="P1778">
        <v>2025</v>
      </c>
      <c r="Q1778" t="s">
        <v>3644</v>
      </c>
      <c r="R1778">
        <v>39.869999999999997</v>
      </c>
      <c r="S1778">
        <v>0.23977928266867299</v>
      </c>
      <c r="T1778" t="s">
        <v>3634</v>
      </c>
      <c r="U1778" t="s">
        <v>3633</v>
      </c>
    </row>
    <row r="1779" spans="1:21" x14ac:dyDescent="0.25">
      <c r="A1779" t="s">
        <v>3269</v>
      </c>
      <c r="B1779" s="1">
        <v>45916</v>
      </c>
      <c r="C1779" t="s">
        <v>3118</v>
      </c>
      <c r="D1779" t="s">
        <v>17</v>
      </c>
      <c r="E1779" t="s">
        <v>63</v>
      </c>
      <c r="F1779" t="s">
        <v>54</v>
      </c>
      <c r="G1779" t="s">
        <v>69</v>
      </c>
      <c r="H1779" t="s">
        <v>163</v>
      </c>
      <c r="I1779">
        <v>2</v>
      </c>
      <c r="J1779">
        <v>64.38</v>
      </c>
      <c r="K1779">
        <v>0</v>
      </c>
      <c r="L1779">
        <v>128.76</v>
      </c>
      <c r="M1779">
        <v>14.62</v>
      </c>
      <c r="N1779">
        <v>49.76</v>
      </c>
      <c r="O1779" t="s">
        <v>34</v>
      </c>
      <c r="P1779">
        <v>2025</v>
      </c>
      <c r="Q1779" t="s">
        <v>3644</v>
      </c>
      <c r="R1779">
        <v>128.76</v>
      </c>
      <c r="S1779">
        <v>0.38645542093818003</v>
      </c>
      <c r="T1779" t="s">
        <v>3632</v>
      </c>
      <c r="U1779" t="s">
        <v>3633</v>
      </c>
    </row>
    <row r="1780" spans="1:21" x14ac:dyDescent="0.25">
      <c r="A1780" t="s">
        <v>3270</v>
      </c>
      <c r="B1780" s="1">
        <v>45916</v>
      </c>
      <c r="C1780" t="s">
        <v>3271</v>
      </c>
      <c r="D1780" t="s">
        <v>17</v>
      </c>
      <c r="E1780" t="s">
        <v>129</v>
      </c>
      <c r="F1780" t="s">
        <v>19</v>
      </c>
      <c r="G1780" t="s">
        <v>69</v>
      </c>
      <c r="H1780" t="s">
        <v>243</v>
      </c>
      <c r="I1780">
        <v>1</v>
      </c>
      <c r="J1780">
        <v>42.67</v>
      </c>
      <c r="K1780">
        <v>20</v>
      </c>
      <c r="L1780">
        <v>34.14</v>
      </c>
      <c r="M1780">
        <v>5.71</v>
      </c>
      <c r="N1780">
        <v>7.09</v>
      </c>
      <c r="O1780" t="s">
        <v>39</v>
      </c>
      <c r="P1780">
        <v>2025</v>
      </c>
      <c r="Q1780" t="s">
        <v>3644</v>
      </c>
      <c r="R1780">
        <v>27.312000000000001</v>
      </c>
      <c r="S1780">
        <v>0.25959285295840701</v>
      </c>
      <c r="T1780" t="s">
        <v>3634</v>
      </c>
      <c r="U1780" t="s">
        <v>3633</v>
      </c>
    </row>
    <row r="1781" spans="1:21" x14ac:dyDescent="0.25">
      <c r="A1781" t="s">
        <v>3272</v>
      </c>
      <c r="B1781" s="1">
        <v>45916</v>
      </c>
      <c r="C1781" t="s">
        <v>3273</v>
      </c>
      <c r="D1781" t="s">
        <v>49</v>
      </c>
      <c r="E1781" t="s">
        <v>129</v>
      </c>
      <c r="F1781" t="s">
        <v>19</v>
      </c>
      <c r="G1781" t="s">
        <v>42</v>
      </c>
      <c r="H1781" t="s">
        <v>43</v>
      </c>
      <c r="I1781">
        <v>2</v>
      </c>
      <c r="J1781">
        <v>330.31</v>
      </c>
      <c r="K1781">
        <v>0</v>
      </c>
      <c r="L1781">
        <v>660.62</v>
      </c>
      <c r="M1781">
        <v>6.51</v>
      </c>
      <c r="N1781">
        <v>257.74</v>
      </c>
      <c r="O1781" t="s">
        <v>34</v>
      </c>
      <c r="P1781">
        <v>2025</v>
      </c>
      <c r="Q1781" t="s">
        <v>3644</v>
      </c>
      <c r="R1781">
        <v>660.62</v>
      </c>
      <c r="S1781">
        <v>0.39014864823953299</v>
      </c>
      <c r="T1781" t="s">
        <v>3635</v>
      </c>
      <c r="U1781" t="s">
        <v>3633</v>
      </c>
    </row>
    <row r="1782" spans="1:21" x14ac:dyDescent="0.25">
      <c r="A1782" t="s">
        <v>3274</v>
      </c>
      <c r="B1782" s="1">
        <v>45916</v>
      </c>
      <c r="C1782" t="s">
        <v>3275</v>
      </c>
      <c r="D1782" t="s">
        <v>30</v>
      </c>
      <c r="E1782" t="s">
        <v>148</v>
      </c>
      <c r="F1782" t="s">
        <v>60</v>
      </c>
      <c r="G1782" t="s">
        <v>69</v>
      </c>
      <c r="H1782" t="s">
        <v>86</v>
      </c>
      <c r="I1782">
        <v>1</v>
      </c>
      <c r="J1782">
        <v>105.62</v>
      </c>
      <c r="K1782">
        <v>10</v>
      </c>
      <c r="L1782">
        <v>95.06</v>
      </c>
      <c r="M1782">
        <v>9.73</v>
      </c>
      <c r="N1782">
        <v>32.520000000000003</v>
      </c>
      <c r="O1782" t="s">
        <v>39</v>
      </c>
      <c r="P1782">
        <v>2025</v>
      </c>
      <c r="Q1782" t="s">
        <v>3644</v>
      </c>
      <c r="R1782">
        <v>85.554000000000002</v>
      </c>
      <c r="S1782">
        <v>0.38011080720948198</v>
      </c>
      <c r="T1782" t="s">
        <v>3634</v>
      </c>
      <c r="U1782" t="s">
        <v>3633</v>
      </c>
    </row>
    <row r="1783" spans="1:21" x14ac:dyDescent="0.25">
      <c r="A1783" t="s">
        <v>3276</v>
      </c>
      <c r="B1783" s="1">
        <v>45916</v>
      </c>
      <c r="C1783" t="s">
        <v>3277</v>
      </c>
      <c r="D1783" t="s">
        <v>30</v>
      </c>
      <c r="E1783" t="s">
        <v>25</v>
      </c>
      <c r="F1783" t="s">
        <v>26</v>
      </c>
      <c r="G1783" t="s">
        <v>20</v>
      </c>
      <c r="H1783" t="s">
        <v>199</v>
      </c>
      <c r="I1783">
        <v>2</v>
      </c>
      <c r="J1783">
        <v>195.6</v>
      </c>
      <c r="K1783">
        <v>5</v>
      </c>
      <c r="L1783">
        <v>371.64</v>
      </c>
      <c r="M1783">
        <v>8.1999999999999993</v>
      </c>
      <c r="N1783">
        <v>148.28</v>
      </c>
      <c r="O1783" t="s">
        <v>39</v>
      </c>
      <c r="P1783">
        <v>2025</v>
      </c>
      <c r="Q1783" t="s">
        <v>3644</v>
      </c>
      <c r="R1783">
        <v>353.05799999999999</v>
      </c>
      <c r="S1783">
        <v>0.41998765075426697</v>
      </c>
      <c r="T1783" t="s">
        <v>3632</v>
      </c>
      <c r="U1783" t="s">
        <v>3633</v>
      </c>
    </row>
    <row r="1784" spans="1:21" x14ac:dyDescent="0.25">
      <c r="A1784" t="s">
        <v>3278</v>
      </c>
      <c r="B1784" s="1">
        <v>45917</v>
      </c>
      <c r="C1784" t="s">
        <v>16</v>
      </c>
      <c r="D1784" t="s">
        <v>30</v>
      </c>
      <c r="E1784" t="s">
        <v>248</v>
      </c>
      <c r="F1784" t="s">
        <v>26</v>
      </c>
      <c r="G1784" t="s">
        <v>42</v>
      </c>
      <c r="H1784" t="s">
        <v>64</v>
      </c>
      <c r="I1784">
        <v>6</v>
      </c>
      <c r="J1784">
        <v>64.16</v>
      </c>
      <c r="K1784">
        <v>15</v>
      </c>
      <c r="L1784">
        <v>327.22000000000003</v>
      </c>
      <c r="M1784">
        <v>11.04</v>
      </c>
      <c r="N1784">
        <v>85.2</v>
      </c>
      <c r="O1784" t="s">
        <v>22</v>
      </c>
      <c r="P1784">
        <v>2025</v>
      </c>
      <c r="Q1784" t="s">
        <v>3644</v>
      </c>
      <c r="R1784">
        <v>278.137</v>
      </c>
      <c r="S1784">
        <v>0.30632386198168499</v>
      </c>
      <c r="T1784" t="s">
        <v>3632</v>
      </c>
      <c r="U1784" t="s">
        <v>3633</v>
      </c>
    </row>
    <row r="1785" spans="1:21" x14ac:dyDescent="0.25">
      <c r="A1785" t="s">
        <v>3279</v>
      </c>
      <c r="B1785" s="1">
        <v>45919</v>
      </c>
      <c r="C1785" t="s">
        <v>3280</v>
      </c>
      <c r="D1785" t="s">
        <v>17</v>
      </c>
      <c r="E1785" t="s">
        <v>25</v>
      </c>
      <c r="F1785" t="s">
        <v>26</v>
      </c>
      <c r="G1785" t="s">
        <v>42</v>
      </c>
      <c r="H1785" t="s">
        <v>64</v>
      </c>
      <c r="I1785">
        <v>2</v>
      </c>
      <c r="J1785">
        <v>85.22</v>
      </c>
      <c r="K1785">
        <v>5</v>
      </c>
      <c r="L1785">
        <v>161.91999999999999</v>
      </c>
      <c r="M1785">
        <v>9.2799999999999994</v>
      </c>
      <c r="N1785">
        <v>50.38</v>
      </c>
      <c r="O1785" t="s">
        <v>34</v>
      </c>
      <c r="P1785">
        <v>2025</v>
      </c>
      <c r="Q1785" t="s">
        <v>3644</v>
      </c>
      <c r="R1785">
        <v>153.82400000000001</v>
      </c>
      <c r="S1785">
        <v>0.32751716247139601</v>
      </c>
      <c r="T1785" t="s">
        <v>3632</v>
      </c>
      <c r="U1785" t="s">
        <v>3633</v>
      </c>
    </row>
    <row r="1786" spans="1:21" x14ac:dyDescent="0.25">
      <c r="A1786" t="s">
        <v>3281</v>
      </c>
      <c r="B1786" s="1">
        <v>45919</v>
      </c>
      <c r="C1786" t="s">
        <v>3282</v>
      </c>
      <c r="D1786" t="s">
        <v>49</v>
      </c>
      <c r="E1786" t="s">
        <v>129</v>
      </c>
      <c r="F1786" t="s">
        <v>19</v>
      </c>
      <c r="G1786" t="s">
        <v>69</v>
      </c>
      <c r="H1786" t="s">
        <v>196</v>
      </c>
      <c r="I1786">
        <v>1</v>
      </c>
      <c r="J1786">
        <v>9.94</v>
      </c>
      <c r="K1786">
        <v>20</v>
      </c>
      <c r="L1786">
        <v>7.95</v>
      </c>
      <c r="M1786">
        <v>6.62</v>
      </c>
      <c r="N1786">
        <v>-3.64</v>
      </c>
      <c r="O1786" t="s">
        <v>56</v>
      </c>
      <c r="P1786">
        <v>2025</v>
      </c>
      <c r="Q1786" t="s">
        <v>3644</v>
      </c>
      <c r="R1786">
        <v>6.36</v>
      </c>
      <c r="S1786">
        <v>-0.57232704402515699</v>
      </c>
      <c r="T1786" t="s">
        <v>3634</v>
      </c>
      <c r="U1786" t="s">
        <v>3636</v>
      </c>
    </row>
    <row r="1787" spans="1:21" x14ac:dyDescent="0.25">
      <c r="A1787" t="s">
        <v>3283</v>
      </c>
      <c r="B1787" s="1">
        <v>45919</v>
      </c>
      <c r="C1787" t="s">
        <v>3284</v>
      </c>
      <c r="D1787" t="s">
        <v>30</v>
      </c>
      <c r="E1787" t="s">
        <v>92</v>
      </c>
      <c r="F1787" t="s">
        <v>60</v>
      </c>
      <c r="G1787" t="s">
        <v>42</v>
      </c>
      <c r="H1787" t="s">
        <v>46</v>
      </c>
      <c r="I1787">
        <v>1</v>
      </c>
      <c r="J1787">
        <v>167.52</v>
      </c>
      <c r="K1787">
        <v>0</v>
      </c>
      <c r="L1787">
        <v>167.52</v>
      </c>
      <c r="M1787">
        <v>10.49</v>
      </c>
      <c r="N1787">
        <v>56.52</v>
      </c>
      <c r="O1787" t="s">
        <v>39</v>
      </c>
      <c r="P1787">
        <v>2025</v>
      </c>
      <c r="Q1787" t="s">
        <v>3644</v>
      </c>
      <c r="R1787">
        <v>167.52</v>
      </c>
      <c r="S1787">
        <v>0.33739255014326602</v>
      </c>
      <c r="T1787" t="s">
        <v>3632</v>
      </c>
      <c r="U1787" t="s">
        <v>3633</v>
      </c>
    </row>
    <row r="1788" spans="1:21" x14ac:dyDescent="0.25">
      <c r="A1788" t="s">
        <v>3285</v>
      </c>
      <c r="B1788" s="1">
        <v>45919</v>
      </c>
      <c r="C1788" t="s">
        <v>3286</v>
      </c>
      <c r="D1788" t="s">
        <v>49</v>
      </c>
      <c r="E1788" t="s">
        <v>37</v>
      </c>
      <c r="F1788" t="s">
        <v>26</v>
      </c>
      <c r="G1788" t="s">
        <v>42</v>
      </c>
      <c r="H1788" t="s">
        <v>43</v>
      </c>
      <c r="I1788">
        <v>1</v>
      </c>
      <c r="J1788">
        <v>237.11</v>
      </c>
      <c r="K1788">
        <v>20</v>
      </c>
      <c r="L1788">
        <v>189.69</v>
      </c>
      <c r="M1788">
        <v>7.78</v>
      </c>
      <c r="N1788">
        <v>39.64</v>
      </c>
      <c r="O1788" t="s">
        <v>56</v>
      </c>
      <c r="P1788">
        <v>2025</v>
      </c>
      <c r="Q1788" t="s">
        <v>3644</v>
      </c>
      <c r="R1788">
        <v>151.75200000000001</v>
      </c>
      <c r="S1788">
        <v>0.26121566766830101</v>
      </c>
      <c r="T1788" t="s">
        <v>3632</v>
      </c>
      <c r="U1788" t="s">
        <v>3633</v>
      </c>
    </row>
    <row r="1789" spans="1:21" x14ac:dyDescent="0.25">
      <c r="A1789" t="s">
        <v>3287</v>
      </c>
      <c r="B1789" s="1">
        <v>45919</v>
      </c>
      <c r="C1789" t="s">
        <v>3288</v>
      </c>
      <c r="D1789" t="s">
        <v>49</v>
      </c>
      <c r="E1789" t="s">
        <v>67</v>
      </c>
      <c r="F1789" t="s">
        <v>68</v>
      </c>
      <c r="G1789" t="s">
        <v>32</v>
      </c>
      <c r="H1789" t="s">
        <v>82</v>
      </c>
      <c r="I1789">
        <v>6</v>
      </c>
      <c r="J1789">
        <v>20.04</v>
      </c>
      <c r="K1789">
        <v>10</v>
      </c>
      <c r="L1789">
        <v>108.22</v>
      </c>
      <c r="M1789">
        <v>13.93</v>
      </c>
      <c r="N1789">
        <v>40.18</v>
      </c>
      <c r="O1789" t="s">
        <v>39</v>
      </c>
      <c r="P1789">
        <v>2025</v>
      </c>
      <c r="Q1789" t="s">
        <v>3644</v>
      </c>
      <c r="R1789">
        <v>97.397999999999996</v>
      </c>
      <c r="S1789">
        <v>0.41253413827799301</v>
      </c>
      <c r="T1789" t="s">
        <v>3632</v>
      </c>
      <c r="U1789" t="s">
        <v>3633</v>
      </c>
    </row>
    <row r="1790" spans="1:21" x14ac:dyDescent="0.25">
      <c r="A1790" t="s">
        <v>3289</v>
      </c>
      <c r="B1790" s="1">
        <v>45920</v>
      </c>
      <c r="C1790" t="s">
        <v>2666</v>
      </c>
      <c r="D1790" t="s">
        <v>30</v>
      </c>
      <c r="E1790" t="s">
        <v>25</v>
      </c>
      <c r="F1790" t="s">
        <v>26</v>
      </c>
      <c r="G1790" t="s">
        <v>42</v>
      </c>
      <c r="H1790" t="s">
        <v>43</v>
      </c>
      <c r="I1790">
        <v>7</v>
      </c>
      <c r="J1790">
        <v>311.45999999999998</v>
      </c>
      <c r="K1790">
        <v>0</v>
      </c>
      <c r="L1790">
        <v>2180.2199999999998</v>
      </c>
      <c r="M1790">
        <v>11.81</v>
      </c>
      <c r="N1790">
        <v>860.28</v>
      </c>
      <c r="O1790" t="s">
        <v>22</v>
      </c>
      <c r="P1790">
        <v>2025</v>
      </c>
      <c r="Q1790" t="s">
        <v>3644</v>
      </c>
      <c r="R1790">
        <v>2180.2199999999998</v>
      </c>
      <c r="S1790">
        <v>0.39458403280402898</v>
      </c>
      <c r="T1790" t="s">
        <v>3635</v>
      </c>
      <c r="U1790" t="s">
        <v>3633</v>
      </c>
    </row>
    <row r="1791" spans="1:21" x14ac:dyDescent="0.25">
      <c r="A1791" t="s">
        <v>3290</v>
      </c>
      <c r="B1791" s="1">
        <v>45922</v>
      </c>
      <c r="C1791" t="s">
        <v>3291</v>
      </c>
      <c r="D1791" t="s">
        <v>17</v>
      </c>
      <c r="E1791" t="s">
        <v>121</v>
      </c>
      <c r="F1791" t="s">
        <v>68</v>
      </c>
      <c r="G1791" t="s">
        <v>42</v>
      </c>
      <c r="H1791" t="s">
        <v>255</v>
      </c>
      <c r="I1791">
        <v>2</v>
      </c>
      <c r="J1791">
        <v>42.2</v>
      </c>
      <c r="K1791">
        <v>15</v>
      </c>
      <c r="L1791">
        <v>71.739999999999995</v>
      </c>
      <c r="M1791">
        <v>12.37</v>
      </c>
      <c r="N1791">
        <v>8.73</v>
      </c>
      <c r="O1791" t="s">
        <v>34</v>
      </c>
      <c r="P1791">
        <v>2025</v>
      </c>
      <c r="Q1791" t="s">
        <v>3644</v>
      </c>
      <c r="R1791">
        <v>60.978999999999999</v>
      </c>
      <c r="S1791">
        <v>0.143164040079372</v>
      </c>
      <c r="T1791" t="s">
        <v>3634</v>
      </c>
      <c r="U1791" t="s">
        <v>3633</v>
      </c>
    </row>
    <row r="1792" spans="1:21" x14ac:dyDescent="0.25">
      <c r="A1792" t="s">
        <v>3292</v>
      </c>
      <c r="B1792" s="1">
        <v>45922</v>
      </c>
      <c r="C1792" t="s">
        <v>3293</v>
      </c>
      <c r="D1792" t="s">
        <v>17</v>
      </c>
      <c r="E1792" t="s">
        <v>129</v>
      </c>
      <c r="F1792" t="s">
        <v>19</v>
      </c>
      <c r="G1792" t="s">
        <v>69</v>
      </c>
      <c r="H1792" t="s">
        <v>70</v>
      </c>
      <c r="I1792">
        <v>8</v>
      </c>
      <c r="J1792">
        <v>15.3</v>
      </c>
      <c r="K1792">
        <v>10</v>
      </c>
      <c r="L1792">
        <v>110.16</v>
      </c>
      <c r="M1792">
        <v>9.77</v>
      </c>
      <c r="N1792">
        <v>39.19</v>
      </c>
      <c r="O1792" t="s">
        <v>22</v>
      </c>
      <c r="P1792">
        <v>2025</v>
      </c>
      <c r="Q1792" t="s">
        <v>3644</v>
      </c>
      <c r="R1792">
        <v>99.144000000000005</v>
      </c>
      <c r="S1792">
        <v>0.39528362785443399</v>
      </c>
      <c r="T1792" t="s">
        <v>3632</v>
      </c>
      <c r="U1792" t="s">
        <v>3633</v>
      </c>
    </row>
    <row r="1793" spans="1:21" x14ac:dyDescent="0.25">
      <c r="A1793" t="s">
        <v>3294</v>
      </c>
      <c r="B1793" s="1">
        <v>45923</v>
      </c>
      <c r="C1793" t="s">
        <v>3295</v>
      </c>
      <c r="D1793" t="s">
        <v>30</v>
      </c>
      <c r="E1793" t="s">
        <v>148</v>
      </c>
      <c r="F1793" t="s">
        <v>60</v>
      </c>
      <c r="G1793" t="s">
        <v>42</v>
      </c>
      <c r="H1793" t="s">
        <v>64</v>
      </c>
      <c r="I1793">
        <v>4</v>
      </c>
      <c r="J1793">
        <v>72.47</v>
      </c>
      <c r="K1793">
        <v>10</v>
      </c>
      <c r="L1793">
        <v>260.89</v>
      </c>
      <c r="M1793">
        <v>14.16</v>
      </c>
      <c r="N1793">
        <v>72.8</v>
      </c>
      <c r="O1793" t="s">
        <v>34</v>
      </c>
      <c r="P1793">
        <v>2025</v>
      </c>
      <c r="Q1793" t="s">
        <v>3644</v>
      </c>
      <c r="R1793">
        <v>234.80099999999999</v>
      </c>
      <c r="S1793">
        <v>0.310049786840772</v>
      </c>
      <c r="T1793" t="s">
        <v>3632</v>
      </c>
      <c r="U1793" t="s">
        <v>3633</v>
      </c>
    </row>
    <row r="1794" spans="1:21" x14ac:dyDescent="0.25">
      <c r="A1794" t="s">
        <v>3296</v>
      </c>
      <c r="B1794" s="1">
        <v>45923</v>
      </c>
      <c r="C1794" t="s">
        <v>2559</v>
      </c>
      <c r="D1794" t="s">
        <v>30</v>
      </c>
      <c r="E1794" t="s">
        <v>37</v>
      </c>
      <c r="F1794" t="s">
        <v>26</v>
      </c>
      <c r="G1794" t="s">
        <v>32</v>
      </c>
      <c r="H1794" t="s">
        <v>82</v>
      </c>
      <c r="I1794">
        <v>12</v>
      </c>
      <c r="J1794">
        <v>9.02</v>
      </c>
      <c r="K1794">
        <v>5</v>
      </c>
      <c r="L1794">
        <v>102.83</v>
      </c>
      <c r="M1794">
        <v>26.58</v>
      </c>
      <c r="N1794">
        <v>27.54</v>
      </c>
      <c r="O1794" t="s">
        <v>22</v>
      </c>
      <c r="P1794">
        <v>2025</v>
      </c>
      <c r="Q1794" t="s">
        <v>3644</v>
      </c>
      <c r="R1794">
        <v>97.688500000000005</v>
      </c>
      <c r="S1794">
        <v>0.281916499895075</v>
      </c>
      <c r="T1794" t="s">
        <v>3632</v>
      </c>
      <c r="U1794" t="s">
        <v>3633</v>
      </c>
    </row>
    <row r="1795" spans="1:21" x14ac:dyDescent="0.25">
      <c r="A1795" t="s">
        <v>3297</v>
      </c>
      <c r="B1795" s="1">
        <v>45923</v>
      </c>
      <c r="C1795" t="s">
        <v>3298</v>
      </c>
      <c r="D1795" t="s">
        <v>49</v>
      </c>
      <c r="E1795" t="s">
        <v>18</v>
      </c>
      <c r="F1795" t="s">
        <v>19</v>
      </c>
      <c r="G1795" t="s">
        <v>42</v>
      </c>
      <c r="H1795" t="s">
        <v>294</v>
      </c>
      <c r="I1795">
        <v>6</v>
      </c>
      <c r="J1795">
        <v>118.21</v>
      </c>
      <c r="K1795">
        <v>15</v>
      </c>
      <c r="L1795">
        <v>602.87</v>
      </c>
      <c r="M1795">
        <v>11.16</v>
      </c>
      <c r="N1795">
        <v>166.15</v>
      </c>
      <c r="O1795" t="s">
        <v>34</v>
      </c>
      <c r="P1795">
        <v>2025</v>
      </c>
      <c r="Q1795" t="s">
        <v>3644</v>
      </c>
      <c r="R1795">
        <v>512.43949999999995</v>
      </c>
      <c r="S1795">
        <v>0.32423339730836498</v>
      </c>
      <c r="T1795" t="s">
        <v>3635</v>
      </c>
      <c r="U1795" t="s">
        <v>3633</v>
      </c>
    </row>
    <row r="1796" spans="1:21" x14ac:dyDescent="0.25">
      <c r="A1796" t="s">
        <v>3299</v>
      </c>
      <c r="B1796" s="1">
        <v>45924</v>
      </c>
      <c r="C1796" t="s">
        <v>3300</v>
      </c>
      <c r="D1796" t="s">
        <v>30</v>
      </c>
      <c r="E1796" t="s">
        <v>248</v>
      </c>
      <c r="F1796" t="s">
        <v>26</v>
      </c>
      <c r="G1796" t="s">
        <v>32</v>
      </c>
      <c r="H1796" t="s">
        <v>115</v>
      </c>
      <c r="I1796">
        <v>1</v>
      </c>
      <c r="J1796">
        <v>15.04</v>
      </c>
      <c r="K1796">
        <v>0</v>
      </c>
      <c r="L1796">
        <v>15.04</v>
      </c>
      <c r="M1796">
        <v>9.15</v>
      </c>
      <c r="N1796">
        <v>-0.88</v>
      </c>
      <c r="O1796" t="s">
        <v>22</v>
      </c>
      <c r="P1796">
        <v>2025</v>
      </c>
      <c r="Q1796" t="s">
        <v>3644</v>
      </c>
      <c r="R1796">
        <v>15.04</v>
      </c>
      <c r="S1796">
        <v>-5.85106382978723E-2</v>
      </c>
      <c r="T1796" t="s">
        <v>3634</v>
      </c>
      <c r="U1796" t="s">
        <v>3636</v>
      </c>
    </row>
    <row r="1797" spans="1:21" x14ac:dyDescent="0.25">
      <c r="A1797" t="s">
        <v>3301</v>
      </c>
      <c r="B1797" s="1">
        <v>45924</v>
      </c>
      <c r="C1797" t="s">
        <v>401</v>
      </c>
      <c r="D1797" t="s">
        <v>30</v>
      </c>
      <c r="E1797" t="s">
        <v>138</v>
      </c>
      <c r="F1797" t="s">
        <v>54</v>
      </c>
      <c r="G1797" t="s">
        <v>32</v>
      </c>
      <c r="H1797" t="s">
        <v>132</v>
      </c>
      <c r="I1797">
        <v>7</v>
      </c>
      <c r="J1797">
        <v>7.09</v>
      </c>
      <c r="K1797">
        <v>5</v>
      </c>
      <c r="L1797">
        <v>47.15</v>
      </c>
      <c r="M1797">
        <v>17.72</v>
      </c>
      <c r="N1797">
        <v>7.1</v>
      </c>
      <c r="O1797" t="s">
        <v>39</v>
      </c>
      <c r="P1797">
        <v>2025</v>
      </c>
      <c r="Q1797" t="s">
        <v>3644</v>
      </c>
      <c r="R1797">
        <v>44.792499999999997</v>
      </c>
      <c r="S1797">
        <v>0.15850867890829901</v>
      </c>
      <c r="T1797" t="s">
        <v>3634</v>
      </c>
      <c r="U1797" t="s">
        <v>3633</v>
      </c>
    </row>
    <row r="1798" spans="1:21" x14ac:dyDescent="0.25">
      <c r="A1798" t="s">
        <v>3302</v>
      </c>
      <c r="B1798" s="1">
        <v>45925</v>
      </c>
      <c r="C1798" t="s">
        <v>3303</v>
      </c>
      <c r="D1798" t="s">
        <v>30</v>
      </c>
      <c r="E1798" t="s">
        <v>85</v>
      </c>
      <c r="F1798" t="s">
        <v>60</v>
      </c>
      <c r="G1798" t="s">
        <v>42</v>
      </c>
      <c r="H1798" t="s">
        <v>46</v>
      </c>
      <c r="I1798">
        <v>1</v>
      </c>
      <c r="J1798">
        <v>103.88</v>
      </c>
      <c r="K1798">
        <v>5</v>
      </c>
      <c r="L1798">
        <v>98.69</v>
      </c>
      <c r="M1798">
        <v>9.92</v>
      </c>
      <c r="N1798">
        <v>26.44</v>
      </c>
      <c r="O1798" t="s">
        <v>56</v>
      </c>
      <c r="P1798">
        <v>2025</v>
      </c>
      <c r="Q1798" t="s">
        <v>3644</v>
      </c>
      <c r="R1798">
        <v>93.755499999999998</v>
      </c>
      <c r="S1798">
        <v>0.28201012207283799</v>
      </c>
      <c r="T1798" t="s">
        <v>3634</v>
      </c>
      <c r="U1798" t="s">
        <v>3633</v>
      </c>
    </row>
    <row r="1799" spans="1:21" x14ac:dyDescent="0.25">
      <c r="A1799" t="s">
        <v>3304</v>
      </c>
      <c r="B1799" s="1">
        <v>45925</v>
      </c>
      <c r="C1799" t="s">
        <v>3305</v>
      </c>
      <c r="D1799" t="s">
        <v>30</v>
      </c>
      <c r="E1799" t="s">
        <v>37</v>
      </c>
      <c r="F1799" t="s">
        <v>26</v>
      </c>
      <c r="G1799" t="s">
        <v>32</v>
      </c>
      <c r="H1799" t="s">
        <v>132</v>
      </c>
      <c r="I1799">
        <v>4</v>
      </c>
      <c r="J1799">
        <v>15.78</v>
      </c>
      <c r="K1799">
        <v>10</v>
      </c>
      <c r="L1799">
        <v>56.81</v>
      </c>
      <c r="M1799">
        <v>13.58</v>
      </c>
      <c r="N1799">
        <v>14.83</v>
      </c>
      <c r="O1799" t="s">
        <v>39</v>
      </c>
      <c r="P1799">
        <v>2025</v>
      </c>
      <c r="Q1799" t="s">
        <v>3644</v>
      </c>
      <c r="R1799">
        <v>51.128999999999998</v>
      </c>
      <c r="S1799">
        <v>0.290050656183379</v>
      </c>
      <c r="T1799" t="s">
        <v>3634</v>
      </c>
      <c r="U1799" t="s">
        <v>3633</v>
      </c>
    </row>
    <row r="1800" spans="1:21" x14ac:dyDescent="0.25">
      <c r="A1800" t="s">
        <v>3306</v>
      </c>
      <c r="B1800" s="1">
        <v>45925</v>
      </c>
      <c r="C1800" t="s">
        <v>3307</v>
      </c>
      <c r="D1800" t="s">
        <v>49</v>
      </c>
      <c r="E1800" t="s">
        <v>129</v>
      </c>
      <c r="F1800" t="s">
        <v>19</v>
      </c>
      <c r="G1800" t="s">
        <v>32</v>
      </c>
      <c r="H1800" t="s">
        <v>348</v>
      </c>
      <c r="I1800">
        <v>4</v>
      </c>
      <c r="J1800">
        <v>10.63</v>
      </c>
      <c r="K1800">
        <v>5</v>
      </c>
      <c r="L1800">
        <v>40.39</v>
      </c>
      <c r="M1800">
        <v>11.15</v>
      </c>
      <c r="N1800">
        <v>10.11</v>
      </c>
      <c r="O1800" t="s">
        <v>34</v>
      </c>
      <c r="P1800">
        <v>2025</v>
      </c>
      <c r="Q1800" t="s">
        <v>3644</v>
      </c>
      <c r="R1800">
        <v>38.3705</v>
      </c>
      <c r="S1800">
        <v>0.26348366583703597</v>
      </c>
      <c r="T1800" t="s">
        <v>3634</v>
      </c>
      <c r="U1800" t="s">
        <v>3633</v>
      </c>
    </row>
    <row r="1801" spans="1:21" x14ac:dyDescent="0.25">
      <c r="A1801" t="s">
        <v>3308</v>
      </c>
      <c r="B1801" s="1">
        <v>45925</v>
      </c>
      <c r="C1801" t="s">
        <v>3309</v>
      </c>
      <c r="D1801" t="s">
        <v>17</v>
      </c>
      <c r="E1801" t="s">
        <v>135</v>
      </c>
      <c r="F1801" t="s">
        <v>26</v>
      </c>
      <c r="G1801" t="s">
        <v>69</v>
      </c>
      <c r="H1801" t="s">
        <v>86</v>
      </c>
      <c r="I1801">
        <v>1</v>
      </c>
      <c r="J1801">
        <v>78.87</v>
      </c>
      <c r="K1801">
        <v>25</v>
      </c>
      <c r="L1801">
        <v>59.15</v>
      </c>
      <c r="M1801">
        <v>8.91</v>
      </c>
      <c r="N1801">
        <v>10.8</v>
      </c>
      <c r="O1801" t="s">
        <v>39</v>
      </c>
      <c r="P1801">
        <v>2025</v>
      </c>
      <c r="Q1801" t="s">
        <v>3644</v>
      </c>
      <c r="R1801">
        <v>44.362499999999997</v>
      </c>
      <c r="S1801">
        <v>0.243448858833474</v>
      </c>
      <c r="T1801" t="s">
        <v>3634</v>
      </c>
      <c r="U1801" t="s">
        <v>3633</v>
      </c>
    </row>
    <row r="1802" spans="1:21" x14ac:dyDescent="0.25">
      <c r="A1802" t="s">
        <v>3310</v>
      </c>
      <c r="B1802" s="1">
        <v>45926</v>
      </c>
      <c r="C1802" t="s">
        <v>2378</v>
      </c>
      <c r="D1802" t="s">
        <v>30</v>
      </c>
      <c r="E1802" t="s">
        <v>25</v>
      </c>
      <c r="F1802" t="s">
        <v>26</v>
      </c>
      <c r="G1802" t="s">
        <v>20</v>
      </c>
      <c r="H1802" t="s">
        <v>21</v>
      </c>
      <c r="I1802">
        <v>2</v>
      </c>
      <c r="J1802">
        <v>153.30000000000001</v>
      </c>
      <c r="K1802">
        <v>5</v>
      </c>
      <c r="L1802">
        <v>291.27</v>
      </c>
      <c r="M1802">
        <v>8.25</v>
      </c>
      <c r="N1802">
        <v>114.39</v>
      </c>
      <c r="O1802" t="s">
        <v>22</v>
      </c>
      <c r="P1802">
        <v>2025</v>
      </c>
      <c r="Q1802" t="s">
        <v>3644</v>
      </c>
      <c r="R1802">
        <v>276.70650000000001</v>
      </c>
      <c r="S1802">
        <v>0.41339831192978799</v>
      </c>
      <c r="T1802" t="s">
        <v>3632</v>
      </c>
      <c r="U1802" t="s">
        <v>3633</v>
      </c>
    </row>
    <row r="1803" spans="1:21" x14ac:dyDescent="0.25">
      <c r="A1803" t="s">
        <v>3311</v>
      </c>
      <c r="B1803" s="1">
        <v>45926</v>
      </c>
      <c r="C1803" t="s">
        <v>3312</v>
      </c>
      <c r="D1803" t="s">
        <v>17</v>
      </c>
      <c r="E1803" t="s">
        <v>53</v>
      </c>
      <c r="F1803" t="s">
        <v>54</v>
      </c>
      <c r="G1803" t="s">
        <v>20</v>
      </c>
      <c r="H1803" t="s">
        <v>21</v>
      </c>
      <c r="I1803">
        <v>2</v>
      </c>
      <c r="J1803">
        <v>171.18</v>
      </c>
      <c r="K1803">
        <v>10</v>
      </c>
      <c r="L1803">
        <v>308.12</v>
      </c>
      <c r="M1803">
        <v>12.02</v>
      </c>
      <c r="N1803">
        <v>107.8</v>
      </c>
      <c r="O1803" t="s">
        <v>22</v>
      </c>
      <c r="P1803">
        <v>2025</v>
      </c>
      <c r="Q1803" t="s">
        <v>3644</v>
      </c>
      <c r="R1803">
        <v>277.30799999999999</v>
      </c>
      <c r="S1803">
        <v>0.38873743274625999</v>
      </c>
      <c r="T1803" t="s">
        <v>3632</v>
      </c>
      <c r="U1803" t="s">
        <v>3633</v>
      </c>
    </row>
    <row r="1804" spans="1:21" x14ac:dyDescent="0.25">
      <c r="A1804" t="s">
        <v>3313</v>
      </c>
      <c r="B1804" s="1">
        <v>45926</v>
      </c>
      <c r="C1804" t="s">
        <v>217</v>
      </c>
      <c r="D1804" t="s">
        <v>17</v>
      </c>
      <c r="E1804" t="s">
        <v>85</v>
      </c>
      <c r="F1804" t="s">
        <v>60</v>
      </c>
      <c r="G1804" t="s">
        <v>32</v>
      </c>
      <c r="H1804" t="s">
        <v>132</v>
      </c>
      <c r="I1804">
        <v>3</v>
      </c>
      <c r="J1804">
        <v>11.89</v>
      </c>
      <c r="K1804">
        <v>25</v>
      </c>
      <c r="L1804">
        <v>26.75</v>
      </c>
      <c r="M1804">
        <v>12.8</v>
      </c>
      <c r="N1804">
        <v>-2.1</v>
      </c>
      <c r="O1804" t="s">
        <v>39</v>
      </c>
      <c r="P1804">
        <v>2025</v>
      </c>
      <c r="Q1804" t="s">
        <v>3644</v>
      </c>
      <c r="R1804">
        <v>20.0625</v>
      </c>
      <c r="S1804">
        <v>-0.10467289719626199</v>
      </c>
      <c r="T1804" t="s">
        <v>3634</v>
      </c>
      <c r="U1804" t="s">
        <v>3636</v>
      </c>
    </row>
    <row r="1805" spans="1:21" x14ac:dyDescent="0.25">
      <c r="A1805" t="s">
        <v>3314</v>
      </c>
      <c r="B1805" s="1">
        <v>45927</v>
      </c>
      <c r="C1805" t="s">
        <v>352</v>
      </c>
      <c r="D1805" t="s">
        <v>17</v>
      </c>
      <c r="E1805" t="s">
        <v>31</v>
      </c>
      <c r="F1805" t="s">
        <v>19</v>
      </c>
      <c r="G1805" t="s">
        <v>20</v>
      </c>
      <c r="H1805" t="s">
        <v>199</v>
      </c>
      <c r="I1805">
        <v>10</v>
      </c>
      <c r="J1805">
        <v>198.45</v>
      </c>
      <c r="K1805">
        <v>10</v>
      </c>
      <c r="L1805">
        <v>1786.05</v>
      </c>
      <c r="M1805">
        <v>26.78</v>
      </c>
      <c r="N1805">
        <v>667.79</v>
      </c>
      <c r="O1805" t="s">
        <v>34</v>
      </c>
      <c r="P1805">
        <v>2025</v>
      </c>
      <c r="Q1805" t="s">
        <v>3644</v>
      </c>
      <c r="R1805">
        <v>1607.4449999999999</v>
      </c>
      <c r="S1805">
        <v>0.41543567587071401</v>
      </c>
      <c r="T1805" t="s">
        <v>3635</v>
      </c>
      <c r="U1805" t="s">
        <v>3633</v>
      </c>
    </row>
    <row r="1806" spans="1:21" x14ac:dyDescent="0.25">
      <c r="A1806" t="s">
        <v>3315</v>
      </c>
      <c r="B1806" s="1">
        <v>45927</v>
      </c>
      <c r="C1806" t="s">
        <v>3316</v>
      </c>
      <c r="D1806" t="s">
        <v>17</v>
      </c>
      <c r="E1806" t="s">
        <v>18</v>
      </c>
      <c r="F1806" t="s">
        <v>19</v>
      </c>
      <c r="G1806" t="s">
        <v>32</v>
      </c>
      <c r="H1806" t="s">
        <v>50</v>
      </c>
      <c r="I1806">
        <v>7</v>
      </c>
      <c r="J1806">
        <v>13.33</v>
      </c>
      <c r="K1806">
        <v>10</v>
      </c>
      <c r="L1806">
        <v>83.98</v>
      </c>
      <c r="M1806">
        <v>10.58</v>
      </c>
      <c r="N1806">
        <v>31.41</v>
      </c>
      <c r="O1806" t="s">
        <v>34</v>
      </c>
      <c r="P1806">
        <v>2025</v>
      </c>
      <c r="Q1806" t="s">
        <v>3644</v>
      </c>
      <c r="R1806">
        <v>75.581999999999994</v>
      </c>
      <c r="S1806">
        <v>0.41557513693736597</v>
      </c>
      <c r="T1806" t="s">
        <v>3634</v>
      </c>
      <c r="U1806" t="s">
        <v>3633</v>
      </c>
    </row>
    <row r="1807" spans="1:21" x14ac:dyDescent="0.25">
      <c r="A1807" t="s">
        <v>3317</v>
      </c>
      <c r="B1807" s="1">
        <v>45928</v>
      </c>
      <c r="C1807" t="s">
        <v>754</v>
      </c>
      <c r="D1807" t="s">
        <v>30</v>
      </c>
      <c r="E1807" t="s">
        <v>129</v>
      </c>
      <c r="F1807" t="s">
        <v>19</v>
      </c>
      <c r="G1807" t="s">
        <v>32</v>
      </c>
      <c r="H1807" t="s">
        <v>110</v>
      </c>
      <c r="I1807">
        <v>2</v>
      </c>
      <c r="J1807">
        <v>4.32</v>
      </c>
      <c r="K1807">
        <v>0</v>
      </c>
      <c r="L1807">
        <v>8.64</v>
      </c>
      <c r="M1807">
        <v>9.4</v>
      </c>
      <c r="N1807">
        <v>-4.6500000000000004</v>
      </c>
      <c r="O1807" t="s">
        <v>39</v>
      </c>
      <c r="P1807">
        <v>2025</v>
      </c>
      <c r="Q1807" t="s">
        <v>3644</v>
      </c>
      <c r="R1807">
        <v>8.64</v>
      </c>
      <c r="S1807">
        <v>-0.53819444444444398</v>
      </c>
      <c r="T1807" t="s">
        <v>3634</v>
      </c>
      <c r="U1807" t="s">
        <v>3636</v>
      </c>
    </row>
    <row r="1808" spans="1:21" x14ac:dyDescent="0.25">
      <c r="A1808" t="s">
        <v>3318</v>
      </c>
      <c r="B1808" s="1">
        <v>45928</v>
      </c>
      <c r="C1808" t="s">
        <v>2352</v>
      </c>
      <c r="D1808" t="s">
        <v>30</v>
      </c>
      <c r="E1808" t="s">
        <v>166</v>
      </c>
      <c r="F1808" t="s">
        <v>60</v>
      </c>
      <c r="G1808" t="s">
        <v>20</v>
      </c>
      <c r="H1808" t="s">
        <v>38</v>
      </c>
      <c r="I1808">
        <v>2</v>
      </c>
      <c r="J1808">
        <v>62.91</v>
      </c>
      <c r="K1808">
        <v>10</v>
      </c>
      <c r="L1808">
        <v>113.24</v>
      </c>
      <c r="M1808">
        <v>11.57</v>
      </c>
      <c r="N1808">
        <v>32.47</v>
      </c>
      <c r="O1808" t="s">
        <v>39</v>
      </c>
      <c r="P1808">
        <v>2025</v>
      </c>
      <c r="Q1808" t="s">
        <v>3644</v>
      </c>
      <c r="R1808">
        <v>101.916</v>
      </c>
      <c r="S1808">
        <v>0.31859570626790701</v>
      </c>
      <c r="T1808" t="s">
        <v>3632</v>
      </c>
      <c r="U1808" t="s">
        <v>3633</v>
      </c>
    </row>
    <row r="1809" spans="1:21" x14ac:dyDescent="0.25">
      <c r="A1809" t="s">
        <v>3319</v>
      </c>
      <c r="B1809" s="1">
        <v>45929</v>
      </c>
      <c r="C1809" t="s">
        <v>3320</v>
      </c>
      <c r="D1809" t="s">
        <v>30</v>
      </c>
      <c r="E1809" t="s">
        <v>248</v>
      </c>
      <c r="F1809" t="s">
        <v>26</v>
      </c>
      <c r="G1809" t="s">
        <v>42</v>
      </c>
      <c r="H1809" t="s">
        <v>255</v>
      </c>
      <c r="I1809">
        <v>4</v>
      </c>
      <c r="J1809">
        <v>41.86</v>
      </c>
      <c r="K1809">
        <v>10</v>
      </c>
      <c r="L1809">
        <v>150.69999999999999</v>
      </c>
      <c r="M1809">
        <v>11.78</v>
      </c>
      <c r="N1809">
        <v>38.46</v>
      </c>
      <c r="O1809" t="s">
        <v>56</v>
      </c>
      <c r="P1809">
        <v>2025</v>
      </c>
      <c r="Q1809" t="s">
        <v>3644</v>
      </c>
      <c r="R1809">
        <v>135.63</v>
      </c>
      <c r="S1809">
        <v>0.28356558283565603</v>
      </c>
      <c r="T1809" t="s">
        <v>3632</v>
      </c>
      <c r="U1809" t="s">
        <v>3633</v>
      </c>
    </row>
    <row r="1810" spans="1:21" x14ac:dyDescent="0.25">
      <c r="A1810" t="s">
        <v>3321</v>
      </c>
      <c r="B1810" s="1">
        <v>45929</v>
      </c>
      <c r="C1810" t="s">
        <v>1076</v>
      </c>
      <c r="D1810" t="s">
        <v>17</v>
      </c>
      <c r="E1810" t="s">
        <v>53</v>
      </c>
      <c r="F1810" t="s">
        <v>54</v>
      </c>
      <c r="G1810" t="s">
        <v>20</v>
      </c>
      <c r="H1810" t="s">
        <v>122</v>
      </c>
      <c r="I1810">
        <v>2</v>
      </c>
      <c r="J1810">
        <v>116.5</v>
      </c>
      <c r="K1810">
        <v>0</v>
      </c>
      <c r="L1810">
        <v>233</v>
      </c>
      <c r="M1810">
        <v>15.18</v>
      </c>
      <c r="N1810">
        <v>89.67</v>
      </c>
      <c r="O1810" t="s">
        <v>56</v>
      </c>
      <c r="P1810">
        <v>2025</v>
      </c>
      <c r="Q1810" t="s">
        <v>3644</v>
      </c>
      <c r="R1810">
        <v>233</v>
      </c>
      <c r="S1810">
        <v>0.38484978540772502</v>
      </c>
      <c r="T1810" t="s">
        <v>3632</v>
      </c>
      <c r="U1810" t="s">
        <v>3633</v>
      </c>
    </row>
    <row r="1811" spans="1:21" x14ac:dyDescent="0.25">
      <c r="A1811" t="s">
        <v>3322</v>
      </c>
      <c r="B1811" s="1">
        <v>45929</v>
      </c>
      <c r="C1811" t="s">
        <v>3323</v>
      </c>
      <c r="D1811" t="s">
        <v>17</v>
      </c>
      <c r="E1811" t="s">
        <v>63</v>
      </c>
      <c r="F1811" t="s">
        <v>54</v>
      </c>
      <c r="G1811" t="s">
        <v>42</v>
      </c>
      <c r="H1811" t="s">
        <v>294</v>
      </c>
      <c r="I1811">
        <v>3</v>
      </c>
      <c r="J1811">
        <v>190.05</v>
      </c>
      <c r="K1811">
        <v>10</v>
      </c>
      <c r="L1811">
        <v>513.14</v>
      </c>
      <c r="M1811">
        <v>17.04</v>
      </c>
      <c r="N1811">
        <v>154.01</v>
      </c>
      <c r="O1811" t="s">
        <v>56</v>
      </c>
      <c r="P1811">
        <v>2025</v>
      </c>
      <c r="Q1811" t="s">
        <v>3644</v>
      </c>
      <c r="R1811">
        <v>461.82600000000002</v>
      </c>
      <c r="S1811">
        <v>0.33348057493514899</v>
      </c>
      <c r="T1811" t="s">
        <v>3635</v>
      </c>
      <c r="U1811" t="s">
        <v>3633</v>
      </c>
    </row>
    <row r="1812" spans="1:21" x14ac:dyDescent="0.25">
      <c r="A1812" t="s">
        <v>3324</v>
      </c>
      <c r="B1812" s="1">
        <v>45930</v>
      </c>
      <c r="C1812" t="s">
        <v>3325</v>
      </c>
      <c r="D1812" t="s">
        <v>30</v>
      </c>
      <c r="E1812" t="s">
        <v>92</v>
      </c>
      <c r="F1812" t="s">
        <v>60</v>
      </c>
      <c r="G1812" t="s">
        <v>42</v>
      </c>
      <c r="H1812" t="s">
        <v>64</v>
      </c>
      <c r="I1812">
        <v>2</v>
      </c>
      <c r="J1812">
        <v>63.03</v>
      </c>
      <c r="K1812">
        <v>10</v>
      </c>
      <c r="L1812">
        <v>113.45</v>
      </c>
      <c r="M1812">
        <v>10.28</v>
      </c>
      <c r="N1812">
        <v>27.53</v>
      </c>
      <c r="O1812" t="s">
        <v>22</v>
      </c>
      <c r="P1812">
        <v>2025</v>
      </c>
      <c r="Q1812" t="s">
        <v>3644</v>
      </c>
      <c r="R1812">
        <v>102.105</v>
      </c>
      <c r="S1812">
        <v>0.26962440624847001</v>
      </c>
      <c r="T1812" t="s">
        <v>3632</v>
      </c>
      <c r="U1812" t="s">
        <v>3633</v>
      </c>
    </row>
    <row r="1813" spans="1:21" x14ac:dyDescent="0.25">
      <c r="A1813" t="s">
        <v>3326</v>
      </c>
      <c r="B1813" s="1">
        <v>45930</v>
      </c>
      <c r="C1813" t="s">
        <v>3327</v>
      </c>
      <c r="D1813" t="s">
        <v>30</v>
      </c>
      <c r="E1813" t="s">
        <v>135</v>
      </c>
      <c r="F1813" t="s">
        <v>26</v>
      </c>
      <c r="G1813" t="s">
        <v>69</v>
      </c>
      <c r="H1813" t="s">
        <v>79</v>
      </c>
      <c r="I1813">
        <v>4</v>
      </c>
      <c r="J1813">
        <v>55.18</v>
      </c>
      <c r="K1813">
        <v>20</v>
      </c>
      <c r="L1813">
        <v>176.58</v>
      </c>
      <c r="M1813">
        <v>14.34</v>
      </c>
      <c r="N1813">
        <v>51.88</v>
      </c>
      <c r="O1813" t="s">
        <v>22</v>
      </c>
      <c r="P1813">
        <v>2025</v>
      </c>
      <c r="Q1813" t="s">
        <v>3644</v>
      </c>
      <c r="R1813">
        <v>141.26400000000001</v>
      </c>
      <c r="S1813">
        <v>0.367255634839733</v>
      </c>
      <c r="T1813" t="s">
        <v>3632</v>
      </c>
      <c r="U1813" t="s">
        <v>3633</v>
      </c>
    </row>
    <row r="1814" spans="1:21" x14ac:dyDescent="0.25">
      <c r="A1814" t="s">
        <v>3328</v>
      </c>
      <c r="B1814" s="1">
        <v>45931</v>
      </c>
      <c r="C1814" t="s">
        <v>327</v>
      </c>
      <c r="D1814" t="s">
        <v>17</v>
      </c>
      <c r="E1814" t="s">
        <v>92</v>
      </c>
      <c r="F1814" t="s">
        <v>60</v>
      </c>
      <c r="G1814" t="s">
        <v>20</v>
      </c>
      <c r="H1814" t="s">
        <v>199</v>
      </c>
      <c r="I1814">
        <v>2</v>
      </c>
      <c r="J1814">
        <v>190.58</v>
      </c>
      <c r="K1814">
        <v>15</v>
      </c>
      <c r="L1814">
        <v>323.99</v>
      </c>
      <c r="M1814">
        <v>12.64</v>
      </c>
      <c r="N1814">
        <v>101.71</v>
      </c>
      <c r="O1814" t="s">
        <v>34</v>
      </c>
      <c r="P1814">
        <v>2025</v>
      </c>
      <c r="Q1814" t="s">
        <v>3645</v>
      </c>
      <c r="R1814">
        <v>275.39150000000001</v>
      </c>
      <c r="S1814">
        <v>0.369328755607925</v>
      </c>
      <c r="T1814" t="s">
        <v>3632</v>
      </c>
      <c r="U1814" t="s">
        <v>3633</v>
      </c>
    </row>
    <row r="1815" spans="1:21" x14ac:dyDescent="0.25">
      <c r="A1815" t="s">
        <v>3329</v>
      </c>
      <c r="B1815" s="1">
        <v>45931</v>
      </c>
      <c r="C1815" t="s">
        <v>3330</v>
      </c>
      <c r="D1815" t="s">
        <v>49</v>
      </c>
      <c r="E1815" t="s">
        <v>166</v>
      </c>
      <c r="F1815" t="s">
        <v>60</v>
      </c>
      <c r="G1815" t="s">
        <v>32</v>
      </c>
      <c r="H1815" t="s">
        <v>82</v>
      </c>
      <c r="I1815">
        <v>5</v>
      </c>
      <c r="J1815">
        <v>14.09</v>
      </c>
      <c r="K1815">
        <v>5</v>
      </c>
      <c r="L1815">
        <v>66.930000000000007</v>
      </c>
      <c r="M1815">
        <v>13.7</v>
      </c>
      <c r="N1815">
        <v>21.53</v>
      </c>
      <c r="O1815" t="s">
        <v>34</v>
      </c>
      <c r="P1815">
        <v>2025</v>
      </c>
      <c r="Q1815" t="s">
        <v>3645</v>
      </c>
      <c r="R1815">
        <v>63.583500000000001</v>
      </c>
      <c r="S1815">
        <v>0.33860985947612199</v>
      </c>
      <c r="T1815" t="s">
        <v>3634</v>
      </c>
      <c r="U1815" t="s">
        <v>3633</v>
      </c>
    </row>
    <row r="1816" spans="1:21" x14ac:dyDescent="0.25">
      <c r="A1816" t="s">
        <v>3331</v>
      </c>
      <c r="B1816" s="1">
        <v>45931</v>
      </c>
      <c r="C1816" t="s">
        <v>3332</v>
      </c>
      <c r="D1816" t="s">
        <v>49</v>
      </c>
      <c r="E1816" t="s">
        <v>92</v>
      </c>
      <c r="F1816" t="s">
        <v>60</v>
      </c>
      <c r="G1816" t="s">
        <v>20</v>
      </c>
      <c r="H1816" t="s">
        <v>175</v>
      </c>
      <c r="I1816">
        <v>6</v>
      </c>
      <c r="J1816">
        <v>26.66</v>
      </c>
      <c r="K1816">
        <v>0</v>
      </c>
      <c r="L1816">
        <v>159.96</v>
      </c>
      <c r="M1816">
        <v>19.350000000000001</v>
      </c>
      <c r="N1816">
        <v>52.63</v>
      </c>
      <c r="O1816" t="s">
        <v>34</v>
      </c>
      <c r="P1816">
        <v>2025</v>
      </c>
      <c r="Q1816" t="s">
        <v>3645</v>
      </c>
      <c r="R1816">
        <v>159.96</v>
      </c>
      <c r="S1816">
        <v>0.32901975493873498</v>
      </c>
      <c r="T1816" t="s">
        <v>3632</v>
      </c>
      <c r="U1816" t="s">
        <v>3633</v>
      </c>
    </row>
    <row r="1817" spans="1:21" x14ac:dyDescent="0.25">
      <c r="A1817" t="s">
        <v>3333</v>
      </c>
      <c r="B1817" s="1">
        <v>45931</v>
      </c>
      <c r="C1817" t="s">
        <v>3334</v>
      </c>
      <c r="D1817" t="s">
        <v>30</v>
      </c>
      <c r="E1817" t="s">
        <v>109</v>
      </c>
      <c r="F1817" t="s">
        <v>54</v>
      </c>
      <c r="G1817" t="s">
        <v>20</v>
      </c>
      <c r="H1817" t="s">
        <v>122</v>
      </c>
      <c r="I1817">
        <v>2</v>
      </c>
      <c r="J1817">
        <v>109.17</v>
      </c>
      <c r="K1817">
        <v>5</v>
      </c>
      <c r="L1817">
        <v>207.42</v>
      </c>
      <c r="M1817">
        <v>13.67</v>
      </c>
      <c r="N1817">
        <v>73.66</v>
      </c>
      <c r="O1817" t="s">
        <v>39</v>
      </c>
      <c r="P1817">
        <v>2025</v>
      </c>
      <c r="Q1817" t="s">
        <v>3645</v>
      </c>
      <c r="R1817">
        <v>197.04900000000001</v>
      </c>
      <c r="S1817">
        <v>0.37381564991448801</v>
      </c>
      <c r="T1817" t="s">
        <v>3632</v>
      </c>
      <c r="U1817" t="s">
        <v>3633</v>
      </c>
    </row>
    <row r="1818" spans="1:21" x14ac:dyDescent="0.25">
      <c r="A1818" t="s">
        <v>3335</v>
      </c>
      <c r="B1818" s="1">
        <v>45932</v>
      </c>
      <c r="C1818" t="s">
        <v>3336</v>
      </c>
      <c r="D1818" t="s">
        <v>49</v>
      </c>
      <c r="E1818" t="s">
        <v>248</v>
      </c>
      <c r="F1818" t="s">
        <v>26</v>
      </c>
      <c r="G1818" t="s">
        <v>20</v>
      </c>
      <c r="H1818" t="s">
        <v>170</v>
      </c>
      <c r="I1818">
        <v>10</v>
      </c>
      <c r="J1818">
        <v>34.31</v>
      </c>
      <c r="K1818">
        <v>10</v>
      </c>
      <c r="L1818">
        <v>308.79000000000002</v>
      </c>
      <c r="M1818">
        <v>21.64</v>
      </c>
      <c r="N1818">
        <v>98.44</v>
      </c>
      <c r="O1818" t="s">
        <v>39</v>
      </c>
      <c r="P1818">
        <v>2025</v>
      </c>
      <c r="Q1818" t="s">
        <v>3645</v>
      </c>
      <c r="R1818">
        <v>277.911</v>
      </c>
      <c r="S1818">
        <v>0.35421411890857102</v>
      </c>
      <c r="T1818" t="s">
        <v>3632</v>
      </c>
      <c r="U1818" t="s">
        <v>3633</v>
      </c>
    </row>
    <row r="1819" spans="1:21" x14ac:dyDescent="0.25">
      <c r="A1819" t="s">
        <v>3337</v>
      </c>
      <c r="B1819" s="1">
        <v>45933</v>
      </c>
      <c r="C1819" t="s">
        <v>413</v>
      </c>
      <c r="D1819" t="s">
        <v>17</v>
      </c>
      <c r="E1819" t="s">
        <v>31</v>
      </c>
      <c r="F1819" t="s">
        <v>19</v>
      </c>
      <c r="G1819" t="s">
        <v>32</v>
      </c>
      <c r="H1819" t="s">
        <v>73</v>
      </c>
      <c r="I1819">
        <v>4</v>
      </c>
      <c r="J1819">
        <v>5.4</v>
      </c>
      <c r="K1819">
        <v>5</v>
      </c>
      <c r="L1819">
        <v>20.52</v>
      </c>
      <c r="M1819">
        <v>10.6</v>
      </c>
      <c r="N1819">
        <v>0.2</v>
      </c>
      <c r="O1819" t="s">
        <v>34</v>
      </c>
      <c r="P1819">
        <v>2025</v>
      </c>
      <c r="Q1819" t="s">
        <v>3645</v>
      </c>
      <c r="R1819">
        <v>19.494</v>
      </c>
      <c r="S1819">
        <v>1.0259567046270599E-2</v>
      </c>
      <c r="T1819" t="s">
        <v>3634</v>
      </c>
      <c r="U1819" t="s">
        <v>3633</v>
      </c>
    </row>
    <row r="1820" spans="1:21" x14ac:dyDescent="0.25">
      <c r="A1820" t="s">
        <v>3338</v>
      </c>
      <c r="B1820" s="1">
        <v>45933</v>
      </c>
      <c r="C1820" t="s">
        <v>3339</v>
      </c>
      <c r="D1820" t="s">
        <v>30</v>
      </c>
      <c r="E1820" t="s">
        <v>18</v>
      </c>
      <c r="F1820" t="s">
        <v>19</v>
      </c>
      <c r="G1820" t="s">
        <v>20</v>
      </c>
      <c r="H1820" t="s">
        <v>55</v>
      </c>
      <c r="I1820">
        <v>2</v>
      </c>
      <c r="J1820">
        <v>56.99</v>
      </c>
      <c r="K1820">
        <v>15</v>
      </c>
      <c r="L1820">
        <v>96.88</v>
      </c>
      <c r="M1820">
        <v>6.66</v>
      </c>
      <c r="N1820">
        <v>27.53</v>
      </c>
      <c r="O1820" t="s">
        <v>34</v>
      </c>
      <c r="P1820">
        <v>2025</v>
      </c>
      <c r="Q1820" t="s">
        <v>3645</v>
      </c>
      <c r="R1820">
        <v>82.347999999999999</v>
      </c>
      <c r="S1820">
        <v>0.33431291591781198</v>
      </c>
      <c r="T1820" t="s">
        <v>3634</v>
      </c>
      <c r="U1820" t="s">
        <v>3633</v>
      </c>
    </row>
    <row r="1821" spans="1:21" x14ac:dyDescent="0.25">
      <c r="A1821" t="s">
        <v>3340</v>
      </c>
      <c r="B1821" s="1">
        <v>45933</v>
      </c>
      <c r="C1821" t="s">
        <v>3128</v>
      </c>
      <c r="D1821" t="s">
        <v>30</v>
      </c>
      <c r="E1821" t="s">
        <v>31</v>
      </c>
      <c r="F1821" t="s">
        <v>19</v>
      </c>
      <c r="G1821" t="s">
        <v>32</v>
      </c>
      <c r="H1821" t="s">
        <v>115</v>
      </c>
      <c r="I1821">
        <v>2</v>
      </c>
      <c r="J1821">
        <v>18.13</v>
      </c>
      <c r="K1821">
        <v>5</v>
      </c>
      <c r="L1821">
        <v>34.450000000000003</v>
      </c>
      <c r="M1821">
        <v>9.51</v>
      </c>
      <c r="N1821">
        <v>8.6199999999999992</v>
      </c>
      <c r="O1821" t="s">
        <v>56</v>
      </c>
      <c r="P1821">
        <v>2025</v>
      </c>
      <c r="Q1821" t="s">
        <v>3645</v>
      </c>
      <c r="R1821">
        <v>32.727499999999999</v>
      </c>
      <c r="S1821">
        <v>0.26338705981208499</v>
      </c>
      <c r="T1821" t="s">
        <v>3634</v>
      </c>
      <c r="U1821" t="s">
        <v>3633</v>
      </c>
    </row>
    <row r="1822" spans="1:21" x14ac:dyDescent="0.25">
      <c r="A1822" t="s">
        <v>3341</v>
      </c>
      <c r="B1822" s="1">
        <v>45934</v>
      </c>
      <c r="C1822" t="s">
        <v>3342</v>
      </c>
      <c r="D1822" t="s">
        <v>30</v>
      </c>
      <c r="E1822" t="s">
        <v>135</v>
      </c>
      <c r="F1822" t="s">
        <v>26</v>
      </c>
      <c r="G1822" t="s">
        <v>20</v>
      </c>
      <c r="H1822" t="s">
        <v>55</v>
      </c>
      <c r="I1822">
        <v>2</v>
      </c>
      <c r="J1822">
        <v>67.56</v>
      </c>
      <c r="K1822">
        <v>5</v>
      </c>
      <c r="L1822">
        <v>128.36000000000001</v>
      </c>
      <c r="M1822">
        <v>9.15</v>
      </c>
      <c r="N1822">
        <v>44.89</v>
      </c>
      <c r="O1822" t="s">
        <v>39</v>
      </c>
      <c r="P1822">
        <v>2025</v>
      </c>
      <c r="Q1822" t="s">
        <v>3645</v>
      </c>
      <c r="R1822">
        <v>121.94199999999999</v>
      </c>
      <c r="S1822">
        <v>0.36812583031277202</v>
      </c>
      <c r="T1822" t="s">
        <v>3632</v>
      </c>
      <c r="U1822" t="s">
        <v>3633</v>
      </c>
    </row>
    <row r="1823" spans="1:21" x14ac:dyDescent="0.25">
      <c r="A1823" t="s">
        <v>3343</v>
      </c>
      <c r="B1823" s="1">
        <v>45935</v>
      </c>
      <c r="C1823" t="s">
        <v>2485</v>
      </c>
      <c r="D1823" t="s">
        <v>17</v>
      </c>
      <c r="E1823" t="s">
        <v>59</v>
      </c>
      <c r="F1823" t="s">
        <v>60</v>
      </c>
      <c r="G1823" t="s">
        <v>42</v>
      </c>
      <c r="H1823" t="s">
        <v>46</v>
      </c>
      <c r="I1823">
        <v>1</v>
      </c>
      <c r="J1823">
        <v>128.66</v>
      </c>
      <c r="K1823">
        <v>5</v>
      </c>
      <c r="L1823">
        <v>122.23</v>
      </c>
      <c r="M1823">
        <v>9.94</v>
      </c>
      <c r="N1823">
        <v>35.090000000000003</v>
      </c>
      <c r="O1823" t="s">
        <v>39</v>
      </c>
      <c r="P1823">
        <v>2025</v>
      </c>
      <c r="Q1823" t="s">
        <v>3645</v>
      </c>
      <c r="R1823">
        <v>116.1185</v>
      </c>
      <c r="S1823">
        <v>0.30219129596059202</v>
      </c>
      <c r="T1823" t="s">
        <v>3632</v>
      </c>
      <c r="U1823" t="s">
        <v>3633</v>
      </c>
    </row>
    <row r="1824" spans="1:21" x14ac:dyDescent="0.25">
      <c r="A1824" t="s">
        <v>3344</v>
      </c>
      <c r="B1824" s="1">
        <v>45935</v>
      </c>
      <c r="C1824" t="s">
        <v>3345</v>
      </c>
      <c r="D1824" t="s">
        <v>30</v>
      </c>
      <c r="E1824" t="s">
        <v>25</v>
      </c>
      <c r="F1824" t="s">
        <v>26</v>
      </c>
      <c r="G1824" t="s">
        <v>42</v>
      </c>
      <c r="H1824" t="s">
        <v>371</v>
      </c>
      <c r="I1824">
        <v>3</v>
      </c>
      <c r="J1824">
        <v>145.38999999999999</v>
      </c>
      <c r="K1824">
        <v>5</v>
      </c>
      <c r="L1824">
        <v>414.36</v>
      </c>
      <c r="M1824">
        <v>11.97</v>
      </c>
      <c r="N1824">
        <v>140.69</v>
      </c>
      <c r="O1824" t="s">
        <v>39</v>
      </c>
      <c r="P1824">
        <v>2025</v>
      </c>
      <c r="Q1824" t="s">
        <v>3645</v>
      </c>
      <c r="R1824">
        <v>393.642</v>
      </c>
      <c r="S1824">
        <v>0.35740596785912099</v>
      </c>
      <c r="T1824" t="s">
        <v>3632</v>
      </c>
      <c r="U1824" t="s">
        <v>3633</v>
      </c>
    </row>
    <row r="1825" spans="1:21" x14ac:dyDescent="0.25">
      <c r="A1825" t="s">
        <v>3346</v>
      </c>
      <c r="B1825" s="1">
        <v>45935</v>
      </c>
      <c r="C1825" t="s">
        <v>3347</v>
      </c>
      <c r="D1825" t="s">
        <v>17</v>
      </c>
      <c r="E1825" t="s">
        <v>31</v>
      </c>
      <c r="F1825" t="s">
        <v>19</v>
      </c>
      <c r="G1825" t="s">
        <v>42</v>
      </c>
      <c r="H1825" t="s">
        <v>89</v>
      </c>
      <c r="I1825">
        <v>2</v>
      </c>
      <c r="J1825">
        <v>301.44</v>
      </c>
      <c r="K1825">
        <v>5</v>
      </c>
      <c r="L1825">
        <v>572.74</v>
      </c>
      <c r="M1825">
        <v>7.89</v>
      </c>
      <c r="N1825">
        <v>203.12</v>
      </c>
      <c r="O1825" t="s">
        <v>34</v>
      </c>
      <c r="P1825">
        <v>2025</v>
      </c>
      <c r="Q1825" t="s">
        <v>3645</v>
      </c>
      <c r="R1825">
        <v>544.10299999999995</v>
      </c>
      <c r="S1825">
        <v>0.37331167076821897</v>
      </c>
      <c r="T1825" t="s">
        <v>3635</v>
      </c>
      <c r="U1825" t="s">
        <v>3633</v>
      </c>
    </row>
    <row r="1826" spans="1:21" x14ac:dyDescent="0.25">
      <c r="A1826" t="s">
        <v>3348</v>
      </c>
      <c r="B1826" s="1">
        <v>45935</v>
      </c>
      <c r="C1826" t="s">
        <v>3349</v>
      </c>
      <c r="D1826" t="s">
        <v>30</v>
      </c>
      <c r="E1826" t="s">
        <v>76</v>
      </c>
      <c r="F1826" t="s">
        <v>26</v>
      </c>
      <c r="G1826" t="s">
        <v>42</v>
      </c>
      <c r="H1826" t="s">
        <v>93</v>
      </c>
      <c r="I1826">
        <v>4</v>
      </c>
      <c r="J1826">
        <v>333.64</v>
      </c>
      <c r="K1826">
        <v>5</v>
      </c>
      <c r="L1826">
        <v>1267.83</v>
      </c>
      <c r="M1826">
        <v>10.24</v>
      </c>
      <c r="N1826">
        <v>456.85</v>
      </c>
      <c r="O1826" t="s">
        <v>56</v>
      </c>
      <c r="P1826">
        <v>2025</v>
      </c>
      <c r="Q1826" t="s">
        <v>3645</v>
      </c>
      <c r="R1826">
        <v>1204.4385</v>
      </c>
      <c r="S1826">
        <v>0.37930537756805399</v>
      </c>
      <c r="T1826" t="s">
        <v>3635</v>
      </c>
      <c r="U1826" t="s">
        <v>3633</v>
      </c>
    </row>
    <row r="1827" spans="1:21" x14ac:dyDescent="0.25">
      <c r="A1827" t="s">
        <v>3350</v>
      </c>
      <c r="B1827" s="1">
        <v>45935</v>
      </c>
      <c r="C1827" t="s">
        <v>2637</v>
      </c>
      <c r="D1827" t="s">
        <v>17</v>
      </c>
      <c r="E1827" t="s">
        <v>59</v>
      </c>
      <c r="F1827" t="s">
        <v>60</v>
      </c>
      <c r="G1827" t="s">
        <v>20</v>
      </c>
      <c r="H1827" t="s">
        <v>106</v>
      </c>
      <c r="I1827">
        <v>15</v>
      </c>
      <c r="J1827">
        <v>57.2</v>
      </c>
      <c r="K1827">
        <v>0</v>
      </c>
      <c r="L1827">
        <v>858</v>
      </c>
      <c r="M1827">
        <v>28.7</v>
      </c>
      <c r="N1827">
        <v>357.4</v>
      </c>
      <c r="O1827" t="s">
        <v>34</v>
      </c>
      <c r="P1827">
        <v>2025</v>
      </c>
      <c r="Q1827" t="s">
        <v>3645</v>
      </c>
      <c r="R1827">
        <v>858</v>
      </c>
      <c r="S1827">
        <v>0.41655011655011698</v>
      </c>
      <c r="T1827" t="s">
        <v>3635</v>
      </c>
      <c r="U1827" t="s">
        <v>3633</v>
      </c>
    </row>
    <row r="1828" spans="1:21" x14ac:dyDescent="0.25">
      <c r="A1828" t="s">
        <v>3351</v>
      </c>
      <c r="B1828" s="1">
        <v>45937</v>
      </c>
      <c r="C1828" t="s">
        <v>3352</v>
      </c>
      <c r="D1828" t="s">
        <v>30</v>
      </c>
      <c r="E1828" t="s">
        <v>31</v>
      </c>
      <c r="F1828" t="s">
        <v>19</v>
      </c>
      <c r="G1828" t="s">
        <v>20</v>
      </c>
      <c r="H1828" t="s">
        <v>264</v>
      </c>
      <c r="I1828">
        <v>9</v>
      </c>
      <c r="J1828">
        <v>60.42</v>
      </c>
      <c r="K1828">
        <v>0</v>
      </c>
      <c r="L1828">
        <v>543.78</v>
      </c>
      <c r="M1828">
        <v>12.46</v>
      </c>
      <c r="N1828">
        <v>232.24</v>
      </c>
      <c r="O1828" t="s">
        <v>34</v>
      </c>
      <c r="P1828">
        <v>2025</v>
      </c>
      <c r="Q1828" t="s">
        <v>3645</v>
      </c>
      <c r="R1828">
        <v>543.78</v>
      </c>
      <c r="S1828">
        <v>0.42708448269520799</v>
      </c>
      <c r="T1828" t="s">
        <v>3635</v>
      </c>
      <c r="U1828" t="s">
        <v>3633</v>
      </c>
    </row>
    <row r="1829" spans="1:21" x14ac:dyDescent="0.25">
      <c r="A1829" t="s">
        <v>3353</v>
      </c>
      <c r="B1829" s="1">
        <v>45937</v>
      </c>
      <c r="C1829" t="s">
        <v>3354</v>
      </c>
      <c r="D1829" t="s">
        <v>17</v>
      </c>
      <c r="E1829" t="s">
        <v>121</v>
      </c>
      <c r="F1829" t="s">
        <v>68</v>
      </c>
      <c r="G1829" t="s">
        <v>32</v>
      </c>
      <c r="H1829" t="s">
        <v>50</v>
      </c>
      <c r="I1829">
        <v>1</v>
      </c>
      <c r="J1829">
        <v>9.26</v>
      </c>
      <c r="K1829">
        <v>10</v>
      </c>
      <c r="L1829">
        <v>8.33</v>
      </c>
      <c r="M1829">
        <v>10.71</v>
      </c>
      <c r="N1829">
        <v>-6.55</v>
      </c>
      <c r="O1829" t="s">
        <v>34</v>
      </c>
      <c r="P1829">
        <v>2025</v>
      </c>
      <c r="Q1829" t="s">
        <v>3645</v>
      </c>
      <c r="R1829">
        <v>7.4969999999999999</v>
      </c>
      <c r="S1829">
        <v>-0.87368280645591601</v>
      </c>
      <c r="T1829" t="s">
        <v>3634</v>
      </c>
      <c r="U1829" t="s">
        <v>3636</v>
      </c>
    </row>
    <row r="1830" spans="1:21" x14ac:dyDescent="0.25">
      <c r="A1830" t="s">
        <v>3355</v>
      </c>
      <c r="B1830" s="1">
        <v>45939</v>
      </c>
      <c r="C1830" t="s">
        <v>29</v>
      </c>
      <c r="D1830" t="s">
        <v>30</v>
      </c>
      <c r="E1830" t="s">
        <v>135</v>
      </c>
      <c r="F1830" t="s">
        <v>26</v>
      </c>
      <c r="G1830" t="s">
        <v>32</v>
      </c>
      <c r="H1830" t="s">
        <v>110</v>
      </c>
      <c r="I1830">
        <v>7</v>
      </c>
      <c r="J1830">
        <v>13.9</v>
      </c>
      <c r="K1830">
        <v>0</v>
      </c>
      <c r="L1830">
        <v>97.3</v>
      </c>
      <c r="M1830">
        <v>12.19</v>
      </c>
      <c r="N1830">
        <v>41.33</v>
      </c>
      <c r="O1830" t="s">
        <v>34</v>
      </c>
      <c r="P1830">
        <v>2025</v>
      </c>
      <c r="Q1830" t="s">
        <v>3645</v>
      </c>
      <c r="R1830">
        <v>97.3</v>
      </c>
      <c r="S1830">
        <v>0.42476875642343298</v>
      </c>
      <c r="T1830" t="s">
        <v>3634</v>
      </c>
      <c r="U1830" t="s">
        <v>3633</v>
      </c>
    </row>
    <row r="1831" spans="1:21" x14ac:dyDescent="0.25">
      <c r="A1831" t="s">
        <v>3356</v>
      </c>
      <c r="B1831" s="1">
        <v>45939</v>
      </c>
      <c r="C1831" t="s">
        <v>3357</v>
      </c>
      <c r="D1831" t="s">
        <v>30</v>
      </c>
      <c r="E1831" t="s">
        <v>169</v>
      </c>
      <c r="F1831" t="s">
        <v>68</v>
      </c>
      <c r="G1831" t="s">
        <v>20</v>
      </c>
      <c r="H1831" t="s">
        <v>27</v>
      </c>
      <c r="I1831">
        <v>1</v>
      </c>
      <c r="J1831">
        <v>81.900000000000006</v>
      </c>
      <c r="K1831">
        <v>10</v>
      </c>
      <c r="L1831">
        <v>73.709999999999994</v>
      </c>
      <c r="M1831">
        <v>10.93</v>
      </c>
      <c r="N1831">
        <v>17.73</v>
      </c>
      <c r="O1831" t="s">
        <v>34</v>
      </c>
      <c r="P1831">
        <v>2025</v>
      </c>
      <c r="Q1831" t="s">
        <v>3645</v>
      </c>
      <c r="R1831">
        <v>66.338999999999999</v>
      </c>
      <c r="S1831">
        <v>0.26726360059693399</v>
      </c>
      <c r="T1831" t="s">
        <v>3634</v>
      </c>
      <c r="U1831" t="s">
        <v>3633</v>
      </c>
    </row>
    <row r="1832" spans="1:21" x14ac:dyDescent="0.25">
      <c r="A1832" t="s">
        <v>3358</v>
      </c>
      <c r="B1832" s="1">
        <v>45939</v>
      </c>
      <c r="C1832" t="s">
        <v>2555</v>
      </c>
      <c r="D1832" t="s">
        <v>30</v>
      </c>
      <c r="E1832" t="s">
        <v>248</v>
      </c>
      <c r="F1832" t="s">
        <v>26</v>
      </c>
      <c r="G1832" t="s">
        <v>42</v>
      </c>
      <c r="H1832" t="s">
        <v>118</v>
      </c>
      <c r="I1832">
        <v>2</v>
      </c>
      <c r="J1832">
        <v>50.77</v>
      </c>
      <c r="K1832">
        <v>0</v>
      </c>
      <c r="L1832">
        <v>101.54</v>
      </c>
      <c r="M1832">
        <v>11.84</v>
      </c>
      <c r="N1832">
        <v>28.78</v>
      </c>
      <c r="O1832" t="s">
        <v>22</v>
      </c>
      <c r="P1832">
        <v>2025</v>
      </c>
      <c r="Q1832" t="s">
        <v>3645</v>
      </c>
      <c r="R1832">
        <v>101.54</v>
      </c>
      <c r="S1832">
        <v>0.28343509946819001</v>
      </c>
      <c r="T1832" t="s">
        <v>3632</v>
      </c>
      <c r="U1832" t="s">
        <v>3633</v>
      </c>
    </row>
    <row r="1833" spans="1:21" x14ac:dyDescent="0.25">
      <c r="A1833" t="s">
        <v>3359</v>
      </c>
      <c r="B1833" s="1">
        <v>45939</v>
      </c>
      <c r="C1833" t="s">
        <v>1197</v>
      </c>
      <c r="D1833" t="s">
        <v>30</v>
      </c>
      <c r="E1833" t="s">
        <v>129</v>
      </c>
      <c r="F1833" t="s">
        <v>19</v>
      </c>
      <c r="G1833" t="s">
        <v>20</v>
      </c>
      <c r="H1833" t="s">
        <v>55</v>
      </c>
      <c r="I1833">
        <v>6</v>
      </c>
      <c r="J1833">
        <v>35.76</v>
      </c>
      <c r="K1833">
        <v>5</v>
      </c>
      <c r="L1833">
        <v>203.83</v>
      </c>
      <c r="M1833">
        <v>16.97</v>
      </c>
      <c r="N1833">
        <v>68.849999999999994</v>
      </c>
      <c r="O1833" t="s">
        <v>56</v>
      </c>
      <c r="P1833">
        <v>2025</v>
      </c>
      <c r="Q1833" t="s">
        <v>3645</v>
      </c>
      <c r="R1833">
        <v>193.63849999999999</v>
      </c>
      <c r="S1833">
        <v>0.35555945744260598</v>
      </c>
      <c r="T1833" t="s">
        <v>3632</v>
      </c>
      <c r="U1833" t="s">
        <v>3633</v>
      </c>
    </row>
    <row r="1834" spans="1:21" x14ac:dyDescent="0.25">
      <c r="A1834" t="s">
        <v>3360</v>
      </c>
      <c r="B1834" s="1">
        <v>45940</v>
      </c>
      <c r="C1834" t="s">
        <v>3361</v>
      </c>
      <c r="D1834" t="s">
        <v>17</v>
      </c>
      <c r="E1834" t="s">
        <v>59</v>
      </c>
      <c r="F1834" t="s">
        <v>60</v>
      </c>
      <c r="G1834" t="s">
        <v>42</v>
      </c>
      <c r="H1834" t="s">
        <v>371</v>
      </c>
      <c r="I1834">
        <v>3</v>
      </c>
      <c r="J1834">
        <v>164.93</v>
      </c>
      <c r="K1834">
        <v>10</v>
      </c>
      <c r="L1834">
        <v>445.31</v>
      </c>
      <c r="M1834">
        <v>16.37</v>
      </c>
      <c r="N1834">
        <v>132.07</v>
      </c>
      <c r="O1834" t="s">
        <v>22</v>
      </c>
      <c r="P1834">
        <v>2025</v>
      </c>
      <c r="Q1834" t="s">
        <v>3645</v>
      </c>
      <c r="R1834">
        <v>400.779</v>
      </c>
      <c r="S1834">
        <v>0.32953323402673301</v>
      </c>
      <c r="T1834" t="s">
        <v>3632</v>
      </c>
      <c r="U1834" t="s">
        <v>3633</v>
      </c>
    </row>
    <row r="1835" spans="1:21" x14ac:dyDescent="0.25">
      <c r="A1835" t="s">
        <v>3362</v>
      </c>
      <c r="B1835" s="1">
        <v>45940</v>
      </c>
      <c r="C1835" t="s">
        <v>3363</v>
      </c>
      <c r="D1835" t="s">
        <v>17</v>
      </c>
      <c r="E1835" t="s">
        <v>166</v>
      </c>
      <c r="F1835" t="s">
        <v>60</v>
      </c>
      <c r="G1835" t="s">
        <v>20</v>
      </c>
      <c r="H1835" t="s">
        <v>175</v>
      </c>
      <c r="I1835">
        <v>1</v>
      </c>
      <c r="J1835">
        <v>31.71</v>
      </c>
      <c r="K1835">
        <v>20</v>
      </c>
      <c r="L1835">
        <v>25.37</v>
      </c>
      <c r="M1835">
        <v>9.8800000000000008</v>
      </c>
      <c r="N1835">
        <v>-1.95</v>
      </c>
      <c r="O1835" t="s">
        <v>34</v>
      </c>
      <c r="P1835">
        <v>2025</v>
      </c>
      <c r="Q1835" t="s">
        <v>3645</v>
      </c>
      <c r="R1835">
        <v>20.295999999999999</v>
      </c>
      <c r="S1835">
        <v>-9.6078044934962595E-2</v>
      </c>
      <c r="T1835" t="s">
        <v>3634</v>
      </c>
      <c r="U1835" t="s">
        <v>3636</v>
      </c>
    </row>
    <row r="1836" spans="1:21" x14ac:dyDescent="0.25">
      <c r="A1836" t="s">
        <v>3364</v>
      </c>
      <c r="B1836" s="1">
        <v>45940</v>
      </c>
      <c r="C1836" t="s">
        <v>179</v>
      </c>
      <c r="D1836" t="s">
        <v>30</v>
      </c>
      <c r="E1836" t="s">
        <v>138</v>
      </c>
      <c r="F1836" t="s">
        <v>54</v>
      </c>
      <c r="G1836" t="s">
        <v>42</v>
      </c>
      <c r="H1836" t="s">
        <v>118</v>
      </c>
      <c r="I1836">
        <v>2</v>
      </c>
      <c r="J1836">
        <v>70.849999999999994</v>
      </c>
      <c r="K1836">
        <v>10</v>
      </c>
      <c r="L1836">
        <v>127.53</v>
      </c>
      <c r="M1836">
        <v>12.8</v>
      </c>
      <c r="N1836">
        <v>29.71</v>
      </c>
      <c r="O1836" t="s">
        <v>34</v>
      </c>
      <c r="P1836">
        <v>2025</v>
      </c>
      <c r="Q1836" t="s">
        <v>3645</v>
      </c>
      <c r="R1836">
        <v>114.777</v>
      </c>
      <c r="S1836">
        <v>0.25884976955313399</v>
      </c>
      <c r="T1836" t="s">
        <v>3632</v>
      </c>
      <c r="U1836" t="s">
        <v>3633</v>
      </c>
    </row>
    <row r="1837" spans="1:21" x14ac:dyDescent="0.25">
      <c r="A1837" t="s">
        <v>3365</v>
      </c>
      <c r="B1837" s="1">
        <v>45940</v>
      </c>
      <c r="C1837" t="s">
        <v>829</v>
      </c>
      <c r="D1837" t="s">
        <v>30</v>
      </c>
      <c r="E1837" t="s">
        <v>18</v>
      </c>
      <c r="F1837" t="s">
        <v>19</v>
      </c>
      <c r="G1837" t="s">
        <v>20</v>
      </c>
      <c r="H1837" t="s">
        <v>170</v>
      </c>
      <c r="I1837">
        <v>1</v>
      </c>
      <c r="J1837">
        <v>46.96</v>
      </c>
      <c r="K1837">
        <v>10</v>
      </c>
      <c r="L1837">
        <v>42.26</v>
      </c>
      <c r="M1837">
        <v>7.43</v>
      </c>
      <c r="N1837">
        <v>9</v>
      </c>
      <c r="O1837" t="s">
        <v>39</v>
      </c>
      <c r="P1837">
        <v>2025</v>
      </c>
      <c r="Q1837" t="s">
        <v>3645</v>
      </c>
      <c r="R1837">
        <v>38.033999999999999</v>
      </c>
      <c r="S1837">
        <v>0.236630383341221</v>
      </c>
      <c r="T1837" t="s">
        <v>3634</v>
      </c>
      <c r="U1837" t="s">
        <v>3633</v>
      </c>
    </row>
    <row r="1838" spans="1:21" x14ac:dyDescent="0.25">
      <c r="A1838" t="s">
        <v>3366</v>
      </c>
      <c r="B1838" s="1">
        <v>45941</v>
      </c>
      <c r="C1838" t="s">
        <v>3367</v>
      </c>
      <c r="D1838" t="s">
        <v>49</v>
      </c>
      <c r="E1838" t="s">
        <v>59</v>
      </c>
      <c r="F1838" t="s">
        <v>60</v>
      </c>
      <c r="G1838" t="s">
        <v>69</v>
      </c>
      <c r="H1838" t="s">
        <v>243</v>
      </c>
      <c r="I1838">
        <v>3</v>
      </c>
      <c r="J1838">
        <v>35.090000000000003</v>
      </c>
      <c r="K1838">
        <v>15</v>
      </c>
      <c r="L1838">
        <v>89.48</v>
      </c>
      <c r="M1838">
        <v>15.75</v>
      </c>
      <c r="N1838">
        <v>21.09</v>
      </c>
      <c r="O1838" t="s">
        <v>39</v>
      </c>
      <c r="P1838">
        <v>2025</v>
      </c>
      <c r="Q1838" t="s">
        <v>3645</v>
      </c>
      <c r="R1838">
        <v>76.058000000000007</v>
      </c>
      <c r="S1838">
        <v>0.27728838517973098</v>
      </c>
      <c r="T1838" t="s">
        <v>3634</v>
      </c>
      <c r="U1838" t="s">
        <v>3633</v>
      </c>
    </row>
    <row r="1839" spans="1:21" x14ac:dyDescent="0.25">
      <c r="A1839" t="s">
        <v>3368</v>
      </c>
      <c r="B1839" s="1">
        <v>45941</v>
      </c>
      <c r="C1839" t="s">
        <v>103</v>
      </c>
      <c r="D1839" t="s">
        <v>30</v>
      </c>
      <c r="E1839" t="s">
        <v>121</v>
      </c>
      <c r="F1839" t="s">
        <v>68</v>
      </c>
      <c r="G1839" t="s">
        <v>20</v>
      </c>
      <c r="H1839" t="s">
        <v>175</v>
      </c>
      <c r="I1839">
        <v>1</v>
      </c>
      <c r="J1839">
        <v>31.02</v>
      </c>
      <c r="K1839">
        <v>15</v>
      </c>
      <c r="L1839">
        <v>26.37</v>
      </c>
      <c r="M1839">
        <v>11.99</v>
      </c>
      <c r="N1839">
        <v>-2.68</v>
      </c>
      <c r="O1839" t="s">
        <v>34</v>
      </c>
      <c r="P1839">
        <v>2025</v>
      </c>
      <c r="Q1839" t="s">
        <v>3645</v>
      </c>
      <c r="R1839">
        <v>22.4145</v>
      </c>
      <c r="S1839">
        <v>-0.119565459858574</v>
      </c>
      <c r="T1839" t="s">
        <v>3634</v>
      </c>
      <c r="U1839" t="s">
        <v>3636</v>
      </c>
    </row>
    <row r="1840" spans="1:21" x14ac:dyDescent="0.25">
      <c r="A1840" t="s">
        <v>3369</v>
      </c>
      <c r="B1840" s="1">
        <v>45942</v>
      </c>
      <c r="C1840" t="s">
        <v>3370</v>
      </c>
      <c r="D1840" t="s">
        <v>17</v>
      </c>
      <c r="E1840" t="s">
        <v>129</v>
      </c>
      <c r="F1840" t="s">
        <v>19</v>
      </c>
      <c r="G1840" t="s">
        <v>69</v>
      </c>
      <c r="H1840" t="s">
        <v>163</v>
      </c>
      <c r="I1840">
        <v>2</v>
      </c>
      <c r="J1840">
        <v>57.57</v>
      </c>
      <c r="K1840">
        <v>5</v>
      </c>
      <c r="L1840">
        <v>109.38</v>
      </c>
      <c r="M1840">
        <v>7.11</v>
      </c>
      <c r="N1840">
        <v>44.7</v>
      </c>
      <c r="O1840" t="s">
        <v>39</v>
      </c>
      <c r="P1840">
        <v>2025</v>
      </c>
      <c r="Q1840" t="s">
        <v>3645</v>
      </c>
      <c r="R1840">
        <v>103.911</v>
      </c>
      <c r="S1840">
        <v>0.43017582354130002</v>
      </c>
      <c r="T1840" t="s">
        <v>3632</v>
      </c>
      <c r="U1840" t="s">
        <v>3633</v>
      </c>
    </row>
    <row r="1841" spans="1:21" x14ac:dyDescent="0.25">
      <c r="A1841" t="s">
        <v>3371</v>
      </c>
      <c r="B1841" s="1">
        <v>45942</v>
      </c>
      <c r="C1841" t="s">
        <v>1907</v>
      </c>
      <c r="D1841" t="s">
        <v>30</v>
      </c>
      <c r="E1841" t="s">
        <v>53</v>
      </c>
      <c r="F1841" t="s">
        <v>54</v>
      </c>
      <c r="G1841" t="s">
        <v>20</v>
      </c>
      <c r="H1841" t="s">
        <v>55</v>
      </c>
      <c r="I1841">
        <v>4</v>
      </c>
      <c r="J1841">
        <v>66.819999999999993</v>
      </c>
      <c r="K1841">
        <v>0</v>
      </c>
      <c r="L1841">
        <v>267.27999999999997</v>
      </c>
      <c r="M1841">
        <v>19.899999999999999</v>
      </c>
      <c r="N1841">
        <v>100.38</v>
      </c>
      <c r="O1841" t="s">
        <v>34</v>
      </c>
      <c r="P1841">
        <v>2025</v>
      </c>
      <c r="Q1841" t="s">
        <v>3645</v>
      </c>
      <c r="R1841">
        <v>267.27999999999997</v>
      </c>
      <c r="S1841">
        <v>0.37556120921879699</v>
      </c>
      <c r="T1841" t="s">
        <v>3632</v>
      </c>
      <c r="U1841" t="s">
        <v>3633</v>
      </c>
    </row>
    <row r="1842" spans="1:21" x14ac:dyDescent="0.25">
      <c r="A1842" t="s">
        <v>3372</v>
      </c>
      <c r="B1842" s="1">
        <v>45943</v>
      </c>
      <c r="C1842" t="s">
        <v>168</v>
      </c>
      <c r="D1842" t="s">
        <v>17</v>
      </c>
      <c r="E1842" t="s">
        <v>59</v>
      </c>
      <c r="F1842" t="s">
        <v>60</v>
      </c>
      <c r="G1842" t="s">
        <v>69</v>
      </c>
      <c r="H1842" t="s">
        <v>163</v>
      </c>
      <c r="I1842">
        <v>3</v>
      </c>
      <c r="J1842">
        <v>31.44</v>
      </c>
      <c r="K1842">
        <v>0</v>
      </c>
      <c r="L1842">
        <v>94.32</v>
      </c>
      <c r="M1842">
        <v>11.64</v>
      </c>
      <c r="N1842">
        <v>35.520000000000003</v>
      </c>
      <c r="O1842" t="s">
        <v>22</v>
      </c>
      <c r="P1842">
        <v>2025</v>
      </c>
      <c r="Q1842" t="s">
        <v>3645</v>
      </c>
      <c r="R1842">
        <v>94.32</v>
      </c>
      <c r="S1842">
        <v>0.376590330788804</v>
      </c>
      <c r="T1842" t="s">
        <v>3634</v>
      </c>
      <c r="U1842" t="s">
        <v>3633</v>
      </c>
    </row>
    <row r="1843" spans="1:21" x14ac:dyDescent="0.25">
      <c r="A1843" t="s">
        <v>3373</v>
      </c>
      <c r="B1843" s="1">
        <v>45944</v>
      </c>
      <c r="C1843" t="s">
        <v>3374</v>
      </c>
      <c r="D1843" t="s">
        <v>30</v>
      </c>
      <c r="E1843" t="s">
        <v>59</v>
      </c>
      <c r="F1843" t="s">
        <v>60</v>
      </c>
      <c r="G1843" t="s">
        <v>20</v>
      </c>
      <c r="H1843" t="s">
        <v>55</v>
      </c>
      <c r="I1843">
        <v>1</v>
      </c>
      <c r="J1843">
        <v>32.700000000000003</v>
      </c>
      <c r="K1843">
        <v>0</v>
      </c>
      <c r="L1843">
        <v>32.700000000000003</v>
      </c>
      <c r="M1843">
        <v>10.93</v>
      </c>
      <c r="N1843">
        <v>3.79</v>
      </c>
      <c r="O1843" t="s">
        <v>34</v>
      </c>
      <c r="P1843">
        <v>2025</v>
      </c>
      <c r="Q1843" t="s">
        <v>3645</v>
      </c>
      <c r="R1843">
        <v>32.700000000000003</v>
      </c>
      <c r="S1843">
        <v>0.115902140672783</v>
      </c>
      <c r="T1843" t="s">
        <v>3634</v>
      </c>
      <c r="U1843" t="s">
        <v>3633</v>
      </c>
    </row>
    <row r="1844" spans="1:21" x14ac:dyDescent="0.25">
      <c r="A1844" t="s">
        <v>3375</v>
      </c>
      <c r="B1844" s="1">
        <v>45944</v>
      </c>
      <c r="C1844" t="s">
        <v>3376</v>
      </c>
      <c r="D1844" t="s">
        <v>49</v>
      </c>
      <c r="E1844" t="s">
        <v>148</v>
      </c>
      <c r="F1844" t="s">
        <v>60</v>
      </c>
      <c r="G1844" t="s">
        <v>32</v>
      </c>
      <c r="H1844" t="s">
        <v>101</v>
      </c>
      <c r="I1844">
        <v>1</v>
      </c>
      <c r="J1844">
        <v>21.86</v>
      </c>
      <c r="K1844">
        <v>20</v>
      </c>
      <c r="L1844">
        <v>17.489999999999998</v>
      </c>
      <c r="M1844">
        <v>11.22</v>
      </c>
      <c r="N1844">
        <v>-3.57</v>
      </c>
      <c r="O1844" t="s">
        <v>56</v>
      </c>
      <c r="P1844">
        <v>2025</v>
      </c>
      <c r="Q1844" t="s">
        <v>3645</v>
      </c>
      <c r="R1844">
        <v>13.992000000000001</v>
      </c>
      <c r="S1844">
        <v>-0.25514579759862799</v>
      </c>
      <c r="T1844" t="s">
        <v>3634</v>
      </c>
      <c r="U1844" t="s">
        <v>3636</v>
      </c>
    </row>
    <row r="1845" spans="1:21" x14ac:dyDescent="0.25">
      <c r="A1845" t="s">
        <v>3377</v>
      </c>
      <c r="B1845" s="1">
        <v>45944</v>
      </c>
      <c r="C1845" t="s">
        <v>1860</v>
      </c>
      <c r="D1845" t="s">
        <v>49</v>
      </c>
      <c r="E1845" t="s">
        <v>85</v>
      </c>
      <c r="F1845" t="s">
        <v>60</v>
      </c>
      <c r="G1845" t="s">
        <v>32</v>
      </c>
      <c r="H1845" t="s">
        <v>149</v>
      </c>
      <c r="I1845">
        <v>1</v>
      </c>
      <c r="J1845">
        <v>13.39</v>
      </c>
      <c r="K1845">
        <v>5</v>
      </c>
      <c r="L1845">
        <v>12.72</v>
      </c>
      <c r="M1845">
        <v>9.93</v>
      </c>
      <c r="N1845">
        <v>-3.24</v>
      </c>
      <c r="O1845" t="s">
        <v>39</v>
      </c>
      <c r="P1845">
        <v>2025</v>
      </c>
      <c r="Q1845" t="s">
        <v>3645</v>
      </c>
      <c r="R1845">
        <v>12.084</v>
      </c>
      <c r="S1845">
        <v>-0.26812313803376397</v>
      </c>
      <c r="T1845" t="s">
        <v>3634</v>
      </c>
      <c r="U1845" t="s">
        <v>3636</v>
      </c>
    </row>
    <row r="1846" spans="1:21" x14ac:dyDescent="0.25">
      <c r="A1846" t="s">
        <v>3378</v>
      </c>
      <c r="B1846" s="1">
        <v>45944</v>
      </c>
      <c r="C1846" t="s">
        <v>58</v>
      </c>
      <c r="D1846" t="s">
        <v>49</v>
      </c>
      <c r="E1846" t="s">
        <v>129</v>
      </c>
      <c r="F1846" t="s">
        <v>19</v>
      </c>
      <c r="G1846" t="s">
        <v>69</v>
      </c>
      <c r="H1846" t="s">
        <v>79</v>
      </c>
      <c r="I1846">
        <v>5</v>
      </c>
      <c r="J1846">
        <v>31.44</v>
      </c>
      <c r="K1846">
        <v>0</v>
      </c>
      <c r="L1846">
        <v>157.19999999999999</v>
      </c>
      <c r="M1846">
        <v>11.49</v>
      </c>
      <c r="N1846">
        <v>67.11</v>
      </c>
      <c r="O1846" t="s">
        <v>22</v>
      </c>
      <c r="P1846">
        <v>2025</v>
      </c>
      <c r="Q1846" t="s">
        <v>3645</v>
      </c>
      <c r="R1846">
        <v>157.19999999999999</v>
      </c>
      <c r="S1846">
        <v>0.42690839694656502</v>
      </c>
      <c r="T1846" t="s">
        <v>3632</v>
      </c>
      <c r="U1846" t="s">
        <v>3633</v>
      </c>
    </row>
    <row r="1847" spans="1:21" x14ac:dyDescent="0.25">
      <c r="A1847" t="s">
        <v>3379</v>
      </c>
      <c r="B1847" s="1">
        <v>45944</v>
      </c>
      <c r="C1847" t="s">
        <v>1507</v>
      </c>
      <c r="D1847" t="s">
        <v>49</v>
      </c>
      <c r="E1847" t="s">
        <v>31</v>
      </c>
      <c r="F1847" t="s">
        <v>19</v>
      </c>
      <c r="G1847" t="s">
        <v>32</v>
      </c>
      <c r="H1847" t="s">
        <v>149</v>
      </c>
      <c r="I1847">
        <v>4</v>
      </c>
      <c r="J1847">
        <v>5.03</v>
      </c>
      <c r="K1847">
        <v>5</v>
      </c>
      <c r="L1847">
        <v>19.11</v>
      </c>
      <c r="M1847">
        <v>12.77</v>
      </c>
      <c r="N1847">
        <v>-2.71</v>
      </c>
      <c r="O1847" t="s">
        <v>34</v>
      </c>
      <c r="P1847">
        <v>2025</v>
      </c>
      <c r="Q1847" t="s">
        <v>3645</v>
      </c>
      <c r="R1847">
        <v>18.154499999999999</v>
      </c>
      <c r="S1847">
        <v>-0.14927428461263001</v>
      </c>
      <c r="T1847" t="s">
        <v>3634</v>
      </c>
      <c r="U1847" t="s">
        <v>3636</v>
      </c>
    </row>
    <row r="1848" spans="1:21" x14ac:dyDescent="0.25">
      <c r="A1848" t="s">
        <v>3380</v>
      </c>
      <c r="B1848" s="1">
        <v>45945</v>
      </c>
      <c r="C1848" t="s">
        <v>621</v>
      </c>
      <c r="D1848" t="s">
        <v>30</v>
      </c>
      <c r="E1848" t="s">
        <v>76</v>
      </c>
      <c r="F1848" t="s">
        <v>26</v>
      </c>
      <c r="G1848" t="s">
        <v>32</v>
      </c>
      <c r="H1848" t="s">
        <v>115</v>
      </c>
      <c r="I1848">
        <v>3</v>
      </c>
      <c r="J1848">
        <v>7.81</v>
      </c>
      <c r="K1848">
        <v>0</v>
      </c>
      <c r="L1848">
        <v>23.43</v>
      </c>
      <c r="M1848">
        <v>11.85</v>
      </c>
      <c r="N1848">
        <v>1.04</v>
      </c>
      <c r="O1848" t="s">
        <v>39</v>
      </c>
      <c r="P1848">
        <v>2025</v>
      </c>
      <c r="Q1848" t="s">
        <v>3645</v>
      </c>
      <c r="R1848">
        <v>23.43</v>
      </c>
      <c r="S1848">
        <v>4.4387537345283799E-2</v>
      </c>
      <c r="T1848" t="s">
        <v>3634</v>
      </c>
      <c r="U1848" t="s">
        <v>3633</v>
      </c>
    </row>
    <row r="1849" spans="1:21" x14ac:dyDescent="0.25">
      <c r="A1849" t="s">
        <v>3381</v>
      </c>
      <c r="B1849" s="1">
        <v>45946</v>
      </c>
      <c r="C1849" t="s">
        <v>3207</v>
      </c>
      <c r="D1849" t="s">
        <v>17</v>
      </c>
      <c r="E1849" t="s">
        <v>31</v>
      </c>
      <c r="F1849" t="s">
        <v>19</v>
      </c>
      <c r="G1849" t="s">
        <v>42</v>
      </c>
      <c r="H1849" t="s">
        <v>118</v>
      </c>
      <c r="I1849">
        <v>6</v>
      </c>
      <c r="J1849">
        <v>63.63</v>
      </c>
      <c r="K1849">
        <v>10</v>
      </c>
      <c r="L1849">
        <v>343.6</v>
      </c>
      <c r="M1849">
        <v>17.309999999999999</v>
      </c>
      <c r="N1849">
        <v>97.22</v>
      </c>
      <c r="O1849" t="s">
        <v>22</v>
      </c>
      <c r="P1849">
        <v>2025</v>
      </c>
      <c r="Q1849" t="s">
        <v>3645</v>
      </c>
      <c r="R1849">
        <v>309.24</v>
      </c>
      <c r="S1849">
        <v>0.31438365023929599</v>
      </c>
      <c r="T1849" t="s">
        <v>3632</v>
      </c>
      <c r="U1849" t="s">
        <v>3633</v>
      </c>
    </row>
    <row r="1850" spans="1:21" x14ac:dyDescent="0.25">
      <c r="A1850" t="s">
        <v>3382</v>
      </c>
      <c r="B1850" s="1">
        <v>45946</v>
      </c>
      <c r="C1850" t="s">
        <v>3383</v>
      </c>
      <c r="D1850" t="s">
        <v>49</v>
      </c>
      <c r="E1850" t="s">
        <v>138</v>
      </c>
      <c r="F1850" t="s">
        <v>54</v>
      </c>
      <c r="G1850" t="s">
        <v>42</v>
      </c>
      <c r="H1850" t="s">
        <v>46</v>
      </c>
      <c r="I1850">
        <v>4</v>
      </c>
      <c r="J1850">
        <v>107.74</v>
      </c>
      <c r="K1850">
        <v>10</v>
      </c>
      <c r="L1850">
        <v>387.86</v>
      </c>
      <c r="M1850">
        <v>18.57</v>
      </c>
      <c r="N1850">
        <v>110.71</v>
      </c>
      <c r="O1850" t="s">
        <v>34</v>
      </c>
      <c r="P1850">
        <v>2025</v>
      </c>
      <c r="Q1850" t="s">
        <v>3645</v>
      </c>
      <c r="R1850">
        <v>349.07400000000001</v>
      </c>
      <c r="S1850">
        <v>0.31715338295031997</v>
      </c>
      <c r="T1850" t="s">
        <v>3632</v>
      </c>
      <c r="U1850" t="s">
        <v>3633</v>
      </c>
    </row>
    <row r="1851" spans="1:21" x14ac:dyDescent="0.25">
      <c r="A1851" t="s">
        <v>3384</v>
      </c>
      <c r="B1851" s="1">
        <v>45947</v>
      </c>
      <c r="C1851" t="s">
        <v>1377</v>
      </c>
      <c r="D1851" t="s">
        <v>30</v>
      </c>
      <c r="E1851" t="s">
        <v>18</v>
      </c>
      <c r="F1851" t="s">
        <v>19</v>
      </c>
      <c r="G1851" t="s">
        <v>32</v>
      </c>
      <c r="H1851" t="s">
        <v>115</v>
      </c>
      <c r="I1851">
        <v>4</v>
      </c>
      <c r="J1851">
        <v>11.36</v>
      </c>
      <c r="K1851">
        <v>0</v>
      </c>
      <c r="L1851">
        <v>45.44</v>
      </c>
      <c r="M1851">
        <v>11.98</v>
      </c>
      <c r="N1851">
        <v>13.01</v>
      </c>
      <c r="O1851" t="s">
        <v>34</v>
      </c>
      <c r="P1851">
        <v>2025</v>
      </c>
      <c r="Q1851" t="s">
        <v>3645</v>
      </c>
      <c r="R1851">
        <v>45.44</v>
      </c>
      <c r="S1851">
        <v>0.28631161971830998</v>
      </c>
      <c r="T1851" t="s">
        <v>3634</v>
      </c>
      <c r="U1851" t="s">
        <v>3633</v>
      </c>
    </row>
    <row r="1852" spans="1:21" x14ac:dyDescent="0.25">
      <c r="A1852" t="s">
        <v>3385</v>
      </c>
      <c r="B1852" s="1">
        <v>45947</v>
      </c>
      <c r="C1852" t="s">
        <v>3386</v>
      </c>
      <c r="D1852" t="s">
        <v>17</v>
      </c>
      <c r="E1852" t="s">
        <v>37</v>
      </c>
      <c r="F1852" t="s">
        <v>26</v>
      </c>
      <c r="G1852" t="s">
        <v>69</v>
      </c>
      <c r="H1852" t="s">
        <v>160</v>
      </c>
      <c r="I1852">
        <v>2</v>
      </c>
      <c r="J1852">
        <v>31.6</v>
      </c>
      <c r="K1852">
        <v>15</v>
      </c>
      <c r="L1852">
        <v>53.72</v>
      </c>
      <c r="M1852">
        <v>10.11</v>
      </c>
      <c r="N1852">
        <v>12.01</v>
      </c>
      <c r="O1852" t="s">
        <v>34</v>
      </c>
      <c r="P1852">
        <v>2025</v>
      </c>
      <c r="Q1852" t="s">
        <v>3645</v>
      </c>
      <c r="R1852">
        <v>45.661999999999999</v>
      </c>
      <c r="S1852">
        <v>0.26301957864307302</v>
      </c>
      <c r="T1852" t="s">
        <v>3634</v>
      </c>
      <c r="U1852" t="s">
        <v>3633</v>
      </c>
    </row>
    <row r="1853" spans="1:21" x14ac:dyDescent="0.25">
      <c r="A1853" t="s">
        <v>3387</v>
      </c>
      <c r="B1853" s="1">
        <v>45947</v>
      </c>
      <c r="C1853" t="s">
        <v>758</v>
      </c>
      <c r="D1853" t="s">
        <v>30</v>
      </c>
      <c r="E1853" t="s">
        <v>92</v>
      </c>
      <c r="F1853" t="s">
        <v>60</v>
      </c>
      <c r="G1853" t="s">
        <v>20</v>
      </c>
      <c r="H1853" t="s">
        <v>38</v>
      </c>
      <c r="I1853">
        <v>4</v>
      </c>
      <c r="J1853">
        <v>46.59</v>
      </c>
      <c r="K1853">
        <v>5</v>
      </c>
      <c r="L1853">
        <v>177.04</v>
      </c>
      <c r="M1853">
        <v>18.989999999999998</v>
      </c>
      <c r="N1853">
        <v>55.55</v>
      </c>
      <c r="O1853" t="s">
        <v>22</v>
      </c>
      <c r="P1853">
        <v>2025</v>
      </c>
      <c r="Q1853" t="s">
        <v>3645</v>
      </c>
      <c r="R1853">
        <v>168.18799999999999</v>
      </c>
      <c r="S1853">
        <v>0.330285157086118</v>
      </c>
      <c r="T1853" t="s">
        <v>3632</v>
      </c>
      <c r="U1853" t="s">
        <v>3633</v>
      </c>
    </row>
    <row r="1854" spans="1:21" x14ac:dyDescent="0.25">
      <c r="A1854" t="s">
        <v>3388</v>
      </c>
      <c r="B1854" s="1">
        <v>45948</v>
      </c>
      <c r="C1854" t="s">
        <v>3389</v>
      </c>
      <c r="D1854" t="s">
        <v>17</v>
      </c>
      <c r="E1854" t="s">
        <v>76</v>
      </c>
      <c r="F1854" t="s">
        <v>26</v>
      </c>
      <c r="G1854" t="s">
        <v>20</v>
      </c>
      <c r="H1854" t="s">
        <v>38</v>
      </c>
      <c r="I1854">
        <v>2</v>
      </c>
      <c r="J1854">
        <v>40.18</v>
      </c>
      <c r="K1854">
        <v>0</v>
      </c>
      <c r="L1854">
        <v>80.36</v>
      </c>
      <c r="M1854">
        <v>10.31</v>
      </c>
      <c r="N1854">
        <v>25.85</v>
      </c>
      <c r="O1854" t="s">
        <v>34</v>
      </c>
      <c r="P1854">
        <v>2025</v>
      </c>
      <c r="Q1854" t="s">
        <v>3645</v>
      </c>
      <c r="R1854">
        <v>80.36</v>
      </c>
      <c r="S1854">
        <v>0.32167745146839199</v>
      </c>
      <c r="T1854" t="s">
        <v>3634</v>
      </c>
      <c r="U1854" t="s">
        <v>3633</v>
      </c>
    </row>
    <row r="1855" spans="1:21" x14ac:dyDescent="0.25">
      <c r="A1855" t="s">
        <v>3390</v>
      </c>
      <c r="B1855" s="1">
        <v>45948</v>
      </c>
      <c r="C1855" t="s">
        <v>3391</v>
      </c>
      <c r="D1855" t="s">
        <v>17</v>
      </c>
      <c r="E1855" t="s">
        <v>18</v>
      </c>
      <c r="F1855" t="s">
        <v>19</v>
      </c>
      <c r="G1855" t="s">
        <v>20</v>
      </c>
      <c r="H1855" t="s">
        <v>175</v>
      </c>
      <c r="I1855">
        <v>1</v>
      </c>
      <c r="J1855">
        <v>36.619999999999997</v>
      </c>
      <c r="K1855">
        <v>20</v>
      </c>
      <c r="L1855">
        <v>29.3</v>
      </c>
      <c r="M1855">
        <v>6.08</v>
      </c>
      <c r="N1855">
        <v>3.08</v>
      </c>
      <c r="O1855" t="s">
        <v>56</v>
      </c>
      <c r="P1855">
        <v>2025</v>
      </c>
      <c r="Q1855" t="s">
        <v>3645</v>
      </c>
      <c r="R1855">
        <v>23.44</v>
      </c>
      <c r="S1855">
        <v>0.131399317406143</v>
      </c>
      <c r="T1855" t="s">
        <v>3634</v>
      </c>
      <c r="U1855" t="s">
        <v>3633</v>
      </c>
    </row>
    <row r="1856" spans="1:21" x14ac:dyDescent="0.25">
      <c r="A1856" t="s">
        <v>3392</v>
      </c>
      <c r="B1856" s="1">
        <v>45949</v>
      </c>
      <c r="C1856" t="s">
        <v>3393</v>
      </c>
      <c r="D1856" t="s">
        <v>49</v>
      </c>
      <c r="E1856" t="s">
        <v>18</v>
      </c>
      <c r="F1856" t="s">
        <v>19</v>
      </c>
      <c r="G1856" t="s">
        <v>42</v>
      </c>
      <c r="H1856" t="s">
        <v>118</v>
      </c>
      <c r="I1856">
        <v>5</v>
      </c>
      <c r="J1856">
        <v>38.24</v>
      </c>
      <c r="K1856">
        <v>10</v>
      </c>
      <c r="L1856">
        <v>172.08</v>
      </c>
      <c r="M1856">
        <v>9.65</v>
      </c>
      <c r="N1856">
        <v>47.71</v>
      </c>
      <c r="O1856" t="s">
        <v>39</v>
      </c>
      <c r="P1856">
        <v>2025</v>
      </c>
      <c r="Q1856" t="s">
        <v>3645</v>
      </c>
      <c r="R1856">
        <v>154.87200000000001</v>
      </c>
      <c r="S1856">
        <v>0.30806085025052898</v>
      </c>
      <c r="T1856" t="s">
        <v>3632</v>
      </c>
      <c r="U1856" t="s">
        <v>3633</v>
      </c>
    </row>
    <row r="1857" spans="1:21" x14ac:dyDescent="0.25">
      <c r="A1857" t="s">
        <v>3394</v>
      </c>
      <c r="B1857" s="1">
        <v>45949</v>
      </c>
      <c r="C1857" t="s">
        <v>3395</v>
      </c>
      <c r="D1857" t="s">
        <v>30</v>
      </c>
      <c r="E1857" t="s">
        <v>135</v>
      </c>
      <c r="F1857" t="s">
        <v>26</v>
      </c>
      <c r="G1857" t="s">
        <v>69</v>
      </c>
      <c r="H1857" t="s">
        <v>163</v>
      </c>
      <c r="I1857">
        <v>4</v>
      </c>
      <c r="J1857">
        <v>59.6</v>
      </c>
      <c r="K1857">
        <v>0</v>
      </c>
      <c r="L1857">
        <v>238.4</v>
      </c>
      <c r="M1857">
        <v>14.78</v>
      </c>
      <c r="N1857">
        <v>104.42</v>
      </c>
      <c r="O1857" t="s">
        <v>22</v>
      </c>
      <c r="P1857">
        <v>2025</v>
      </c>
      <c r="Q1857" t="s">
        <v>3645</v>
      </c>
      <c r="R1857">
        <v>238.4</v>
      </c>
      <c r="S1857">
        <v>0.43800335570469801</v>
      </c>
      <c r="T1857" t="s">
        <v>3632</v>
      </c>
      <c r="U1857" t="s">
        <v>3633</v>
      </c>
    </row>
    <row r="1858" spans="1:21" x14ac:dyDescent="0.25">
      <c r="A1858" t="s">
        <v>3396</v>
      </c>
      <c r="B1858" s="1">
        <v>45950</v>
      </c>
      <c r="C1858" t="s">
        <v>3397</v>
      </c>
      <c r="D1858" t="s">
        <v>17</v>
      </c>
      <c r="E1858" t="s">
        <v>85</v>
      </c>
      <c r="F1858" t="s">
        <v>60</v>
      </c>
      <c r="G1858" t="s">
        <v>69</v>
      </c>
      <c r="H1858" t="s">
        <v>98</v>
      </c>
      <c r="I1858">
        <v>6</v>
      </c>
      <c r="J1858">
        <v>40.46</v>
      </c>
      <c r="K1858">
        <v>0</v>
      </c>
      <c r="L1858">
        <v>242.76</v>
      </c>
      <c r="M1858">
        <v>18.34</v>
      </c>
      <c r="N1858">
        <v>103.04</v>
      </c>
      <c r="O1858" t="s">
        <v>34</v>
      </c>
      <c r="P1858">
        <v>2025</v>
      </c>
      <c r="Q1858" t="s">
        <v>3645</v>
      </c>
      <c r="R1858">
        <v>242.76</v>
      </c>
      <c r="S1858">
        <v>0.42445213379469399</v>
      </c>
      <c r="T1858" t="s">
        <v>3632</v>
      </c>
      <c r="U1858" t="s">
        <v>3633</v>
      </c>
    </row>
    <row r="1859" spans="1:21" x14ac:dyDescent="0.25">
      <c r="A1859" t="s">
        <v>3398</v>
      </c>
      <c r="B1859" s="1">
        <v>45950</v>
      </c>
      <c r="C1859" t="s">
        <v>3399</v>
      </c>
      <c r="D1859" t="s">
        <v>17</v>
      </c>
      <c r="E1859" t="s">
        <v>121</v>
      </c>
      <c r="F1859" t="s">
        <v>68</v>
      </c>
      <c r="G1859" t="s">
        <v>32</v>
      </c>
      <c r="H1859" t="s">
        <v>115</v>
      </c>
      <c r="I1859">
        <v>1</v>
      </c>
      <c r="J1859">
        <v>18.809999999999999</v>
      </c>
      <c r="K1859">
        <v>20</v>
      </c>
      <c r="L1859">
        <v>15.05</v>
      </c>
      <c r="M1859">
        <v>11.78</v>
      </c>
      <c r="N1859">
        <v>-5.19</v>
      </c>
      <c r="O1859" t="s">
        <v>22</v>
      </c>
      <c r="P1859">
        <v>2025</v>
      </c>
      <c r="Q1859" t="s">
        <v>3645</v>
      </c>
      <c r="R1859">
        <v>12.04</v>
      </c>
      <c r="S1859">
        <v>-0.431063122923588</v>
      </c>
      <c r="T1859" t="s">
        <v>3634</v>
      </c>
      <c r="U1859" t="s">
        <v>3636</v>
      </c>
    </row>
    <row r="1860" spans="1:21" x14ac:dyDescent="0.25">
      <c r="A1860" t="s">
        <v>3400</v>
      </c>
      <c r="B1860" s="1">
        <v>45951</v>
      </c>
      <c r="C1860" t="s">
        <v>827</v>
      </c>
      <c r="D1860" t="s">
        <v>17</v>
      </c>
      <c r="E1860" t="s">
        <v>25</v>
      </c>
      <c r="F1860" t="s">
        <v>26</v>
      </c>
      <c r="G1860" t="s">
        <v>32</v>
      </c>
      <c r="H1860" t="s">
        <v>101</v>
      </c>
      <c r="I1860">
        <v>3</v>
      </c>
      <c r="J1860">
        <v>7.81</v>
      </c>
      <c r="K1860">
        <v>15</v>
      </c>
      <c r="L1860">
        <v>19.920000000000002</v>
      </c>
      <c r="M1860">
        <v>9.35</v>
      </c>
      <c r="N1860">
        <v>0.03</v>
      </c>
      <c r="O1860" t="s">
        <v>56</v>
      </c>
      <c r="P1860">
        <v>2025</v>
      </c>
      <c r="Q1860" t="s">
        <v>3645</v>
      </c>
      <c r="R1860">
        <v>16.931999999999999</v>
      </c>
      <c r="S1860">
        <v>1.7717930545712299E-3</v>
      </c>
      <c r="T1860" t="s">
        <v>3634</v>
      </c>
      <c r="U1860" t="s">
        <v>3633</v>
      </c>
    </row>
    <row r="1861" spans="1:21" x14ac:dyDescent="0.25">
      <c r="A1861" t="s">
        <v>3401</v>
      </c>
      <c r="B1861" s="1">
        <v>45951</v>
      </c>
      <c r="C1861" t="s">
        <v>3402</v>
      </c>
      <c r="D1861" t="s">
        <v>49</v>
      </c>
      <c r="E1861" t="s">
        <v>92</v>
      </c>
      <c r="F1861" t="s">
        <v>60</v>
      </c>
      <c r="G1861" t="s">
        <v>20</v>
      </c>
      <c r="H1861" t="s">
        <v>106</v>
      </c>
      <c r="I1861">
        <v>11</v>
      </c>
      <c r="J1861">
        <v>61.28</v>
      </c>
      <c r="K1861">
        <v>10</v>
      </c>
      <c r="L1861">
        <v>606.66999999999996</v>
      </c>
      <c r="M1861">
        <v>16.64</v>
      </c>
      <c r="N1861">
        <v>219.29</v>
      </c>
      <c r="O1861" t="s">
        <v>39</v>
      </c>
      <c r="P1861">
        <v>2025</v>
      </c>
      <c r="Q1861" t="s">
        <v>3645</v>
      </c>
      <c r="R1861">
        <v>546.00300000000004</v>
      </c>
      <c r="S1861">
        <v>0.40162782988371898</v>
      </c>
      <c r="T1861" t="s">
        <v>3635</v>
      </c>
      <c r="U1861" t="s">
        <v>3633</v>
      </c>
    </row>
    <row r="1862" spans="1:21" x14ac:dyDescent="0.25">
      <c r="A1862" t="s">
        <v>3403</v>
      </c>
      <c r="B1862" s="1">
        <v>45951</v>
      </c>
      <c r="C1862" t="s">
        <v>1076</v>
      </c>
      <c r="D1862" t="s">
        <v>30</v>
      </c>
      <c r="E1862" t="s">
        <v>18</v>
      </c>
      <c r="F1862" t="s">
        <v>19</v>
      </c>
      <c r="G1862" t="s">
        <v>69</v>
      </c>
      <c r="H1862" t="s">
        <v>79</v>
      </c>
      <c r="I1862">
        <v>11</v>
      </c>
      <c r="J1862">
        <v>79.5</v>
      </c>
      <c r="K1862">
        <v>0</v>
      </c>
      <c r="L1862">
        <v>874.5</v>
      </c>
      <c r="M1862">
        <v>14.35</v>
      </c>
      <c r="N1862">
        <v>422.9</v>
      </c>
      <c r="O1862" t="s">
        <v>34</v>
      </c>
      <c r="P1862">
        <v>2025</v>
      </c>
      <c r="Q1862" t="s">
        <v>3645</v>
      </c>
      <c r="R1862">
        <v>874.5</v>
      </c>
      <c r="S1862">
        <v>0.48359062321326501</v>
      </c>
      <c r="T1862" t="s">
        <v>3635</v>
      </c>
      <c r="U1862" t="s">
        <v>3633</v>
      </c>
    </row>
    <row r="1863" spans="1:21" x14ac:dyDescent="0.25">
      <c r="A1863" t="s">
        <v>3404</v>
      </c>
      <c r="B1863" s="1">
        <v>45952</v>
      </c>
      <c r="C1863" t="s">
        <v>778</v>
      </c>
      <c r="D1863" t="s">
        <v>30</v>
      </c>
      <c r="E1863" t="s">
        <v>18</v>
      </c>
      <c r="F1863" t="s">
        <v>19</v>
      </c>
      <c r="G1863" t="s">
        <v>42</v>
      </c>
      <c r="H1863" t="s">
        <v>234</v>
      </c>
      <c r="I1863">
        <v>11</v>
      </c>
      <c r="J1863">
        <v>43.24</v>
      </c>
      <c r="K1863">
        <v>5</v>
      </c>
      <c r="L1863">
        <v>451.86</v>
      </c>
      <c r="M1863">
        <v>28.8</v>
      </c>
      <c r="N1863">
        <v>137.68</v>
      </c>
      <c r="O1863" t="s">
        <v>34</v>
      </c>
      <c r="P1863">
        <v>2025</v>
      </c>
      <c r="Q1863" t="s">
        <v>3645</v>
      </c>
      <c r="R1863">
        <v>429.267</v>
      </c>
      <c r="S1863">
        <v>0.320732784024861</v>
      </c>
      <c r="T1863" t="s">
        <v>3632</v>
      </c>
      <c r="U1863" t="s">
        <v>3633</v>
      </c>
    </row>
    <row r="1864" spans="1:21" x14ac:dyDescent="0.25">
      <c r="A1864" t="s">
        <v>3405</v>
      </c>
      <c r="B1864" s="1">
        <v>45953</v>
      </c>
      <c r="C1864" t="s">
        <v>3406</v>
      </c>
      <c r="D1864" t="s">
        <v>49</v>
      </c>
      <c r="E1864" t="s">
        <v>248</v>
      </c>
      <c r="F1864" t="s">
        <v>26</v>
      </c>
      <c r="G1864" t="s">
        <v>32</v>
      </c>
      <c r="H1864" t="s">
        <v>33</v>
      </c>
      <c r="I1864">
        <v>1</v>
      </c>
      <c r="J1864">
        <v>12.72</v>
      </c>
      <c r="K1864">
        <v>10</v>
      </c>
      <c r="L1864">
        <v>11.45</v>
      </c>
      <c r="M1864">
        <v>8.73</v>
      </c>
      <c r="N1864">
        <v>-3</v>
      </c>
      <c r="O1864" t="s">
        <v>34</v>
      </c>
      <c r="P1864">
        <v>2025</v>
      </c>
      <c r="Q1864" t="s">
        <v>3645</v>
      </c>
      <c r="R1864">
        <v>10.305</v>
      </c>
      <c r="S1864">
        <v>-0.29112081513828197</v>
      </c>
      <c r="T1864" t="s">
        <v>3634</v>
      </c>
      <c r="U1864" t="s">
        <v>3636</v>
      </c>
    </row>
    <row r="1865" spans="1:21" x14ac:dyDescent="0.25">
      <c r="A1865" t="s">
        <v>3407</v>
      </c>
      <c r="B1865" s="1">
        <v>45954</v>
      </c>
      <c r="C1865" t="s">
        <v>3408</v>
      </c>
      <c r="D1865" t="s">
        <v>49</v>
      </c>
      <c r="E1865" t="s">
        <v>59</v>
      </c>
      <c r="F1865" t="s">
        <v>60</v>
      </c>
      <c r="G1865" t="s">
        <v>42</v>
      </c>
      <c r="H1865" t="s">
        <v>64</v>
      </c>
      <c r="I1865">
        <v>8</v>
      </c>
      <c r="J1865">
        <v>98.63</v>
      </c>
      <c r="K1865">
        <v>5</v>
      </c>
      <c r="L1865">
        <v>749.59</v>
      </c>
      <c r="M1865">
        <v>25.57</v>
      </c>
      <c r="N1865">
        <v>250.6</v>
      </c>
      <c r="O1865" t="s">
        <v>34</v>
      </c>
      <c r="P1865">
        <v>2025</v>
      </c>
      <c r="Q1865" t="s">
        <v>3645</v>
      </c>
      <c r="R1865">
        <v>712.1105</v>
      </c>
      <c r="S1865">
        <v>0.35191167662883799</v>
      </c>
      <c r="T1865" t="s">
        <v>3635</v>
      </c>
      <c r="U1865" t="s">
        <v>3633</v>
      </c>
    </row>
    <row r="1866" spans="1:21" x14ac:dyDescent="0.25">
      <c r="A1866" t="s">
        <v>3409</v>
      </c>
      <c r="B1866" s="1">
        <v>45955</v>
      </c>
      <c r="C1866" t="s">
        <v>498</v>
      </c>
      <c r="D1866" t="s">
        <v>30</v>
      </c>
      <c r="E1866" t="s">
        <v>76</v>
      </c>
      <c r="F1866" t="s">
        <v>26</v>
      </c>
      <c r="G1866" t="s">
        <v>32</v>
      </c>
      <c r="H1866" t="s">
        <v>82</v>
      </c>
      <c r="I1866">
        <v>4</v>
      </c>
      <c r="J1866">
        <v>21.61</v>
      </c>
      <c r="K1866">
        <v>10</v>
      </c>
      <c r="L1866">
        <v>77.8</v>
      </c>
      <c r="M1866">
        <v>9.9600000000000009</v>
      </c>
      <c r="N1866">
        <v>28.94</v>
      </c>
      <c r="O1866" t="s">
        <v>56</v>
      </c>
      <c r="P1866">
        <v>2025</v>
      </c>
      <c r="Q1866" t="s">
        <v>3645</v>
      </c>
      <c r="R1866">
        <v>70.02</v>
      </c>
      <c r="S1866">
        <v>0.41331048271922299</v>
      </c>
      <c r="T1866" t="s">
        <v>3634</v>
      </c>
      <c r="U1866" t="s">
        <v>3633</v>
      </c>
    </row>
    <row r="1867" spans="1:21" x14ac:dyDescent="0.25">
      <c r="A1867" t="s">
        <v>3410</v>
      </c>
      <c r="B1867" s="1">
        <v>45955</v>
      </c>
      <c r="C1867" t="s">
        <v>2648</v>
      </c>
      <c r="D1867" t="s">
        <v>17</v>
      </c>
      <c r="E1867" t="s">
        <v>129</v>
      </c>
      <c r="F1867" t="s">
        <v>19</v>
      </c>
      <c r="G1867" t="s">
        <v>69</v>
      </c>
      <c r="H1867" t="s">
        <v>86</v>
      </c>
      <c r="I1867">
        <v>2</v>
      </c>
      <c r="J1867">
        <v>82.5</v>
      </c>
      <c r="K1867">
        <v>15</v>
      </c>
      <c r="L1867">
        <v>140.25</v>
      </c>
      <c r="M1867">
        <v>8.65</v>
      </c>
      <c r="N1867">
        <v>49.1</v>
      </c>
      <c r="O1867" t="s">
        <v>39</v>
      </c>
      <c r="P1867">
        <v>2025</v>
      </c>
      <c r="Q1867" t="s">
        <v>3645</v>
      </c>
      <c r="R1867">
        <v>119.21250000000001</v>
      </c>
      <c r="S1867">
        <v>0.41186956065848801</v>
      </c>
      <c r="T1867" t="s">
        <v>3632</v>
      </c>
      <c r="U1867" t="s">
        <v>3633</v>
      </c>
    </row>
    <row r="1868" spans="1:21" x14ac:dyDescent="0.25">
      <c r="A1868" t="s">
        <v>3411</v>
      </c>
      <c r="B1868" s="1">
        <v>45956</v>
      </c>
      <c r="C1868" t="s">
        <v>3412</v>
      </c>
      <c r="D1868" t="s">
        <v>30</v>
      </c>
      <c r="E1868" t="s">
        <v>129</v>
      </c>
      <c r="F1868" t="s">
        <v>19</v>
      </c>
      <c r="G1868" t="s">
        <v>69</v>
      </c>
      <c r="H1868" t="s">
        <v>196</v>
      </c>
      <c r="I1868">
        <v>10</v>
      </c>
      <c r="J1868">
        <v>11.46</v>
      </c>
      <c r="K1868">
        <v>0</v>
      </c>
      <c r="L1868">
        <v>114.6</v>
      </c>
      <c r="M1868">
        <v>13.72</v>
      </c>
      <c r="N1868">
        <v>43.58</v>
      </c>
      <c r="O1868" t="s">
        <v>39</v>
      </c>
      <c r="P1868">
        <v>2025</v>
      </c>
      <c r="Q1868" t="s">
        <v>3645</v>
      </c>
      <c r="R1868">
        <v>114.6</v>
      </c>
      <c r="S1868">
        <v>0.38027923211169301</v>
      </c>
      <c r="T1868" t="s">
        <v>3632</v>
      </c>
      <c r="U1868" t="s">
        <v>3633</v>
      </c>
    </row>
    <row r="1869" spans="1:21" x14ac:dyDescent="0.25">
      <c r="A1869" t="s">
        <v>3413</v>
      </c>
      <c r="B1869" s="1">
        <v>45956</v>
      </c>
      <c r="C1869" t="s">
        <v>3414</v>
      </c>
      <c r="D1869" t="s">
        <v>17</v>
      </c>
      <c r="E1869" t="s">
        <v>31</v>
      </c>
      <c r="F1869" t="s">
        <v>19</v>
      </c>
      <c r="G1869" t="s">
        <v>69</v>
      </c>
      <c r="H1869" t="s">
        <v>86</v>
      </c>
      <c r="I1869">
        <v>7</v>
      </c>
      <c r="J1869">
        <v>147.88</v>
      </c>
      <c r="K1869">
        <v>5</v>
      </c>
      <c r="L1869">
        <v>983.4</v>
      </c>
      <c r="M1869">
        <v>18.010000000000002</v>
      </c>
      <c r="N1869">
        <v>447.81</v>
      </c>
      <c r="O1869" t="s">
        <v>39</v>
      </c>
      <c r="P1869">
        <v>2025</v>
      </c>
      <c r="Q1869" t="s">
        <v>3645</v>
      </c>
      <c r="R1869">
        <v>934.23</v>
      </c>
      <c r="S1869">
        <v>0.479335923701872</v>
      </c>
      <c r="T1869" t="s">
        <v>3635</v>
      </c>
      <c r="U1869" t="s">
        <v>3633</v>
      </c>
    </row>
    <row r="1870" spans="1:21" x14ac:dyDescent="0.25">
      <c r="A1870" t="s">
        <v>3415</v>
      </c>
      <c r="B1870" s="1">
        <v>45957</v>
      </c>
      <c r="C1870" t="s">
        <v>1928</v>
      </c>
      <c r="D1870" t="s">
        <v>30</v>
      </c>
      <c r="E1870" t="s">
        <v>148</v>
      </c>
      <c r="F1870" t="s">
        <v>60</v>
      </c>
      <c r="G1870" t="s">
        <v>20</v>
      </c>
      <c r="H1870" t="s">
        <v>21</v>
      </c>
      <c r="I1870">
        <v>1</v>
      </c>
      <c r="J1870">
        <v>249.9</v>
      </c>
      <c r="K1870">
        <v>10</v>
      </c>
      <c r="L1870">
        <v>224.91</v>
      </c>
      <c r="M1870">
        <v>10.6</v>
      </c>
      <c r="N1870">
        <v>76.86</v>
      </c>
      <c r="O1870" t="s">
        <v>39</v>
      </c>
      <c r="P1870">
        <v>2025</v>
      </c>
      <c r="Q1870" t="s">
        <v>3645</v>
      </c>
      <c r="R1870">
        <v>202.41900000000001</v>
      </c>
      <c r="S1870">
        <v>0.379707438530968</v>
      </c>
      <c r="T1870" t="s">
        <v>3632</v>
      </c>
      <c r="U1870" t="s">
        <v>3633</v>
      </c>
    </row>
    <row r="1871" spans="1:21" x14ac:dyDescent="0.25">
      <c r="A1871" t="s">
        <v>3416</v>
      </c>
      <c r="B1871" s="1">
        <v>45957</v>
      </c>
      <c r="C1871" t="s">
        <v>1339</v>
      </c>
      <c r="D1871" t="s">
        <v>30</v>
      </c>
      <c r="E1871" t="s">
        <v>248</v>
      </c>
      <c r="F1871" t="s">
        <v>26</v>
      </c>
      <c r="G1871" t="s">
        <v>20</v>
      </c>
      <c r="H1871" t="s">
        <v>21</v>
      </c>
      <c r="I1871">
        <v>8</v>
      </c>
      <c r="J1871">
        <v>47.09</v>
      </c>
      <c r="K1871">
        <v>10</v>
      </c>
      <c r="L1871">
        <v>339.05</v>
      </c>
      <c r="M1871">
        <v>20.61</v>
      </c>
      <c r="N1871">
        <v>111.24</v>
      </c>
      <c r="O1871" t="s">
        <v>56</v>
      </c>
      <c r="P1871">
        <v>2025</v>
      </c>
      <c r="Q1871" t="s">
        <v>3645</v>
      </c>
      <c r="R1871">
        <v>305.14499999999998</v>
      </c>
      <c r="S1871">
        <v>0.36454800176965002</v>
      </c>
      <c r="T1871" t="s">
        <v>3632</v>
      </c>
      <c r="U1871" t="s">
        <v>3633</v>
      </c>
    </row>
    <row r="1872" spans="1:21" x14ac:dyDescent="0.25">
      <c r="A1872" t="s">
        <v>3417</v>
      </c>
      <c r="B1872" s="1">
        <v>45958</v>
      </c>
      <c r="C1872" t="s">
        <v>3418</v>
      </c>
      <c r="D1872" t="s">
        <v>17</v>
      </c>
      <c r="E1872" t="s">
        <v>166</v>
      </c>
      <c r="F1872" t="s">
        <v>60</v>
      </c>
      <c r="G1872" t="s">
        <v>32</v>
      </c>
      <c r="H1872" t="s">
        <v>50</v>
      </c>
      <c r="I1872">
        <v>3</v>
      </c>
      <c r="J1872">
        <v>14.48</v>
      </c>
      <c r="K1872">
        <v>20</v>
      </c>
      <c r="L1872">
        <v>34.75</v>
      </c>
      <c r="M1872">
        <v>15.11</v>
      </c>
      <c r="N1872">
        <v>0.09</v>
      </c>
      <c r="O1872" t="s">
        <v>34</v>
      </c>
      <c r="P1872">
        <v>2025</v>
      </c>
      <c r="Q1872" t="s">
        <v>3645</v>
      </c>
      <c r="R1872">
        <v>27.8</v>
      </c>
      <c r="S1872">
        <v>3.2374100719424499E-3</v>
      </c>
      <c r="T1872" t="s">
        <v>3634</v>
      </c>
      <c r="U1872" t="s">
        <v>3633</v>
      </c>
    </row>
    <row r="1873" spans="1:21" x14ac:dyDescent="0.25">
      <c r="A1873" t="s">
        <v>3419</v>
      </c>
      <c r="B1873" s="1">
        <v>45958</v>
      </c>
      <c r="C1873" t="s">
        <v>3420</v>
      </c>
      <c r="D1873" t="s">
        <v>30</v>
      </c>
      <c r="E1873" t="s">
        <v>59</v>
      </c>
      <c r="F1873" t="s">
        <v>60</v>
      </c>
      <c r="G1873" t="s">
        <v>42</v>
      </c>
      <c r="H1873" t="s">
        <v>234</v>
      </c>
      <c r="I1873">
        <v>5</v>
      </c>
      <c r="J1873">
        <v>44.91</v>
      </c>
      <c r="K1873">
        <v>20</v>
      </c>
      <c r="L1873">
        <v>179.64</v>
      </c>
      <c r="M1873">
        <v>11.97</v>
      </c>
      <c r="N1873">
        <v>32.94</v>
      </c>
      <c r="O1873" t="s">
        <v>39</v>
      </c>
      <c r="P1873">
        <v>2025</v>
      </c>
      <c r="Q1873" t="s">
        <v>3645</v>
      </c>
      <c r="R1873">
        <v>143.71199999999999</v>
      </c>
      <c r="S1873">
        <v>0.22920841683366699</v>
      </c>
      <c r="T1873" t="s">
        <v>3632</v>
      </c>
      <c r="U1873" t="s">
        <v>3633</v>
      </c>
    </row>
    <row r="1874" spans="1:21" x14ac:dyDescent="0.25">
      <c r="A1874" t="s">
        <v>3421</v>
      </c>
      <c r="B1874" s="1">
        <v>45958</v>
      </c>
      <c r="C1874" t="s">
        <v>209</v>
      </c>
      <c r="D1874" t="s">
        <v>30</v>
      </c>
      <c r="E1874" t="s">
        <v>138</v>
      </c>
      <c r="F1874" t="s">
        <v>54</v>
      </c>
      <c r="G1874" t="s">
        <v>32</v>
      </c>
      <c r="H1874" t="s">
        <v>101</v>
      </c>
      <c r="I1874">
        <v>3</v>
      </c>
      <c r="J1874">
        <v>17.760000000000002</v>
      </c>
      <c r="K1874">
        <v>15</v>
      </c>
      <c r="L1874">
        <v>45.29</v>
      </c>
      <c r="M1874">
        <v>15.75</v>
      </c>
      <c r="N1874">
        <v>5.56</v>
      </c>
      <c r="O1874" t="s">
        <v>22</v>
      </c>
      <c r="P1874">
        <v>2025</v>
      </c>
      <c r="Q1874" t="s">
        <v>3645</v>
      </c>
      <c r="R1874">
        <v>38.496499999999997</v>
      </c>
      <c r="S1874">
        <v>0.14442871429870199</v>
      </c>
      <c r="T1874" t="s">
        <v>3634</v>
      </c>
      <c r="U1874" t="s">
        <v>3633</v>
      </c>
    </row>
    <row r="1875" spans="1:21" x14ac:dyDescent="0.25">
      <c r="A1875" t="s">
        <v>3422</v>
      </c>
      <c r="B1875" s="1">
        <v>45959</v>
      </c>
      <c r="C1875" t="s">
        <v>3027</v>
      </c>
      <c r="D1875" t="s">
        <v>30</v>
      </c>
      <c r="E1875" t="s">
        <v>169</v>
      </c>
      <c r="F1875" t="s">
        <v>68</v>
      </c>
      <c r="G1875" t="s">
        <v>69</v>
      </c>
      <c r="H1875" t="s">
        <v>163</v>
      </c>
      <c r="I1875">
        <v>1</v>
      </c>
      <c r="J1875">
        <v>40.549999999999997</v>
      </c>
      <c r="K1875">
        <v>15</v>
      </c>
      <c r="L1875">
        <v>34.47</v>
      </c>
      <c r="M1875">
        <v>11.54</v>
      </c>
      <c r="N1875">
        <v>2.66</v>
      </c>
      <c r="O1875" t="s">
        <v>39</v>
      </c>
      <c r="P1875">
        <v>2025</v>
      </c>
      <c r="Q1875" t="s">
        <v>3645</v>
      </c>
      <c r="R1875">
        <v>29.299499999999998</v>
      </c>
      <c r="S1875">
        <v>9.0786532193382105E-2</v>
      </c>
      <c r="T1875" t="s">
        <v>3634</v>
      </c>
      <c r="U1875" t="s">
        <v>3633</v>
      </c>
    </row>
    <row r="1876" spans="1:21" x14ac:dyDescent="0.25">
      <c r="A1876" t="s">
        <v>3423</v>
      </c>
      <c r="B1876" s="1">
        <v>45960</v>
      </c>
      <c r="C1876" t="s">
        <v>3424</v>
      </c>
      <c r="D1876" t="s">
        <v>49</v>
      </c>
      <c r="E1876" t="s">
        <v>248</v>
      </c>
      <c r="F1876" t="s">
        <v>26</v>
      </c>
      <c r="G1876" t="s">
        <v>42</v>
      </c>
      <c r="H1876" t="s">
        <v>93</v>
      </c>
      <c r="I1876">
        <v>3</v>
      </c>
      <c r="J1876">
        <v>414.09</v>
      </c>
      <c r="K1876">
        <v>10</v>
      </c>
      <c r="L1876">
        <v>1118.04</v>
      </c>
      <c r="M1876">
        <v>13.11</v>
      </c>
      <c r="N1876">
        <v>359.57</v>
      </c>
      <c r="O1876" t="s">
        <v>39</v>
      </c>
      <c r="P1876">
        <v>2025</v>
      </c>
      <c r="Q1876" t="s">
        <v>3645</v>
      </c>
      <c r="R1876">
        <v>1006.236</v>
      </c>
      <c r="S1876">
        <v>0.35734161767219602</v>
      </c>
      <c r="T1876" t="s">
        <v>3635</v>
      </c>
      <c r="U1876" t="s">
        <v>3633</v>
      </c>
    </row>
    <row r="1877" spans="1:21" x14ac:dyDescent="0.25">
      <c r="A1877" t="s">
        <v>3425</v>
      </c>
      <c r="B1877" s="1">
        <v>45960</v>
      </c>
      <c r="C1877" t="s">
        <v>3426</v>
      </c>
      <c r="D1877" t="s">
        <v>30</v>
      </c>
      <c r="E1877" t="s">
        <v>25</v>
      </c>
      <c r="F1877" t="s">
        <v>26</v>
      </c>
      <c r="G1877" t="s">
        <v>69</v>
      </c>
      <c r="H1877" t="s">
        <v>79</v>
      </c>
      <c r="I1877">
        <v>4</v>
      </c>
      <c r="J1877">
        <v>90.28</v>
      </c>
      <c r="K1877">
        <v>15</v>
      </c>
      <c r="L1877">
        <v>306.95</v>
      </c>
      <c r="M1877">
        <v>11.43</v>
      </c>
      <c r="N1877">
        <v>114.96</v>
      </c>
      <c r="O1877" t="s">
        <v>34</v>
      </c>
      <c r="P1877">
        <v>2025</v>
      </c>
      <c r="Q1877" t="s">
        <v>3645</v>
      </c>
      <c r="R1877">
        <v>260.90750000000003</v>
      </c>
      <c r="S1877">
        <v>0.44061592710060099</v>
      </c>
      <c r="T1877" t="s">
        <v>3632</v>
      </c>
      <c r="U1877" t="s">
        <v>3633</v>
      </c>
    </row>
    <row r="1878" spans="1:21" x14ac:dyDescent="0.25">
      <c r="A1878" t="s">
        <v>3427</v>
      </c>
      <c r="B1878" s="1">
        <v>45961</v>
      </c>
      <c r="C1878" t="s">
        <v>3428</v>
      </c>
      <c r="D1878" t="s">
        <v>49</v>
      </c>
      <c r="E1878" t="s">
        <v>37</v>
      </c>
      <c r="F1878" t="s">
        <v>26</v>
      </c>
      <c r="G1878" t="s">
        <v>20</v>
      </c>
      <c r="H1878" t="s">
        <v>21</v>
      </c>
      <c r="I1878">
        <v>2</v>
      </c>
      <c r="J1878">
        <v>217.52</v>
      </c>
      <c r="K1878">
        <v>10</v>
      </c>
      <c r="L1878">
        <v>391.54</v>
      </c>
      <c r="M1878">
        <v>8.5</v>
      </c>
      <c r="N1878">
        <v>143.77000000000001</v>
      </c>
      <c r="O1878" t="s">
        <v>56</v>
      </c>
      <c r="P1878">
        <v>2025</v>
      </c>
      <c r="Q1878" t="s">
        <v>3645</v>
      </c>
      <c r="R1878">
        <v>352.38600000000002</v>
      </c>
      <c r="S1878">
        <v>0.407990101763407</v>
      </c>
      <c r="T1878" t="s">
        <v>3632</v>
      </c>
      <c r="U1878" t="s">
        <v>3633</v>
      </c>
    </row>
    <row r="1879" spans="1:21" x14ac:dyDescent="0.25">
      <c r="A1879" t="s">
        <v>3429</v>
      </c>
      <c r="B1879" s="1">
        <v>45961</v>
      </c>
      <c r="C1879" t="s">
        <v>183</v>
      </c>
      <c r="D1879" t="s">
        <v>30</v>
      </c>
      <c r="E1879" t="s">
        <v>18</v>
      </c>
      <c r="F1879" t="s">
        <v>19</v>
      </c>
      <c r="G1879" t="s">
        <v>69</v>
      </c>
      <c r="H1879" t="s">
        <v>305</v>
      </c>
      <c r="I1879">
        <v>4</v>
      </c>
      <c r="J1879">
        <v>70.89</v>
      </c>
      <c r="K1879">
        <v>0</v>
      </c>
      <c r="L1879">
        <v>283.56</v>
      </c>
      <c r="M1879">
        <v>8.25</v>
      </c>
      <c r="N1879">
        <v>133.53</v>
      </c>
      <c r="O1879" t="s">
        <v>22</v>
      </c>
      <c r="P1879">
        <v>2025</v>
      </c>
      <c r="Q1879" t="s">
        <v>3645</v>
      </c>
      <c r="R1879">
        <v>283.56</v>
      </c>
      <c r="S1879">
        <v>0.47090562843842598</v>
      </c>
      <c r="T1879" t="s">
        <v>3632</v>
      </c>
      <c r="U1879" t="s">
        <v>3633</v>
      </c>
    </row>
    <row r="1880" spans="1:21" x14ac:dyDescent="0.25">
      <c r="A1880" t="s">
        <v>3430</v>
      </c>
      <c r="B1880" s="1">
        <v>45962</v>
      </c>
      <c r="C1880" t="s">
        <v>1768</v>
      </c>
      <c r="D1880" t="s">
        <v>49</v>
      </c>
      <c r="E1880" t="s">
        <v>67</v>
      </c>
      <c r="F1880" t="s">
        <v>68</v>
      </c>
      <c r="G1880" t="s">
        <v>42</v>
      </c>
      <c r="H1880" t="s">
        <v>294</v>
      </c>
      <c r="I1880">
        <v>2</v>
      </c>
      <c r="J1880">
        <v>178.05</v>
      </c>
      <c r="K1880">
        <v>0</v>
      </c>
      <c r="L1880">
        <v>356.1</v>
      </c>
      <c r="M1880">
        <v>11.65</v>
      </c>
      <c r="N1880">
        <v>130.79</v>
      </c>
      <c r="O1880" t="s">
        <v>39</v>
      </c>
      <c r="P1880">
        <v>2025</v>
      </c>
      <c r="Q1880" t="s">
        <v>3646</v>
      </c>
      <c r="R1880">
        <v>356.1</v>
      </c>
      <c r="S1880">
        <v>0.36728447065431002</v>
      </c>
      <c r="T1880" t="s">
        <v>3632</v>
      </c>
      <c r="U1880" t="s">
        <v>3633</v>
      </c>
    </row>
    <row r="1881" spans="1:21" x14ac:dyDescent="0.25">
      <c r="A1881" t="s">
        <v>3431</v>
      </c>
      <c r="B1881" s="1">
        <v>45962</v>
      </c>
      <c r="C1881" t="s">
        <v>3432</v>
      </c>
      <c r="D1881" t="s">
        <v>49</v>
      </c>
      <c r="E1881" t="s">
        <v>76</v>
      </c>
      <c r="F1881" t="s">
        <v>26</v>
      </c>
      <c r="G1881" t="s">
        <v>42</v>
      </c>
      <c r="H1881" t="s">
        <v>43</v>
      </c>
      <c r="I1881">
        <v>10</v>
      </c>
      <c r="J1881">
        <v>320.82</v>
      </c>
      <c r="K1881">
        <v>20</v>
      </c>
      <c r="L1881">
        <v>2566.56</v>
      </c>
      <c r="M1881">
        <v>27</v>
      </c>
      <c r="N1881">
        <v>614.64</v>
      </c>
      <c r="O1881" t="s">
        <v>56</v>
      </c>
      <c r="P1881">
        <v>2025</v>
      </c>
      <c r="Q1881" t="s">
        <v>3646</v>
      </c>
      <c r="R1881">
        <v>2053.248</v>
      </c>
      <c r="S1881">
        <v>0.299350102861418</v>
      </c>
      <c r="T1881" t="s">
        <v>3635</v>
      </c>
      <c r="U1881" t="s">
        <v>3633</v>
      </c>
    </row>
    <row r="1882" spans="1:21" x14ac:dyDescent="0.25">
      <c r="A1882" t="s">
        <v>3433</v>
      </c>
      <c r="B1882" s="1">
        <v>45962</v>
      </c>
      <c r="C1882" t="s">
        <v>3434</v>
      </c>
      <c r="D1882" t="s">
        <v>30</v>
      </c>
      <c r="E1882" t="s">
        <v>121</v>
      </c>
      <c r="F1882" t="s">
        <v>68</v>
      </c>
      <c r="G1882" t="s">
        <v>69</v>
      </c>
      <c r="H1882" t="s">
        <v>79</v>
      </c>
      <c r="I1882">
        <v>6</v>
      </c>
      <c r="J1882">
        <v>92.98</v>
      </c>
      <c r="K1882">
        <v>0</v>
      </c>
      <c r="L1882">
        <v>557.88</v>
      </c>
      <c r="M1882">
        <v>18.670000000000002</v>
      </c>
      <c r="N1882">
        <v>260.27</v>
      </c>
      <c r="O1882" t="s">
        <v>39</v>
      </c>
      <c r="P1882">
        <v>2025</v>
      </c>
      <c r="Q1882" t="s">
        <v>3646</v>
      </c>
      <c r="R1882">
        <v>557.88</v>
      </c>
      <c r="S1882">
        <v>0.46653402165340202</v>
      </c>
      <c r="T1882" t="s">
        <v>3635</v>
      </c>
      <c r="U1882" t="s">
        <v>3633</v>
      </c>
    </row>
    <row r="1883" spans="1:21" x14ac:dyDescent="0.25">
      <c r="A1883" t="s">
        <v>3435</v>
      </c>
      <c r="B1883" s="1">
        <v>45963</v>
      </c>
      <c r="C1883" t="s">
        <v>3005</v>
      </c>
      <c r="D1883" t="s">
        <v>17</v>
      </c>
      <c r="E1883" t="s">
        <v>31</v>
      </c>
      <c r="F1883" t="s">
        <v>19</v>
      </c>
      <c r="G1883" t="s">
        <v>20</v>
      </c>
      <c r="H1883" t="s">
        <v>170</v>
      </c>
      <c r="I1883">
        <v>2</v>
      </c>
      <c r="J1883">
        <v>61.98</v>
      </c>
      <c r="K1883">
        <v>15</v>
      </c>
      <c r="L1883">
        <v>105.37</v>
      </c>
      <c r="M1883">
        <v>7.76</v>
      </c>
      <c r="N1883">
        <v>29.43</v>
      </c>
      <c r="O1883" t="s">
        <v>56</v>
      </c>
      <c r="P1883">
        <v>2025</v>
      </c>
      <c r="Q1883" t="s">
        <v>3646</v>
      </c>
      <c r="R1883">
        <v>89.564499999999995</v>
      </c>
      <c r="S1883">
        <v>0.32859001055105502</v>
      </c>
      <c r="T1883" t="s">
        <v>3632</v>
      </c>
      <c r="U1883" t="s">
        <v>3633</v>
      </c>
    </row>
    <row r="1884" spans="1:21" x14ac:dyDescent="0.25">
      <c r="A1884" t="s">
        <v>3436</v>
      </c>
      <c r="B1884" s="1">
        <v>45963</v>
      </c>
      <c r="C1884" t="s">
        <v>3437</v>
      </c>
      <c r="D1884" t="s">
        <v>30</v>
      </c>
      <c r="E1884" t="s">
        <v>31</v>
      </c>
      <c r="F1884" t="s">
        <v>19</v>
      </c>
      <c r="G1884" t="s">
        <v>32</v>
      </c>
      <c r="H1884" t="s">
        <v>50</v>
      </c>
      <c r="I1884">
        <v>2</v>
      </c>
      <c r="J1884">
        <v>24.23</v>
      </c>
      <c r="K1884">
        <v>0</v>
      </c>
      <c r="L1884">
        <v>48.46</v>
      </c>
      <c r="M1884">
        <v>7.91</v>
      </c>
      <c r="N1884">
        <v>18.739999999999998</v>
      </c>
      <c r="O1884" t="s">
        <v>22</v>
      </c>
      <c r="P1884">
        <v>2025</v>
      </c>
      <c r="Q1884" t="s">
        <v>3646</v>
      </c>
      <c r="R1884">
        <v>48.46</v>
      </c>
      <c r="S1884">
        <v>0.38671068922822899</v>
      </c>
      <c r="T1884" t="s">
        <v>3634</v>
      </c>
      <c r="U1884" t="s">
        <v>3633</v>
      </c>
    </row>
    <row r="1885" spans="1:21" x14ac:dyDescent="0.25">
      <c r="A1885" t="s">
        <v>3438</v>
      </c>
      <c r="B1885" s="1">
        <v>45964</v>
      </c>
      <c r="C1885" t="s">
        <v>3439</v>
      </c>
      <c r="D1885" t="s">
        <v>17</v>
      </c>
      <c r="E1885" t="s">
        <v>25</v>
      </c>
      <c r="F1885" t="s">
        <v>26</v>
      </c>
      <c r="G1885" t="s">
        <v>20</v>
      </c>
      <c r="H1885" t="s">
        <v>21</v>
      </c>
      <c r="I1885">
        <v>5</v>
      </c>
      <c r="J1885">
        <v>248.6</v>
      </c>
      <c r="K1885">
        <v>25</v>
      </c>
      <c r="L1885">
        <v>932.25</v>
      </c>
      <c r="M1885">
        <v>17.13</v>
      </c>
      <c r="N1885">
        <v>231.47</v>
      </c>
      <c r="O1885" t="s">
        <v>56</v>
      </c>
      <c r="P1885">
        <v>2025</v>
      </c>
      <c r="Q1885" t="s">
        <v>3646</v>
      </c>
      <c r="R1885">
        <v>699.1875</v>
      </c>
      <c r="S1885">
        <v>0.33105568963976001</v>
      </c>
      <c r="T1885" t="s">
        <v>3635</v>
      </c>
      <c r="U1885" t="s">
        <v>3633</v>
      </c>
    </row>
    <row r="1886" spans="1:21" x14ac:dyDescent="0.25">
      <c r="A1886" t="s">
        <v>3440</v>
      </c>
      <c r="B1886" s="1">
        <v>45964</v>
      </c>
      <c r="C1886" t="s">
        <v>3441</v>
      </c>
      <c r="D1886" t="s">
        <v>30</v>
      </c>
      <c r="E1886" t="s">
        <v>25</v>
      </c>
      <c r="F1886" t="s">
        <v>26</v>
      </c>
      <c r="G1886" t="s">
        <v>42</v>
      </c>
      <c r="H1886" t="s">
        <v>89</v>
      </c>
      <c r="I1886">
        <v>2</v>
      </c>
      <c r="J1886">
        <v>297.83999999999997</v>
      </c>
      <c r="K1886">
        <v>15</v>
      </c>
      <c r="L1886">
        <v>506.33</v>
      </c>
      <c r="M1886">
        <v>8.5500000000000007</v>
      </c>
      <c r="N1886">
        <v>140.37</v>
      </c>
      <c r="O1886" t="s">
        <v>56</v>
      </c>
      <c r="P1886">
        <v>2025</v>
      </c>
      <c r="Q1886" t="s">
        <v>3646</v>
      </c>
      <c r="R1886">
        <v>430.38049999999998</v>
      </c>
      <c r="S1886">
        <v>0.32615325276121998</v>
      </c>
      <c r="T1886" t="s">
        <v>3635</v>
      </c>
      <c r="U1886" t="s">
        <v>3633</v>
      </c>
    </row>
    <row r="1887" spans="1:21" x14ac:dyDescent="0.25">
      <c r="A1887" t="s">
        <v>3442</v>
      </c>
      <c r="B1887" s="1">
        <v>45964</v>
      </c>
      <c r="C1887" t="s">
        <v>3443</v>
      </c>
      <c r="D1887" t="s">
        <v>49</v>
      </c>
      <c r="E1887" t="s">
        <v>248</v>
      </c>
      <c r="F1887" t="s">
        <v>26</v>
      </c>
      <c r="G1887" t="s">
        <v>20</v>
      </c>
      <c r="H1887" t="s">
        <v>122</v>
      </c>
      <c r="I1887">
        <v>6</v>
      </c>
      <c r="J1887">
        <v>110.54</v>
      </c>
      <c r="K1887">
        <v>10</v>
      </c>
      <c r="L1887">
        <v>596.91999999999996</v>
      </c>
      <c r="M1887">
        <v>21.12</v>
      </c>
      <c r="N1887">
        <v>211.02</v>
      </c>
      <c r="O1887" t="s">
        <v>39</v>
      </c>
      <c r="P1887">
        <v>2025</v>
      </c>
      <c r="Q1887" t="s">
        <v>3646</v>
      </c>
      <c r="R1887">
        <v>537.22799999999995</v>
      </c>
      <c r="S1887">
        <v>0.39279412093189497</v>
      </c>
      <c r="T1887" t="s">
        <v>3635</v>
      </c>
      <c r="U1887" t="s">
        <v>3633</v>
      </c>
    </row>
    <row r="1888" spans="1:21" x14ac:dyDescent="0.25">
      <c r="A1888" t="s">
        <v>3444</v>
      </c>
      <c r="B1888" s="1">
        <v>45965</v>
      </c>
      <c r="C1888" t="s">
        <v>3445</v>
      </c>
      <c r="D1888" t="s">
        <v>30</v>
      </c>
      <c r="E1888" t="s">
        <v>37</v>
      </c>
      <c r="F1888" t="s">
        <v>26</v>
      </c>
      <c r="G1888" t="s">
        <v>20</v>
      </c>
      <c r="H1888" t="s">
        <v>175</v>
      </c>
      <c r="I1888">
        <v>1</v>
      </c>
      <c r="J1888">
        <v>48.57</v>
      </c>
      <c r="K1888">
        <v>15</v>
      </c>
      <c r="L1888">
        <v>41.28</v>
      </c>
      <c r="M1888">
        <v>8.92</v>
      </c>
      <c r="N1888">
        <v>5.65</v>
      </c>
      <c r="O1888" t="s">
        <v>39</v>
      </c>
      <c r="P1888">
        <v>2025</v>
      </c>
      <c r="Q1888" t="s">
        <v>3646</v>
      </c>
      <c r="R1888">
        <v>35.088000000000001</v>
      </c>
      <c r="S1888">
        <v>0.161023711810306</v>
      </c>
      <c r="T1888" t="s">
        <v>3634</v>
      </c>
      <c r="U1888" t="s">
        <v>3633</v>
      </c>
    </row>
    <row r="1889" spans="1:21" x14ac:dyDescent="0.25">
      <c r="A1889" t="s">
        <v>3446</v>
      </c>
      <c r="B1889" s="1">
        <v>45966</v>
      </c>
      <c r="C1889" t="s">
        <v>764</v>
      </c>
      <c r="D1889" t="s">
        <v>49</v>
      </c>
      <c r="E1889" t="s">
        <v>92</v>
      </c>
      <c r="F1889" t="s">
        <v>60</v>
      </c>
      <c r="G1889" t="s">
        <v>32</v>
      </c>
      <c r="H1889" t="s">
        <v>149</v>
      </c>
      <c r="I1889">
        <v>7</v>
      </c>
      <c r="J1889">
        <v>12.96</v>
      </c>
      <c r="K1889">
        <v>0</v>
      </c>
      <c r="L1889">
        <v>90.72</v>
      </c>
      <c r="M1889">
        <v>22.05</v>
      </c>
      <c r="N1889">
        <v>27.85</v>
      </c>
      <c r="O1889" t="s">
        <v>39</v>
      </c>
      <c r="P1889">
        <v>2025</v>
      </c>
      <c r="Q1889" t="s">
        <v>3646</v>
      </c>
      <c r="R1889">
        <v>90.72</v>
      </c>
      <c r="S1889">
        <v>0.306988536155203</v>
      </c>
      <c r="T1889" t="s">
        <v>3634</v>
      </c>
      <c r="U1889" t="s">
        <v>3633</v>
      </c>
    </row>
    <row r="1890" spans="1:21" x14ac:dyDescent="0.25">
      <c r="A1890" t="s">
        <v>3447</v>
      </c>
      <c r="B1890" s="1">
        <v>45967</v>
      </c>
      <c r="C1890" t="s">
        <v>1348</v>
      </c>
      <c r="D1890" t="s">
        <v>17</v>
      </c>
      <c r="E1890" t="s">
        <v>129</v>
      </c>
      <c r="F1890" t="s">
        <v>19</v>
      </c>
      <c r="G1890" t="s">
        <v>42</v>
      </c>
      <c r="H1890" t="s">
        <v>234</v>
      </c>
      <c r="I1890">
        <v>1</v>
      </c>
      <c r="J1890">
        <v>79.069999999999993</v>
      </c>
      <c r="K1890">
        <v>0</v>
      </c>
      <c r="L1890">
        <v>79.069999999999993</v>
      </c>
      <c r="M1890">
        <v>7.11</v>
      </c>
      <c r="N1890">
        <v>24.52</v>
      </c>
      <c r="O1890" t="s">
        <v>34</v>
      </c>
      <c r="P1890">
        <v>2025</v>
      </c>
      <c r="Q1890" t="s">
        <v>3646</v>
      </c>
      <c r="R1890">
        <v>79.069999999999993</v>
      </c>
      <c r="S1890">
        <v>0.31010497027949901</v>
      </c>
      <c r="T1890" t="s">
        <v>3634</v>
      </c>
      <c r="U1890" t="s">
        <v>3633</v>
      </c>
    </row>
    <row r="1891" spans="1:21" x14ac:dyDescent="0.25">
      <c r="A1891" t="s">
        <v>3448</v>
      </c>
      <c r="B1891" s="1">
        <v>45967</v>
      </c>
      <c r="C1891" t="s">
        <v>3449</v>
      </c>
      <c r="D1891" t="s">
        <v>30</v>
      </c>
      <c r="E1891" t="s">
        <v>138</v>
      </c>
      <c r="F1891" t="s">
        <v>54</v>
      </c>
      <c r="G1891" t="s">
        <v>20</v>
      </c>
      <c r="H1891" t="s">
        <v>38</v>
      </c>
      <c r="I1891">
        <v>2</v>
      </c>
      <c r="J1891">
        <v>41.12</v>
      </c>
      <c r="K1891">
        <v>0</v>
      </c>
      <c r="L1891">
        <v>82.24</v>
      </c>
      <c r="M1891">
        <v>15.15</v>
      </c>
      <c r="N1891">
        <v>21.86</v>
      </c>
      <c r="O1891" t="s">
        <v>34</v>
      </c>
      <c r="P1891">
        <v>2025</v>
      </c>
      <c r="Q1891" t="s">
        <v>3646</v>
      </c>
      <c r="R1891">
        <v>82.24</v>
      </c>
      <c r="S1891">
        <v>0.265807392996109</v>
      </c>
      <c r="T1891" t="s">
        <v>3634</v>
      </c>
      <c r="U1891" t="s">
        <v>3633</v>
      </c>
    </row>
    <row r="1892" spans="1:21" x14ac:dyDescent="0.25">
      <c r="A1892" t="s">
        <v>3450</v>
      </c>
      <c r="B1892" s="1">
        <v>45967</v>
      </c>
      <c r="C1892" t="s">
        <v>3451</v>
      </c>
      <c r="D1892" t="s">
        <v>17</v>
      </c>
      <c r="E1892" t="s">
        <v>31</v>
      </c>
      <c r="F1892" t="s">
        <v>19</v>
      </c>
      <c r="G1892" t="s">
        <v>32</v>
      </c>
      <c r="H1892" t="s">
        <v>110</v>
      </c>
      <c r="I1892">
        <v>1</v>
      </c>
      <c r="J1892">
        <v>7.84</v>
      </c>
      <c r="K1892">
        <v>15</v>
      </c>
      <c r="L1892">
        <v>6.66</v>
      </c>
      <c r="M1892">
        <v>6.96</v>
      </c>
      <c r="N1892">
        <v>-3.83</v>
      </c>
      <c r="O1892" t="s">
        <v>34</v>
      </c>
      <c r="P1892">
        <v>2025</v>
      </c>
      <c r="Q1892" t="s">
        <v>3646</v>
      </c>
      <c r="R1892">
        <v>5.6609999999999996</v>
      </c>
      <c r="S1892">
        <v>-0.67655891185302997</v>
      </c>
      <c r="T1892" t="s">
        <v>3634</v>
      </c>
      <c r="U1892" t="s">
        <v>3636</v>
      </c>
    </row>
    <row r="1893" spans="1:21" x14ac:dyDescent="0.25">
      <c r="A1893" t="s">
        <v>3452</v>
      </c>
      <c r="B1893" s="1">
        <v>45968</v>
      </c>
      <c r="C1893" t="s">
        <v>3453</v>
      </c>
      <c r="D1893" t="s">
        <v>49</v>
      </c>
      <c r="E1893" t="s">
        <v>59</v>
      </c>
      <c r="F1893" t="s">
        <v>60</v>
      </c>
      <c r="G1893" t="s">
        <v>42</v>
      </c>
      <c r="H1893" t="s">
        <v>64</v>
      </c>
      <c r="I1893">
        <v>4</v>
      </c>
      <c r="J1893">
        <v>102.08</v>
      </c>
      <c r="K1893">
        <v>0</v>
      </c>
      <c r="L1893">
        <v>408.32</v>
      </c>
      <c r="M1893">
        <v>18.68</v>
      </c>
      <c r="N1893">
        <v>144.65</v>
      </c>
      <c r="O1893" t="s">
        <v>34</v>
      </c>
      <c r="P1893">
        <v>2025</v>
      </c>
      <c r="Q1893" t="s">
        <v>3646</v>
      </c>
      <c r="R1893">
        <v>408.32</v>
      </c>
      <c r="S1893">
        <v>0.35425646551724099</v>
      </c>
      <c r="T1893" t="s">
        <v>3632</v>
      </c>
      <c r="U1893" t="s">
        <v>3633</v>
      </c>
    </row>
    <row r="1894" spans="1:21" x14ac:dyDescent="0.25">
      <c r="A1894" t="s">
        <v>3454</v>
      </c>
      <c r="B1894" s="1">
        <v>45969</v>
      </c>
      <c r="C1894" t="s">
        <v>3455</v>
      </c>
      <c r="D1894" t="s">
        <v>49</v>
      </c>
      <c r="E1894" t="s">
        <v>59</v>
      </c>
      <c r="F1894" t="s">
        <v>60</v>
      </c>
      <c r="G1894" t="s">
        <v>42</v>
      </c>
      <c r="H1894" t="s">
        <v>93</v>
      </c>
      <c r="I1894">
        <v>1</v>
      </c>
      <c r="J1894">
        <v>165.86</v>
      </c>
      <c r="K1894">
        <v>5</v>
      </c>
      <c r="L1894">
        <v>157.57</v>
      </c>
      <c r="M1894">
        <v>10.45</v>
      </c>
      <c r="N1894">
        <v>47.6</v>
      </c>
      <c r="O1894" t="s">
        <v>39</v>
      </c>
      <c r="P1894">
        <v>2025</v>
      </c>
      <c r="Q1894" t="s">
        <v>3646</v>
      </c>
      <c r="R1894">
        <v>149.69149999999999</v>
      </c>
      <c r="S1894">
        <v>0.31798732726975198</v>
      </c>
      <c r="T1894" t="s">
        <v>3632</v>
      </c>
      <c r="U1894" t="s">
        <v>3633</v>
      </c>
    </row>
    <row r="1895" spans="1:21" x14ac:dyDescent="0.25">
      <c r="A1895" t="s">
        <v>3456</v>
      </c>
      <c r="B1895" s="1">
        <v>45969</v>
      </c>
      <c r="C1895" t="s">
        <v>3242</v>
      </c>
      <c r="D1895" t="s">
        <v>30</v>
      </c>
      <c r="E1895" t="s">
        <v>166</v>
      </c>
      <c r="F1895" t="s">
        <v>60</v>
      </c>
      <c r="G1895" t="s">
        <v>69</v>
      </c>
      <c r="H1895" t="s">
        <v>86</v>
      </c>
      <c r="I1895">
        <v>6</v>
      </c>
      <c r="J1895">
        <v>129.18</v>
      </c>
      <c r="K1895">
        <v>0</v>
      </c>
      <c r="L1895">
        <v>775.08</v>
      </c>
      <c r="M1895">
        <v>12.89</v>
      </c>
      <c r="N1895">
        <v>374.65</v>
      </c>
      <c r="O1895" t="s">
        <v>34</v>
      </c>
      <c r="P1895">
        <v>2025</v>
      </c>
      <c r="Q1895" t="s">
        <v>3646</v>
      </c>
      <c r="R1895">
        <v>775.08</v>
      </c>
      <c r="S1895">
        <v>0.48336945863652803</v>
      </c>
      <c r="T1895" t="s">
        <v>3635</v>
      </c>
      <c r="U1895" t="s">
        <v>3633</v>
      </c>
    </row>
    <row r="1896" spans="1:21" x14ac:dyDescent="0.25">
      <c r="A1896" t="s">
        <v>3457</v>
      </c>
      <c r="B1896" s="1">
        <v>45969</v>
      </c>
      <c r="C1896" t="s">
        <v>3458</v>
      </c>
      <c r="D1896" t="s">
        <v>30</v>
      </c>
      <c r="E1896" t="s">
        <v>248</v>
      </c>
      <c r="F1896" t="s">
        <v>26</v>
      </c>
      <c r="G1896" t="s">
        <v>42</v>
      </c>
      <c r="H1896" t="s">
        <v>234</v>
      </c>
      <c r="I1896">
        <v>5</v>
      </c>
      <c r="J1896">
        <v>72.91</v>
      </c>
      <c r="K1896">
        <v>5</v>
      </c>
      <c r="L1896">
        <v>346.32</v>
      </c>
      <c r="M1896">
        <v>18.059999999999999</v>
      </c>
      <c r="N1896">
        <v>109.53</v>
      </c>
      <c r="O1896" t="s">
        <v>34</v>
      </c>
      <c r="P1896">
        <v>2025</v>
      </c>
      <c r="Q1896" t="s">
        <v>3646</v>
      </c>
      <c r="R1896">
        <v>329.00400000000002</v>
      </c>
      <c r="S1896">
        <v>0.33291388554546397</v>
      </c>
      <c r="T1896" t="s">
        <v>3632</v>
      </c>
      <c r="U1896" t="s">
        <v>3633</v>
      </c>
    </row>
    <row r="1897" spans="1:21" x14ac:dyDescent="0.25">
      <c r="A1897" t="s">
        <v>3459</v>
      </c>
      <c r="B1897" s="1">
        <v>45969</v>
      </c>
      <c r="C1897" t="s">
        <v>2354</v>
      </c>
      <c r="D1897" t="s">
        <v>30</v>
      </c>
      <c r="E1897" t="s">
        <v>63</v>
      </c>
      <c r="F1897" t="s">
        <v>54</v>
      </c>
      <c r="G1897" t="s">
        <v>69</v>
      </c>
      <c r="H1897" t="s">
        <v>163</v>
      </c>
      <c r="I1897">
        <v>3</v>
      </c>
      <c r="J1897">
        <v>53.65</v>
      </c>
      <c r="K1897">
        <v>5</v>
      </c>
      <c r="L1897">
        <v>152.9</v>
      </c>
      <c r="M1897">
        <v>13.46</v>
      </c>
      <c r="N1897">
        <v>58.97</v>
      </c>
      <c r="O1897" t="s">
        <v>34</v>
      </c>
      <c r="P1897">
        <v>2025</v>
      </c>
      <c r="Q1897" t="s">
        <v>3646</v>
      </c>
      <c r="R1897">
        <v>145.255</v>
      </c>
      <c r="S1897">
        <v>0.40597569791057098</v>
      </c>
      <c r="T1897" t="s">
        <v>3632</v>
      </c>
      <c r="U1897" t="s">
        <v>3633</v>
      </c>
    </row>
    <row r="1898" spans="1:21" x14ac:dyDescent="0.25">
      <c r="A1898" t="s">
        <v>3460</v>
      </c>
      <c r="B1898" s="1">
        <v>45969</v>
      </c>
      <c r="C1898" t="s">
        <v>3461</v>
      </c>
      <c r="D1898" t="s">
        <v>49</v>
      </c>
      <c r="E1898" t="s">
        <v>76</v>
      </c>
      <c r="F1898" t="s">
        <v>26</v>
      </c>
      <c r="G1898" t="s">
        <v>42</v>
      </c>
      <c r="H1898" t="s">
        <v>294</v>
      </c>
      <c r="I1898">
        <v>1</v>
      </c>
      <c r="J1898">
        <v>272.64</v>
      </c>
      <c r="K1898">
        <v>10</v>
      </c>
      <c r="L1898">
        <v>245.38</v>
      </c>
      <c r="M1898">
        <v>9.1199999999999992</v>
      </c>
      <c r="N1898">
        <v>72.680000000000007</v>
      </c>
      <c r="O1898" t="s">
        <v>34</v>
      </c>
      <c r="P1898">
        <v>2025</v>
      </c>
      <c r="Q1898" t="s">
        <v>3646</v>
      </c>
      <c r="R1898">
        <v>220.84200000000001</v>
      </c>
      <c r="S1898">
        <v>0.32910406534988801</v>
      </c>
      <c r="T1898" t="s">
        <v>3632</v>
      </c>
      <c r="U1898" t="s">
        <v>3633</v>
      </c>
    </row>
    <row r="1899" spans="1:21" x14ac:dyDescent="0.25">
      <c r="A1899" t="s">
        <v>3462</v>
      </c>
      <c r="B1899" s="1">
        <v>45970</v>
      </c>
      <c r="C1899" t="s">
        <v>1855</v>
      </c>
      <c r="D1899" t="s">
        <v>17</v>
      </c>
      <c r="E1899" t="s">
        <v>59</v>
      </c>
      <c r="F1899" t="s">
        <v>60</v>
      </c>
      <c r="G1899" t="s">
        <v>20</v>
      </c>
      <c r="H1899" t="s">
        <v>21</v>
      </c>
      <c r="I1899">
        <v>2</v>
      </c>
      <c r="J1899">
        <v>166.68</v>
      </c>
      <c r="K1899">
        <v>15</v>
      </c>
      <c r="L1899">
        <v>283.36</v>
      </c>
      <c r="M1899">
        <v>11.52</v>
      </c>
      <c r="N1899">
        <v>88.49</v>
      </c>
      <c r="O1899" t="s">
        <v>39</v>
      </c>
      <c r="P1899">
        <v>2025</v>
      </c>
      <c r="Q1899" t="s">
        <v>3646</v>
      </c>
      <c r="R1899">
        <v>240.85599999999999</v>
      </c>
      <c r="S1899">
        <v>0.367397947321221</v>
      </c>
      <c r="T1899" t="s">
        <v>3632</v>
      </c>
      <c r="U1899" t="s">
        <v>3633</v>
      </c>
    </row>
    <row r="1900" spans="1:21" x14ac:dyDescent="0.25">
      <c r="A1900" t="s">
        <v>3463</v>
      </c>
      <c r="B1900" s="1">
        <v>45970</v>
      </c>
      <c r="C1900" t="s">
        <v>1098</v>
      </c>
      <c r="D1900" t="s">
        <v>17</v>
      </c>
      <c r="E1900" t="s">
        <v>76</v>
      </c>
      <c r="F1900" t="s">
        <v>26</v>
      </c>
      <c r="G1900" t="s">
        <v>42</v>
      </c>
      <c r="H1900" t="s">
        <v>43</v>
      </c>
      <c r="I1900">
        <v>3</v>
      </c>
      <c r="J1900">
        <v>263.77</v>
      </c>
      <c r="K1900">
        <v>5</v>
      </c>
      <c r="L1900">
        <v>751.74</v>
      </c>
      <c r="M1900">
        <v>8.65</v>
      </c>
      <c r="N1900">
        <v>268.3</v>
      </c>
      <c r="O1900" t="s">
        <v>56</v>
      </c>
      <c r="P1900">
        <v>2025</v>
      </c>
      <c r="Q1900" t="s">
        <v>3646</v>
      </c>
      <c r="R1900">
        <v>714.15300000000002</v>
      </c>
      <c r="S1900">
        <v>0.37568980316542799</v>
      </c>
      <c r="T1900" t="s">
        <v>3635</v>
      </c>
      <c r="U1900" t="s">
        <v>3633</v>
      </c>
    </row>
    <row r="1901" spans="1:21" x14ac:dyDescent="0.25">
      <c r="A1901" t="s">
        <v>3464</v>
      </c>
      <c r="B1901" s="1">
        <v>45971</v>
      </c>
      <c r="C1901" t="s">
        <v>956</v>
      </c>
      <c r="D1901" t="s">
        <v>30</v>
      </c>
      <c r="E1901" t="s">
        <v>135</v>
      </c>
      <c r="F1901" t="s">
        <v>26</v>
      </c>
      <c r="G1901" t="s">
        <v>42</v>
      </c>
      <c r="H1901" t="s">
        <v>118</v>
      </c>
      <c r="I1901">
        <v>4</v>
      </c>
      <c r="J1901">
        <v>78.41</v>
      </c>
      <c r="K1901">
        <v>0</v>
      </c>
      <c r="L1901">
        <v>313.64</v>
      </c>
      <c r="M1901">
        <v>10.24</v>
      </c>
      <c r="N1901">
        <v>115.22</v>
      </c>
      <c r="O1901" t="s">
        <v>34</v>
      </c>
      <c r="P1901">
        <v>2025</v>
      </c>
      <c r="Q1901" t="s">
        <v>3646</v>
      </c>
      <c r="R1901">
        <v>313.64</v>
      </c>
      <c r="S1901">
        <v>0.36736385665093702</v>
      </c>
      <c r="T1901" t="s">
        <v>3632</v>
      </c>
      <c r="U1901" t="s">
        <v>3633</v>
      </c>
    </row>
    <row r="1902" spans="1:21" x14ac:dyDescent="0.25">
      <c r="A1902" t="s">
        <v>3465</v>
      </c>
      <c r="B1902" s="1">
        <v>45972</v>
      </c>
      <c r="C1902" t="s">
        <v>3466</v>
      </c>
      <c r="D1902" t="s">
        <v>30</v>
      </c>
      <c r="E1902" t="s">
        <v>67</v>
      </c>
      <c r="F1902" t="s">
        <v>68</v>
      </c>
      <c r="G1902" t="s">
        <v>32</v>
      </c>
      <c r="H1902" t="s">
        <v>348</v>
      </c>
      <c r="I1902">
        <v>5</v>
      </c>
      <c r="J1902">
        <v>6.76</v>
      </c>
      <c r="K1902">
        <v>15</v>
      </c>
      <c r="L1902">
        <v>28.73</v>
      </c>
      <c r="M1902">
        <v>18</v>
      </c>
      <c r="N1902">
        <v>-4.4800000000000004</v>
      </c>
      <c r="O1902" t="s">
        <v>34</v>
      </c>
      <c r="P1902">
        <v>2025</v>
      </c>
      <c r="Q1902" t="s">
        <v>3646</v>
      </c>
      <c r="R1902">
        <v>24.420500000000001</v>
      </c>
      <c r="S1902">
        <v>-0.18345242726397901</v>
      </c>
      <c r="T1902" t="s">
        <v>3634</v>
      </c>
      <c r="U1902" t="s">
        <v>3636</v>
      </c>
    </row>
    <row r="1903" spans="1:21" x14ac:dyDescent="0.25">
      <c r="A1903" t="s">
        <v>3467</v>
      </c>
      <c r="B1903" s="1">
        <v>45972</v>
      </c>
      <c r="C1903" t="s">
        <v>3468</v>
      </c>
      <c r="D1903" t="s">
        <v>30</v>
      </c>
      <c r="E1903" t="s">
        <v>31</v>
      </c>
      <c r="F1903" t="s">
        <v>19</v>
      </c>
      <c r="G1903" t="s">
        <v>32</v>
      </c>
      <c r="H1903" t="s">
        <v>73</v>
      </c>
      <c r="I1903">
        <v>2</v>
      </c>
      <c r="J1903">
        <v>7.54</v>
      </c>
      <c r="K1903">
        <v>0</v>
      </c>
      <c r="L1903">
        <v>15.08</v>
      </c>
      <c r="M1903">
        <v>6.17</v>
      </c>
      <c r="N1903">
        <v>2.12</v>
      </c>
      <c r="O1903" t="s">
        <v>34</v>
      </c>
      <c r="P1903">
        <v>2025</v>
      </c>
      <c r="Q1903" t="s">
        <v>3646</v>
      </c>
      <c r="R1903">
        <v>15.08</v>
      </c>
      <c r="S1903">
        <v>0.14058355437665801</v>
      </c>
      <c r="T1903" t="s">
        <v>3634</v>
      </c>
      <c r="U1903" t="s">
        <v>3633</v>
      </c>
    </row>
    <row r="1904" spans="1:21" x14ac:dyDescent="0.25">
      <c r="A1904" t="s">
        <v>3469</v>
      </c>
      <c r="B1904" s="1">
        <v>45973</v>
      </c>
      <c r="C1904" t="s">
        <v>2501</v>
      </c>
      <c r="D1904" t="s">
        <v>30</v>
      </c>
      <c r="E1904" t="s">
        <v>166</v>
      </c>
      <c r="F1904" t="s">
        <v>60</v>
      </c>
      <c r="G1904" t="s">
        <v>32</v>
      </c>
      <c r="H1904" t="s">
        <v>82</v>
      </c>
      <c r="I1904">
        <v>4</v>
      </c>
      <c r="J1904">
        <v>21.32</v>
      </c>
      <c r="K1904">
        <v>20</v>
      </c>
      <c r="L1904">
        <v>68.22</v>
      </c>
      <c r="M1904">
        <v>14.03</v>
      </c>
      <c r="N1904">
        <v>15.81</v>
      </c>
      <c r="O1904" t="s">
        <v>39</v>
      </c>
      <c r="P1904">
        <v>2025</v>
      </c>
      <c r="Q1904" t="s">
        <v>3646</v>
      </c>
      <c r="R1904">
        <v>54.576000000000001</v>
      </c>
      <c r="S1904">
        <v>0.28968777484608599</v>
      </c>
      <c r="T1904" t="s">
        <v>3634</v>
      </c>
      <c r="U1904" t="s">
        <v>3633</v>
      </c>
    </row>
    <row r="1905" spans="1:21" x14ac:dyDescent="0.25">
      <c r="A1905" t="s">
        <v>3470</v>
      </c>
      <c r="B1905" s="1">
        <v>45974</v>
      </c>
      <c r="C1905" t="s">
        <v>2580</v>
      </c>
      <c r="D1905" t="s">
        <v>49</v>
      </c>
      <c r="E1905" t="s">
        <v>18</v>
      </c>
      <c r="F1905" t="s">
        <v>19</v>
      </c>
      <c r="G1905" t="s">
        <v>32</v>
      </c>
      <c r="H1905" t="s">
        <v>82</v>
      </c>
      <c r="I1905">
        <v>4</v>
      </c>
      <c r="J1905">
        <v>13.79</v>
      </c>
      <c r="K1905">
        <v>0</v>
      </c>
      <c r="L1905">
        <v>55.16</v>
      </c>
      <c r="M1905">
        <v>14.12</v>
      </c>
      <c r="N1905">
        <v>16.22</v>
      </c>
      <c r="O1905" t="s">
        <v>39</v>
      </c>
      <c r="P1905">
        <v>2025</v>
      </c>
      <c r="Q1905" t="s">
        <v>3646</v>
      </c>
      <c r="R1905">
        <v>55.16</v>
      </c>
      <c r="S1905">
        <v>0.29405366207396699</v>
      </c>
      <c r="T1905" t="s">
        <v>3634</v>
      </c>
      <c r="U1905" t="s">
        <v>3633</v>
      </c>
    </row>
    <row r="1906" spans="1:21" x14ac:dyDescent="0.25">
      <c r="A1906" t="s">
        <v>3471</v>
      </c>
      <c r="B1906" s="1">
        <v>45974</v>
      </c>
      <c r="C1906" t="s">
        <v>2015</v>
      </c>
      <c r="D1906" t="s">
        <v>17</v>
      </c>
      <c r="E1906" t="s">
        <v>129</v>
      </c>
      <c r="F1906" t="s">
        <v>19</v>
      </c>
      <c r="G1906" t="s">
        <v>32</v>
      </c>
      <c r="H1906" t="s">
        <v>33</v>
      </c>
      <c r="I1906">
        <v>2</v>
      </c>
      <c r="J1906">
        <v>14.04</v>
      </c>
      <c r="K1906">
        <v>15</v>
      </c>
      <c r="L1906">
        <v>23.87</v>
      </c>
      <c r="M1906">
        <v>7.52</v>
      </c>
      <c r="N1906">
        <v>3.71</v>
      </c>
      <c r="O1906" t="s">
        <v>22</v>
      </c>
      <c r="P1906">
        <v>2025</v>
      </c>
      <c r="Q1906" t="s">
        <v>3646</v>
      </c>
      <c r="R1906">
        <v>20.2895</v>
      </c>
      <c r="S1906">
        <v>0.18285319993099899</v>
      </c>
      <c r="T1906" t="s">
        <v>3634</v>
      </c>
      <c r="U1906" t="s">
        <v>3633</v>
      </c>
    </row>
    <row r="1907" spans="1:21" x14ac:dyDescent="0.25">
      <c r="A1907" t="s">
        <v>3472</v>
      </c>
      <c r="B1907" s="1">
        <v>45975</v>
      </c>
      <c r="C1907" t="s">
        <v>3473</v>
      </c>
      <c r="D1907" t="s">
        <v>17</v>
      </c>
      <c r="E1907" t="s">
        <v>25</v>
      </c>
      <c r="F1907" t="s">
        <v>26</v>
      </c>
      <c r="G1907" t="s">
        <v>32</v>
      </c>
      <c r="H1907" t="s">
        <v>110</v>
      </c>
      <c r="I1907">
        <v>1</v>
      </c>
      <c r="J1907">
        <v>13.54</v>
      </c>
      <c r="K1907">
        <v>5</v>
      </c>
      <c r="L1907">
        <v>12.86</v>
      </c>
      <c r="M1907">
        <v>8.16</v>
      </c>
      <c r="N1907">
        <v>-1.39</v>
      </c>
      <c r="O1907" t="s">
        <v>34</v>
      </c>
      <c r="P1907">
        <v>2025</v>
      </c>
      <c r="Q1907" t="s">
        <v>3646</v>
      </c>
      <c r="R1907">
        <v>12.217000000000001</v>
      </c>
      <c r="S1907">
        <v>-0.113775886060408</v>
      </c>
      <c r="T1907" t="s">
        <v>3634</v>
      </c>
      <c r="U1907" t="s">
        <v>3636</v>
      </c>
    </row>
    <row r="1908" spans="1:21" x14ac:dyDescent="0.25">
      <c r="A1908" t="s">
        <v>3474</v>
      </c>
      <c r="B1908" s="1">
        <v>45976</v>
      </c>
      <c r="C1908" t="s">
        <v>1818</v>
      </c>
      <c r="D1908" t="s">
        <v>17</v>
      </c>
      <c r="E1908" t="s">
        <v>129</v>
      </c>
      <c r="F1908" t="s">
        <v>19</v>
      </c>
      <c r="G1908" t="s">
        <v>20</v>
      </c>
      <c r="H1908" t="s">
        <v>106</v>
      </c>
      <c r="I1908">
        <v>3</v>
      </c>
      <c r="J1908">
        <v>73.819999999999993</v>
      </c>
      <c r="K1908">
        <v>5</v>
      </c>
      <c r="L1908">
        <v>210.39</v>
      </c>
      <c r="M1908">
        <v>11.99</v>
      </c>
      <c r="N1908">
        <v>76.599999999999994</v>
      </c>
      <c r="O1908" t="s">
        <v>22</v>
      </c>
      <c r="P1908">
        <v>2025</v>
      </c>
      <c r="Q1908" t="s">
        <v>3646</v>
      </c>
      <c r="R1908">
        <v>199.87049999999999</v>
      </c>
      <c r="S1908">
        <v>0.38324815317918398</v>
      </c>
      <c r="T1908" t="s">
        <v>3632</v>
      </c>
      <c r="U1908" t="s">
        <v>3633</v>
      </c>
    </row>
    <row r="1909" spans="1:21" x14ac:dyDescent="0.25">
      <c r="A1909" t="s">
        <v>3475</v>
      </c>
      <c r="B1909" s="1">
        <v>45978</v>
      </c>
      <c r="C1909" t="s">
        <v>3476</v>
      </c>
      <c r="D1909" t="s">
        <v>30</v>
      </c>
      <c r="E1909" t="s">
        <v>248</v>
      </c>
      <c r="F1909" t="s">
        <v>26</v>
      </c>
      <c r="G1909" t="s">
        <v>32</v>
      </c>
      <c r="H1909" t="s">
        <v>348</v>
      </c>
      <c r="I1909">
        <v>9</v>
      </c>
      <c r="J1909">
        <v>9.0399999999999991</v>
      </c>
      <c r="K1909">
        <v>0</v>
      </c>
      <c r="L1909">
        <v>81.36</v>
      </c>
      <c r="M1909">
        <v>25.6</v>
      </c>
      <c r="N1909">
        <v>19.149999999999999</v>
      </c>
      <c r="O1909" t="s">
        <v>22</v>
      </c>
      <c r="P1909">
        <v>2025</v>
      </c>
      <c r="Q1909" t="s">
        <v>3646</v>
      </c>
      <c r="R1909">
        <v>81.36</v>
      </c>
      <c r="S1909">
        <v>0.23537364798426699</v>
      </c>
      <c r="T1909" t="s">
        <v>3634</v>
      </c>
      <c r="U1909" t="s">
        <v>3633</v>
      </c>
    </row>
    <row r="1910" spans="1:21" x14ac:dyDescent="0.25">
      <c r="A1910" t="s">
        <v>3477</v>
      </c>
      <c r="B1910" s="1">
        <v>45978</v>
      </c>
      <c r="C1910" t="s">
        <v>3478</v>
      </c>
      <c r="D1910" t="s">
        <v>17</v>
      </c>
      <c r="E1910" t="s">
        <v>31</v>
      </c>
      <c r="F1910" t="s">
        <v>19</v>
      </c>
      <c r="G1910" t="s">
        <v>32</v>
      </c>
      <c r="H1910" t="s">
        <v>115</v>
      </c>
      <c r="I1910">
        <v>3</v>
      </c>
      <c r="J1910">
        <v>8</v>
      </c>
      <c r="K1910">
        <v>5</v>
      </c>
      <c r="L1910">
        <v>22.8</v>
      </c>
      <c r="M1910">
        <v>12.01</v>
      </c>
      <c r="N1910">
        <v>-0.01</v>
      </c>
      <c r="O1910" t="s">
        <v>39</v>
      </c>
      <c r="P1910">
        <v>2025</v>
      </c>
      <c r="Q1910" t="s">
        <v>3646</v>
      </c>
      <c r="R1910">
        <v>21.66</v>
      </c>
      <c r="S1910">
        <v>-4.6168051708217901E-4</v>
      </c>
      <c r="T1910" t="s">
        <v>3634</v>
      </c>
      <c r="U1910" t="s">
        <v>3636</v>
      </c>
    </row>
    <row r="1911" spans="1:21" x14ac:dyDescent="0.25">
      <c r="A1911" t="s">
        <v>3479</v>
      </c>
      <c r="B1911" s="1">
        <v>45978</v>
      </c>
      <c r="C1911" t="s">
        <v>3480</v>
      </c>
      <c r="D1911" t="s">
        <v>17</v>
      </c>
      <c r="E1911" t="s">
        <v>37</v>
      </c>
      <c r="F1911" t="s">
        <v>26</v>
      </c>
      <c r="G1911" t="s">
        <v>20</v>
      </c>
      <c r="H1911" t="s">
        <v>264</v>
      </c>
      <c r="I1911">
        <v>7</v>
      </c>
      <c r="J1911">
        <v>41.83</v>
      </c>
      <c r="K1911">
        <v>5</v>
      </c>
      <c r="L1911">
        <v>278.17</v>
      </c>
      <c r="M1911">
        <v>10.79</v>
      </c>
      <c r="N1911">
        <v>106.33</v>
      </c>
      <c r="O1911" t="s">
        <v>39</v>
      </c>
      <c r="P1911">
        <v>2025</v>
      </c>
      <c r="Q1911" t="s">
        <v>3646</v>
      </c>
      <c r="R1911">
        <v>264.26150000000001</v>
      </c>
      <c r="S1911">
        <v>0.402366595209669</v>
      </c>
      <c r="T1911" t="s">
        <v>3632</v>
      </c>
      <c r="U1911" t="s">
        <v>3633</v>
      </c>
    </row>
    <row r="1912" spans="1:21" x14ac:dyDescent="0.25">
      <c r="A1912" t="s">
        <v>3481</v>
      </c>
      <c r="B1912" s="1">
        <v>45978</v>
      </c>
      <c r="C1912" t="s">
        <v>3482</v>
      </c>
      <c r="D1912" t="s">
        <v>17</v>
      </c>
      <c r="E1912" t="s">
        <v>31</v>
      </c>
      <c r="F1912" t="s">
        <v>19</v>
      </c>
      <c r="G1912" t="s">
        <v>32</v>
      </c>
      <c r="H1912" t="s">
        <v>50</v>
      </c>
      <c r="I1912">
        <v>3</v>
      </c>
      <c r="J1912">
        <v>17.07</v>
      </c>
      <c r="K1912">
        <v>30</v>
      </c>
      <c r="L1912">
        <v>35.85</v>
      </c>
      <c r="M1912">
        <v>12.2</v>
      </c>
      <c r="N1912">
        <v>0.61</v>
      </c>
      <c r="O1912" t="s">
        <v>39</v>
      </c>
      <c r="P1912">
        <v>2025</v>
      </c>
      <c r="Q1912" t="s">
        <v>3646</v>
      </c>
      <c r="R1912">
        <v>25.094999999999999</v>
      </c>
      <c r="S1912">
        <v>2.4307631002191701E-2</v>
      </c>
      <c r="T1912" t="s">
        <v>3634</v>
      </c>
      <c r="U1912" t="s">
        <v>3633</v>
      </c>
    </row>
    <row r="1913" spans="1:21" x14ac:dyDescent="0.25">
      <c r="A1913" t="s">
        <v>3483</v>
      </c>
      <c r="B1913" s="1">
        <v>45979</v>
      </c>
      <c r="C1913" t="s">
        <v>3484</v>
      </c>
      <c r="D1913" t="s">
        <v>30</v>
      </c>
      <c r="E1913" t="s">
        <v>166</v>
      </c>
      <c r="F1913" t="s">
        <v>60</v>
      </c>
      <c r="G1913" t="s">
        <v>20</v>
      </c>
      <c r="H1913" t="s">
        <v>55</v>
      </c>
      <c r="I1913">
        <v>9</v>
      </c>
      <c r="J1913">
        <v>34.21</v>
      </c>
      <c r="K1913">
        <v>5</v>
      </c>
      <c r="L1913">
        <v>292.5</v>
      </c>
      <c r="M1913">
        <v>13.63</v>
      </c>
      <c r="N1913">
        <v>109.53</v>
      </c>
      <c r="O1913" t="s">
        <v>34</v>
      </c>
      <c r="P1913">
        <v>2025</v>
      </c>
      <c r="Q1913" t="s">
        <v>3646</v>
      </c>
      <c r="R1913">
        <v>277.875</v>
      </c>
      <c r="S1913">
        <v>0.39417004048582999</v>
      </c>
      <c r="T1913" t="s">
        <v>3632</v>
      </c>
      <c r="U1913" t="s">
        <v>3633</v>
      </c>
    </row>
    <row r="1914" spans="1:21" x14ac:dyDescent="0.25">
      <c r="A1914" t="s">
        <v>3485</v>
      </c>
      <c r="B1914" s="1">
        <v>45979</v>
      </c>
      <c r="C1914" t="s">
        <v>3486</v>
      </c>
      <c r="D1914" t="s">
        <v>30</v>
      </c>
      <c r="E1914" t="s">
        <v>148</v>
      </c>
      <c r="F1914" t="s">
        <v>60</v>
      </c>
      <c r="G1914" t="s">
        <v>69</v>
      </c>
      <c r="H1914" t="s">
        <v>139</v>
      </c>
      <c r="I1914">
        <v>4</v>
      </c>
      <c r="J1914">
        <v>71.05</v>
      </c>
      <c r="K1914">
        <v>15</v>
      </c>
      <c r="L1914">
        <v>241.57</v>
      </c>
      <c r="M1914">
        <v>11.85</v>
      </c>
      <c r="N1914">
        <v>87.62</v>
      </c>
      <c r="O1914" t="s">
        <v>34</v>
      </c>
      <c r="P1914">
        <v>2025</v>
      </c>
      <c r="Q1914" t="s">
        <v>3646</v>
      </c>
      <c r="R1914">
        <v>205.33449999999999</v>
      </c>
      <c r="S1914">
        <v>0.42671835468467301</v>
      </c>
      <c r="T1914" t="s">
        <v>3632</v>
      </c>
      <c r="U1914" t="s">
        <v>3633</v>
      </c>
    </row>
    <row r="1915" spans="1:21" x14ac:dyDescent="0.25">
      <c r="A1915" t="s">
        <v>3487</v>
      </c>
      <c r="B1915" s="1">
        <v>45979</v>
      </c>
      <c r="C1915" t="s">
        <v>1356</v>
      </c>
      <c r="D1915" t="s">
        <v>17</v>
      </c>
      <c r="E1915" t="s">
        <v>166</v>
      </c>
      <c r="F1915" t="s">
        <v>60</v>
      </c>
      <c r="G1915" t="s">
        <v>42</v>
      </c>
      <c r="H1915" t="s">
        <v>371</v>
      </c>
      <c r="I1915">
        <v>1</v>
      </c>
      <c r="J1915">
        <v>198.02</v>
      </c>
      <c r="K1915">
        <v>10</v>
      </c>
      <c r="L1915">
        <v>178.22</v>
      </c>
      <c r="M1915">
        <v>9.93</v>
      </c>
      <c r="N1915">
        <v>49.48</v>
      </c>
      <c r="O1915" t="s">
        <v>22</v>
      </c>
      <c r="P1915">
        <v>2025</v>
      </c>
      <c r="Q1915" t="s">
        <v>3646</v>
      </c>
      <c r="R1915">
        <v>160.398</v>
      </c>
      <c r="S1915">
        <v>0.30848264940959402</v>
      </c>
      <c r="T1915" t="s">
        <v>3632</v>
      </c>
      <c r="U1915" t="s">
        <v>3633</v>
      </c>
    </row>
    <row r="1916" spans="1:21" x14ac:dyDescent="0.25">
      <c r="A1916" t="s">
        <v>3488</v>
      </c>
      <c r="B1916" s="1">
        <v>45979</v>
      </c>
      <c r="C1916" t="s">
        <v>1600</v>
      </c>
      <c r="D1916" t="s">
        <v>17</v>
      </c>
      <c r="E1916" t="s">
        <v>31</v>
      </c>
      <c r="F1916" t="s">
        <v>19</v>
      </c>
      <c r="G1916" t="s">
        <v>42</v>
      </c>
      <c r="H1916" t="s">
        <v>294</v>
      </c>
      <c r="I1916">
        <v>2</v>
      </c>
      <c r="J1916">
        <v>280.54000000000002</v>
      </c>
      <c r="K1916">
        <v>30</v>
      </c>
      <c r="L1916">
        <v>392.76</v>
      </c>
      <c r="M1916">
        <v>6.47</v>
      </c>
      <c r="N1916">
        <v>49.64</v>
      </c>
      <c r="O1916" t="s">
        <v>22</v>
      </c>
      <c r="P1916">
        <v>2025</v>
      </c>
      <c r="Q1916" t="s">
        <v>3646</v>
      </c>
      <c r="R1916">
        <v>274.93200000000002</v>
      </c>
      <c r="S1916">
        <v>0.180553736924039</v>
      </c>
      <c r="T1916" t="s">
        <v>3632</v>
      </c>
      <c r="U1916" t="s">
        <v>3633</v>
      </c>
    </row>
    <row r="1917" spans="1:21" x14ac:dyDescent="0.25">
      <c r="A1917" t="s">
        <v>3489</v>
      </c>
      <c r="B1917" s="1">
        <v>45980</v>
      </c>
      <c r="C1917" t="s">
        <v>3490</v>
      </c>
      <c r="D1917" t="s">
        <v>30</v>
      </c>
      <c r="E1917" t="s">
        <v>121</v>
      </c>
      <c r="F1917" t="s">
        <v>68</v>
      </c>
      <c r="G1917" t="s">
        <v>69</v>
      </c>
      <c r="H1917" t="s">
        <v>86</v>
      </c>
      <c r="I1917">
        <v>3</v>
      </c>
      <c r="J1917">
        <v>112.34</v>
      </c>
      <c r="K1917">
        <v>5</v>
      </c>
      <c r="L1917">
        <v>320.17</v>
      </c>
      <c r="M1917">
        <v>12.63</v>
      </c>
      <c r="N1917">
        <v>139.03</v>
      </c>
      <c r="O1917" t="s">
        <v>34</v>
      </c>
      <c r="P1917">
        <v>2025</v>
      </c>
      <c r="Q1917" t="s">
        <v>3646</v>
      </c>
      <c r="R1917">
        <v>304.16149999999999</v>
      </c>
      <c r="S1917">
        <v>0.45709269582113499</v>
      </c>
      <c r="T1917" t="s">
        <v>3632</v>
      </c>
      <c r="U1917" t="s">
        <v>3633</v>
      </c>
    </row>
    <row r="1918" spans="1:21" x14ac:dyDescent="0.25">
      <c r="A1918" t="s">
        <v>3491</v>
      </c>
      <c r="B1918" s="1">
        <v>45980</v>
      </c>
      <c r="C1918" t="s">
        <v>3492</v>
      </c>
      <c r="D1918" t="s">
        <v>17</v>
      </c>
      <c r="E1918" t="s">
        <v>166</v>
      </c>
      <c r="F1918" t="s">
        <v>60</v>
      </c>
      <c r="G1918" t="s">
        <v>42</v>
      </c>
      <c r="H1918" t="s">
        <v>371</v>
      </c>
      <c r="I1918">
        <v>2</v>
      </c>
      <c r="J1918">
        <v>188.36</v>
      </c>
      <c r="K1918">
        <v>0</v>
      </c>
      <c r="L1918">
        <v>376.72</v>
      </c>
      <c r="M1918">
        <v>13.35</v>
      </c>
      <c r="N1918">
        <v>137.34</v>
      </c>
      <c r="O1918" t="s">
        <v>56</v>
      </c>
      <c r="P1918">
        <v>2025</v>
      </c>
      <c r="Q1918" t="s">
        <v>3646</v>
      </c>
      <c r="R1918">
        <v>376.72</v>
      </c>
      <c r="S1918">
        <v>0.36456784880017001</v>
      </c>
      <c r="T1918" t="s">
        <v>3632</v>
      </c>
      <c r="U1918" t="s">
        <v>3633</v>
      </c>
    </row>
    <row r="1919" spans="1:21" x14ac:dyDescent="0.25">
      <c r="A1919" t="s">
        <v>3493</v>
      </c>
      <c r="B1919" s="1">
        <v>45981</v>
      </c>
      <c r="C1919" t="s">
        <v>1013</v>
      </c>
      <c r="D1919" t="s">
        <v>49</v>
      </c>
      <c r="E1919" t="s">
        <v>31</v>
      </c>
      <c r="F1919" t="s">
        <v>19</v>
      </c>
      <c r="G1919" t="s">
        <v>20</v>
      </c>
      <c r="H1919" t="s">
        <v>175</v>
      </c>
      <c r="I1919">
        <v>2</v>
      </c>
      <c r="J1919">
        <v>23.95</v>
      </c>
      <c r="K1919">
        <v>5</v>
      </c>
      <c r="L1919">
        <v>45.5</v>
      </c>
      <c r="M1919">
        <v>7.35</v>
      </c>
      <c r="N1919">
        <v>11.8</v>
      </c>
      <c r="O1919" t="s">
        <v>34</v>
      </c>
      <c r="P1919">
        <v>2025</v>
      </c>
      <c r="Q1919" t="s">
        <v>3646</v>
      </c>
      <c r="R1919">
        <v>43.225000000000001</v>
      </c>
      <c r="S1919">
        <v>0.27299016772701001</v>
      </c>
      <c r="T1919" t="s">
        <v>3634</v>
      </c>
      <c r="U1919" t="s">
        <v>3633</v>
      </c>
    </row>
    <row r="1920" spans="1:21" x14ac:dyDescent="0.25">
      <c r="A1920" t="s">
        <v>3494</v>
      </c>
      <c r="B1920" s="1">
        <v>45981</v>
      </c>
      <c r="C1920" t="s">
        <v>3495</v>
      </c>
      <c r="D1920" t="s">
        <v>30</v>
      </c>
      <c r="E1920" t="s">
        <v>109</v>
      </c>
      <c r="F1920" t="s">
        <v>54</v>
      </c>
      <c r="G1920" t="s">
        <v>69</v>
      </c>
      <c r="H1920" t="s">
        <v>70</v>
      </c>
      <c r="I1920">
        <v>2</v>
      </c>
      <c r="J1920">
        <v>25.11</v>
      </c>
      <c r="K1920">
        <v>5</v>
      </c>
      <c r="L1920">
        <v>47.71</v>
      </c>
      <c r="M1920">
        <v>12.85</v>
      </c>
      <c r="N1920">
        <v>9.75</v>
      </c>
      <c r="O1920" t="s">
        <v>56</v>
      </c>
      <c r="P1920">
        <v>2025</v>
      </c>
      <c r="Q1920" t="s">
        <v>3646</v>
      </c>
      <c r="R1920">
        <v>45.3245</v>
      </c>
      <c r="S1920">
        <v>0.215115445288972</v>
      </c>
      <c r="T1920" t="s">
        <v>3634</v>
      </c>
      <c r="U1920" t="s">
        <v>3633</v>
      </c>
    </row>
    <row r="1921" spans="1:21" x14ac:dyDescent="0.25">
      <c r="A1921" t="s">
        <v>3496</v>
      </c>
      <c r="B1921" s="1">
        <v>45981</v>
      </c>
      <c r="C1921" t="s">
        <v>3497</v>
      </c>
      <c r="D1921" t="s">
        <v>17</v>
      </c>
      <c r="E1921" t="s">
        <v>166</v>
      </c>
      <c r="F1921" t="s">
        <v>60</v>
      </c>
      <c r="G1921" t="s">
        <v>32</v>
      </c>
      <c r="H1921" t="s">
        <v>348</v>
      </c>
      <c r="I1921">
        <v>2</v>
      </c>
      <c r="J1921">
        <v>7.1</v>
      </c>
      <c r="K1921">
        <v>10</v>
      </c>
      <c r="L1921">
        <v>12.78</v>
      </c>
      <c r="M1921">
        <v>10.79</v>
      </c>
      <c r="N1921">
        <v>-4.4000000000000004</v>
      </c>
      <c r="O1921" t="s">
        <v>39</v>
      </c>
      <c r="P1921">
        <v>2025</v>
      </c>
      <c r="Q1921" t="s">
        <v>3646</v>
      </c>
      <c r="R1921">
        <v>11.502000000000001</v>
      </c>
      <c r="S1921">
        <v>-0.38254216657972501</v>
      </c>
      <c r="T1921" t="s">
        <v>3634</v>
      </c>
      <c r="U1921" t="s">
        <v>3636</v>
      </c>
    </row>
    <row r="1922" spans="1:21" x14ac:dyDescent="0.25">
      <c r="A1922" t="s">
        <v>3498</v>
      </c>
      <c r="B1922" s="1">
        <v>45982</v>
      </c>
      <c r="C1922" t="s">
        <v>1217</v>
      </c>
      <c r="D1922" t="s">
        <v>49</v>
      </c>
      <c r="E1922" t="s">
        <v>121</v>
      </c>
      <c r="F1922" t="s">
        <v>68</v>
      </c>
      <c r="G1922" t="s">
        <v>32</v>
      </c>
      <c r="H1922" t="s">
        <v>82</v>
      </c>
      <c r="I1922">
        <v>7</v>
      </c>
      <c r="J1922">
        <v>12.82</v>
      </c>
      <c r="K1922">
        <v>5</v>
      </c>
      <c r="L1922">
        <v>85.25</v>
      </c>
      <c r="M1922">
        <v>25.24</v>
      </c>
      <c r="N1922">
        <v>19.63</v>
      </c>
      <c r="O1922" t="s">
        <v>56</v>
      </c>
      <c r="P1922">
        <v>2025</v>
      </c>
      <c r="Q1922" t="s">
        <v>3646</v>
      </c>
      <c r="R1922">
        <v>80.987499999999997</v>
      </c>
      <c r="S1922">
        <v>0.24238308380922999</v>
      </c>
      <c r="T1922" t="s">
        <v>3634</v>
      </c>
      <c r="U1922" t="s">
        <v>3633</v>
      </c>
    </row>
    <row r="1923" spans="1:21" x14ac:dyDescent="0.25">
      <c r="A1923" t="s">
        <v>3499</v>
      </c>
      <c r="B1923" s="1">
        <v>45984</v>
      </c>
      <c r="C1923" t="s">
        <v>1557</v>
      </c>
      <c r="D1923" t="s">
        <v>30</v>
      </c>
      <c r="E1923" t="s">
        <v>85</v>
      </c>
      <c r="F1923" t="s">
        <v>60</v>
      </c>
      <c r="G1923" t="s">
        <v>32</v>
      </c>
      <c r="H1923" t="s">
        <v>115</v>
      </c>
      <c r="I1923">
        <v>1</v>
      </c>
      <c r="J1923">
        <v>8.8699999999999992</v>
      </c>
      <c r="K1923">
        <v>5</v>
      </c>
      <c r="L1923">
        <v>8.43</v>
      </c>
      <c r="M1923">
        <v>11.23</v>
      </c>
      <c r="N1923">
        <v>-6.79</v>
      </c>
      <c r="O1923" t="s">
        <v>34</v>
      </c>
      <c r="P1923">
        <v>2025</v>
      </c>
      <c r="Q1923" t="s">
        <v>3646</v>
      </c>
      <c r="R1923">
        <v>8.0084999999999997</v>
      </c>
      <c r="S1923">
        <v>-0.84784916026721602</v>
      </c>
      <c r="T1923" t="s">
        <v>3634</v>
      </c>
      <c r="U1923" t="s">
        <v>3636</v>
      </c>
    </row>
    <row r="1924" spans="1:21" x14ac:dyDescent="0.25">
      <c r="A1924" t="s">
        <v>3500</v>
      </c>
      <c r="B1924" s="1">
        <v>45985</v>
      </c>
      <c r="C1924" t="s">
        <v>3501</v>
      </c>
      <c r="D1924" t="s">
        <v>30</v>
      </c>
      <c r="E1924" t="s">
        <v>25</v>
      </c>
      <c r="F1924" t="s">
        <v>26</v>
      </c>
      <c r="G1924" t="s">
        <v>42</v>
      </c>
      <c r="H1924" t="s">
        <v>64</v>
      </c>
      <c r="I1924">
        <v>11</v>
      </c>
      <c r="J1924">
        <v>121</v>
      </c>
      <c r="K1924">
        <v>10</v>
      </c>
      <c r="L1924">
        <v>1197.9000000000001</v>
      </c>
      <c r="M1924">
        <v>25.42</v>
      </c>
      <c r="N1924">
        <v>373.88</v>
      </c>
      <c r="O1924" t="s">
        <v>39</v>
      </c>
      <c r="P1924">
        <v>2025</v>
      </c>
      <c r="Q1924" t="s">
        <v>3646</v>
      </c>
      <c r="R1924">
        <v>1078.1099999999999</v>
      </c>
      <c r="S1924">
        <v>0.34679207130997802</v>
      </c>
      <c r="T1924" t="s">
        <v>3635</v>
      </c>
      <c r="U1924" t="s">
        <v>3633</v>
      </c>
    </row>
    <row r="1925" spans="1:21" x14ac:dyDescent="0.25">
      <c r="A1925" t="s">
        <v>3502</v>
      </c>
      <c r="B1925" s="1">
        <v>45985</v>
      </c>
      <c r="C1925" t="s">
        <v>3503</v>
      </c>
      <c r="D1925" t="s">
        <v>17</v>
      </c>
      <c r="E1925" t="s">
        <v>148</v>
      </c>
      <c r="F1925" t="s">
        <v>60</v>
      </c>
      <c r="G1925" t="s">
        <v>42</v>
      </c>
      <c r="H1925" t="s">
        <v>255</v>
      </c>
      <c r="I1925">
        <v>1</v>
      </c>
      <c r="J1925">
        <v>24.61</v>
      </c>
      <c r="K1925">
        <v>15</v>
      </c>
      <c r="L1925">
        <v>20.92</v>
      </c>
      <c r="M1925">
        <v>10.08</v>
      </c>
      <c r="N1925">
        <v>-3.93</v>
      </c>
      <c r="O1925" t="s">
        <v>39</v>
      </c>
      <c r="P1925">
        <v>2025</v>
      </c>
      <c r="Q1925" t="s">
        <v>3646</v>
      </c>
      <c r="R1925">
        <v>17.782</v>
      </c>
      <c r="S1925">
        <v>-0.221010010122596</v>
      </c>
      <c r="T1925" t="s">
        <v>3634</v>
      </c>
      <c r="U1925" t="s">
        <v>3636</v>
      </c>
    </row>
    <row r="1926" spans="1:21" x14ac:dyDescent="0.25">
      <c r="A1926" t="s">
        <v>3504</v>
      </c>
      <c r="B1926" s="1">
        <v>45986</v>
      </c>
      <c r="C1926" t="s">
        <v>3505</v>
      </c>
      <c r="D1926" t="s">
        <v>49</v>
      </c>
      <c r="E1926" t="s">
        <v>92</v>
      </c>
      <c r="F1926" t="s">
        <v>60</v>
      </c>
      <c r="G1926" t="s">
        <v>42</v>
      </c>
      <c r="H1926" t="s">
        <v>371</v>
      </c>
      <c r="I1926">
        <v>2</v>
      </c>
      <c r="J1926">
        <v>118.2</v>
      </c>
      <c r="K1926">
        <v>10</v>
      </c>
      <c r="L1926">
        <v>212.76</v>
      </c>
      <c r="M1926">
        <v>10.92</v>
      </c>
      <c r="N1926">
        <v>60</v>
      </c>
      <c r="O1926" t="s">
        <v>34</v>
      </c>
      <c r="P1926">
        <v>2025</v>
      </c>
      <c r="Q1926" t="s">
        <v>3646</v>
      </c>
      <c r="R1926">
        <v>191.48400000000001</v>
      </c>
      <c r="S1926">
        <v>0.313342106912327</v>
      </c>
      <c r="T1926" t="s">
        <v>3632</v>
      </c>
      <c r="U1926" t="s">
        <v>3633</v>
      </c>
    </row>
    <row r="1927" spans="1:21" x14ac:dyDescent="0.25">
      <c r="A1927" t="s">
        <v>3506</v>
      </c>
      <c r="B1927" s="1">
        <v>45987</v>
      </c>
      <c r="C1927" t="s">
        <v>3284</v>
      </c>
      <c r="D1927" t="s">
        <v>17</v>
      </c>
      <c r="E1927" t="s">
        <v>135</v>
      </c>
      <c r="F1927" t="s">
        <v>26</v>
      </c>
      <c r="G1927" t="s">
        <v>20</v>
      </c>
      <c r="H1927" t="s">
        <v>55</v>
      </c>
      <c r="I1927">
        <v>3</v>
      </c>
      <c r="J1927">
        <v>75.55</v>
      </c>
      <c r="K1927">
        <v>15</v>
      </c>
      <c r="L1927">
        <v>192.65</v>
      </c>
      <c r="M1927">
        <v>11.85</v>
      </c>
      <c r="N1927">
        <v>56.14</v>
      </c>
      <c r="O1927" t="s">
        <v>39</v>
      </c>
      <c r="P1927">
        <v>2025</v>
      </c>
      <c r="Q1927" t="s">
        <v>3646</v>
      </c>
      <c r="R1927">
        <v>163.7525</v>
      </c>
      <c r="S1927">
        <v>0.34283446054258698</v>
      </c>
      <c r="T1927" t="s">
        <v>3632</v>
      </c>
      <c r="U1927" t="s">
        <v>3633</v>
      </c>
    </row>
    <row r="1928" spans="1:21" x14ac:dyDescent="0.25">
      <c r="A1928" t="s">
        <v>3507</v>
      </c>
      <c r="B1928" s="1">
        <v>45987</v>
      </c>
      <c r="C1928" t="s">
        <v>3508</v>
      </c>
      <c r="D1928" t="s">
        <v>17</v>
      </c>
      <c r="E1928" t="s">
        <v>85</v>
      </c>
      <c r="F1928" t="s">
        <v>60</v>
      </c>
      <c r="G1928" t="s">
        <v>20</v>
      </c>
      <c r="H1928" t="s">
        <v>264</v>
      </c>
      <c r="I1928">
        <v>4</v>
      </c>
      <c r="J1928">
        <v>23.57</v>
      </c>
      <c r="K1928">
        <v>10</v>
      </c>
      <c r="L1928">
        <v>84.85</v>
      </c>
      <c r="M1928">
        <v>16.899999999999999</v>
      </c>
      <c r="N1928">
        <v>16.100000000000001</v>
      </c>
      <c r="O1928" t="s">
        <v>34</v>
      </c>
      <c r="P1928">
        <v>2025</v>
      </c>
      <c r="Q1928" t="s">
        <v>3646</v>
      </c>
      <c r="R1928">
        <v>76.364999999999995</v>
      </c>
      <c r="S1928">
        <v>0.21082956851960999</v>
      </c>
      <c r="T1928" t="s">
        <v>3634</v>
      </c>
      <c r="U1928" t="s">
        <v>3633</v>
      </c>
    </row>
    <row r="1929" spans="1:21" x14ac:dyDescent="0.25">
      <c r="A1929" t="s">
        <v>3509</v>
      </c>
      <c r="B1929" s="1">
        <v>45987</v>
      </c>
      <c r="C1929" t="s">
        <v>3510</v>
      </c>
      <c r="D1929" t="s">
        <v>30</v>
      </c>
      <c r="E1929" t="s">
        <v>85</v>
      </c>
      <c r="F1929" t="s">
        <v>60</v>
      </c>
      <c r="G1929" t="s">
        <v>69</v>
      </c>
      <c r="H1929" t="s">
        <v>86</v>
      </c>
      <c r="I1929">
        <v>1</v>
      </c>
      <c r="J1929">
        <v>45.56</v>
      </c>
      <c r="K1929">
        <v>0</v>
      </c>
      <c r="L1929">
        <v>45.56</v>
      </c>
      <c r="M1929">
        <v>11.16</v>
      </c>
      <c r="N1929">
        <v>11.62</v>
      </c>
      <c r="O1929" t="s">
        <v>34</v>
      </c>
      <c r="P1929">
        <v>2025</v>
      </c>
      <c r="Q1929" t="s">
        <v>3646</v>
      </c>
      <c r="R1929">
        <v>45.56</v>
      </c>
      <c r="S1929">
        <v>0.25504828797190499</v>
      </c>
      <c r="T1929" t="s">
        <v>3634</v>
      </c>
      <c r="U1929" t="s">
        <v>3633</v>
      </c>
    </row>
    <row r="1930" spans="1:21" x14ac:dyDescent="0.25">
      <c r="A1930" t="s">
        <v>3511</v>
      </c>
      <c r="B1930" s="1">
        <v>45988</v>
      </c>
      <c r="C1930" t="s">
        <v>1459</v>
      </c>
      <c r="D1930" t="s">
        <v>17</v>
      </c>
      <c r="E1930" t="s">
        <v>109</v>
      </c>
      <c r="F1930" t="s">
        <v>54</v>
      </c>
      <c r="G1930" t="s">
        <v>20</v>
      </c>
      <c r="H1930" t="s">
        <v>170</v>
      </c>
      <c r="I1930">
        <v>8</v>
      </c>
      <c r="J1930">
        <v>27.29</v>
      </c>
      <c r="K1930">
        <v>5</v>
      </c>
      <c r="L1930">
        <v>207.4</v>
      </c>
      <c r="M1930">
        <v>30.16</v>
      </c>
      <c r="N1930">
        <v>57.16</v>
      </c>
      <c r="O1930" t="s">
        <v>39</v>
      </c>
      <c r="P1930">
        <v>2025</v>
      </c>
      <c r="Q1930" t="s">
        <v>3646</v>
      </c>
      <c r="R1930">
        <v>197.03</v>
      </c>
      <c r="S1930">
        <v>0.29010810536466503</v>
      </c>
      <c r="T1930" t="s">
        <v>3632</v>
      </c>
      <c r="U1930" t="s">
        <v>3633</v>
      </c>
    </row>
    <row r="1931" spans="1:21" x14ac:dyDescent="0.25">
      <c r="A1931" t="s">
        <v>3512</v>
      </c>
      <c r="B1931" s="1">
        <v>45988</v>
      </c>
      <c r="C1931" t="s">
        <v>2039</v>
      </c>
      <c r="D1931" t="s">
        <v>49</v>
      </c>
      <c r="E1931" t="s">
        <v>76</v>
      </c>
      <c r="F1931" t="s">
        <v>26</v>
      </c>
      <c r="G1931" t="s">
        <v>42</v>
      </c>
      <c r="H1931" t="s">
        <v>255</v>
      </c>
      <c r="I1931">
        <v>1</v>
      </c>
      <c r="J1931">
        <v>38.28</v>
      </c>
      <c r="K1931">
        <v>10</v>
      </c>
      <c r="L1931">
        <v>34.450000000000003</v>
      </c>
      <c r="M1931">
        <v>7.59</v>
      </c>
      <c r="N1931">
        <v>3.89</v>
      </c>
      <c r="O1931" t="s">
        <v>22</v>
      </c>
      <c r="P1931">
        <v>2025</v>
      </c>
      <c r="Q1931" t="s">
        <v>3646</v>
      </c>
      <c r="R1931">
        <v>31.004999999999999</v>
      </c>
      <c r="S1931">
        <v>0.12546363489759699</v>
      </c>
      <c r="T1931" t="s">
        <v>3634</v>
      </c>
      <c r="U1931" t="s">
        <v>3633</v>
      </c>
    </row>
    <row r="1932" spans="1:21" x14ac:dyDescent="0.25">
      <c r="A1932" t="s">
        <v>3513</v>
      </c>
      <c r="B1932" s="1">
        <v>45989</v>
      </c>
      <c r="C1932" t="s">
        <v>524</v>
      </c>
      <c r="D1932" t="s">
        <v>30</v>
      </c>
      <c r="E1932" t="s">
        <v>92</v>
      </c>
      <c r="F1932" t="s">
        <v>60</v>
      </c>
      <c r="G1932" t="s">
        <v>32</v>
      </c>
      <c r="H1932" t="s">
        <v>73</v>
      </c>
      <c r="I1932">
        <v>3</v>
      </c>
      <c r="J1932">
        <v>4.2699999999999996</v>
      </c>
      <c r="K1932">
        <v>10</v>
      </c>
      <c r="L1932">
        <v>11.53</v>
      </c>
      <c r="M1932">
        <v>13.45</v>
      </c>
      <c r="N1932">
        <v>-7.68</v>
      </c>
      <c r="O1932" t="s">
        <v>34</v>
      </c>
      <c r="P1932">
        <v>2025</v>
      </c>
      <c r="Q1932" t="s">
        <v>3646</v>
      </c>
      <c r="R1932">
        <v>10.377000000000001</v>
      </c>
      <c r="S1932">
        <v>-0.74009829430471197</v>
      </c>
      <c r="T1932" t="s">
        <v>3634</v>
      </c>
      <c r="U1932" t="s">
        <v>3636</v>
      </c>
    </row>
    <row r="1933" spans="1:21" x14ac:dyDescent="0.25">
      <c r="A1933" t="s">
        <v>3514</v>
      </c>
      <c r="B1933" s="1">
        <v>45989</v>
      </c>
      <c r="C1933" t="s">
        <v>3515</v>
      </c>
      <c r="D1933" t="s">
        <v>30</v>
      </c>
      <c r="E1933" t="s">
        <v>31</v>
      </c>
      <c r="F1933" t="s">
        <v>19</v>
      </c>
      <c r="G1933" t="s">
        <v>32</v>
      </c>
      <c r="H1933" t="s">
        <v>132</v>
      </c>
      <c r="I1933">
        <v>2</v>
      </c>
      <c r="J1933">
        <v>9.8699999999999992</v>
      </c>
      <c r="K1933">
        <v>5</v>
      </c>
      <c r="L1933">
        <v>18.75</v>
      </c>
      <c r="M1933">
        <v>8.7200000000000006</v>
      </c>
      <c r="N1933">
        <v>1.1499999999999999</v>
      </c>
      <c r="O1933" t="s">
        <v>39</v>
      </c>
      <c r="P1933">
        <v>2025</v>
      </c>
      <c r="Q1933" t="s">
        <v>3646</v>
      </c>
      <c r="R1933">
        <v>17.8125</v>
      </c>
      <c r="S1933">
        <v>6.4561403508771903E-2</v>
      </c>
      <c r="T1933" t="s">
        <v>3634</v>
      </c>
      <c r="U1933" t="s">
        <v>3633</v>
      </c>
    </row>
    <row r="1934" spans="1:21" x14ac:dyDescent="0.25">
      <c r="A1934" t="s">
        <v>3516</v>
      </c>
      <c r="B1934" s="1">
        <v>45989</v>
      </c>
      <c r="C1934" t="s">
        <v>3517</v>
      </c>
      <c r="D1934" t="s">
        <v>30</v>
      </c>
      <c r="E1934" t="s">
        <v>121</v>
      </c>
      <c r="F1934" t="s">
        <v>68</v>
      </c>
      <c r="G1934" t="s">
        <v>32</v>
      </c>
      <c r="H1934" t="s">
        <v>348</v>
      </c>
      <c r="I1934">
        <v>6</v>
      </c>
      <c r="J1934">
        <v>10.63</v>
      </c>
      <c r="K1934">
        <v>0</v>
      </c>
      <c r="L1934">
        <v>63.78</v>
      </c>
      <c r="M1934">
        <v>17.670000000000002</v>
      </c>
      <c r="N1934">
        <v>17.41</v>
      </c>
      <c r="O1934" t="s">
        <v>34</v>
      </c>
      <c r="P1934">
        <v>2025</v>
      </c>
      <c r="Q1934" t="s">
        <v>3646</v>
      </c>
      <c r="R1934">
        <v>63.78</v>
      </c>
      <c r="S1934">
        <v>0.27296958294136098</v>
      </c>
      <c r="T1934" t="s">
        <v>3634</v>
      </c>
      <c r="U1934" t="s">
        <v>3633</v>
      </c>
    </row>
    <row r="1935" spans="1:21" x14ac:dyDescent="0.25">
      <c r="A1935" t="s">
        <v>3518</v>
      </c>
      <c r="B1935" s="1">
        <v>45990</v>
      </c>
      <c r="C1935" t="s">
        <v>3519</v>
      </c>
      <c r="D1935" t="s">
        <v>49</v>
      </c>
      <c r="E1935" t="s">
        <v>248</v>
      </c>
      <c r="F1935" t="s">
        <v>26</v>
      </c>
      <c r="G1935" t="s">
        <v>32</v>
      </c>
      <c r="H1935" t="s">
        <v>101</v>
      </c>
      <c r="I1935">
        <v>2</v>
      </c>
      <c r="J1935">
        <v>13.2</v>
      </c>
      <c r="K1935">
        <v>5</v>
      </c>
      <c r="L1935">
        <v>25.08</v>
      </c>
      <c r="M1935">
        <v>9.67</v>
      </c>
      <c r="N1935">
        <v>3.53</v>
      </c>
      <c r="O1935" t="s">
        <v>56</v>
      </c>
      <c r="P1935">
        <v>2025</v>
      </c>
      <c r="Q1935" t="s">
        <v>3646</v>
      </c>
      <c r="R1935">
        <v>23.826000000000001</v>
      </c>
      <c r="S1935">
        <v>0.14815747502728099</v>
      </c>
      <c r="T1935" t="s">
        <v>3634</v>
      </c>
      <c r="U1935" t="s">
        <v>3633</v>
      </c>
    </row>
    <row r="1936" spans="1:21" x14ac:dyDescent="0.25">
      <c r="A1936" t="s">
        <v>3520</v>
      </c>
      <c r="B1936" s="1">
        <v>45990</v>
      </c>
      <c r="C1936" t="s">
        <v>2063</v>
      </c>
      <c r="D1936" t="s">
        <v>30</v>
      </c>
      <c r="E1936" t="s">
        <v>59</v>
      </c>
      <c r="F1936" t="s">
        <v>60</v>
      </c>
      <c r="G1936" t="s">
        <v>20</v>
      </c>
      <c r="H1936" t="s">
        <v>175</v>
      </c>
      <c r="I1936">
        <v>13</v>
      </c>
      <c r="J1936">
        <v>31.37</v>
      </c>
      <c r="K1936">
        <v>10</v>
      </c>
      <c r="L1936">
        <v>367.03</v>
      </c>
      <c r="M1936">
        <v>38.630000000000003</v>
      </c>
      <c r="N1936">
        <v>104.1</v>
      </c>
      <c r="O1936" t="s">
        <v>22</v>
      </c>
      <c r="P1936">
        <v>2025</v>
      </c>
      <c r="Q1936" t="s">
        <v>3646</v>
      </c>
      <c r="R1936">
        <v>330.327</v>
      </c>
      <c r="S1936">
        <v>0.31514226811613899</v>
      </c>
      <c r="T1936" t="s">
        <v>3632</v>
      </c>
      <c r="U1936" t="s">
        <v>3633</v>
      </c>
    </row>
    <row r="1937" spans="1:21" x14ac:dyDescent="0.25">
      <c r="A1937" t="s">
        <v>3521</v>
      </c>
      <c r="B1937" s="1">
        <v>45991</v>
      </c>
      <c r="C1937" t="s">
        <v>3522</v>
      </c>
      <c r="D1937" t="s">
        <v>17</v>
      </c>
      <c r="E1937" t="s">
        <v>25</v>
      </c>
      <c r="F1937" t="s">
        <v>26</v>
      </c>
      <c r="G1937" t="s">
        <v>42</v>
      </c>
      <c r="H1937" t="s">
        <v>234</v>
      </c>
      <c r="I1937">
        <v>1</v>
      </c>
      <c r="J1937">
        <v>66.790000000000006</v>
      </c>
      <c r="K1937">
        <v>10</v>
      </c>
      <c r="L1937">
        <v>60.11</v>
      </c>
      <c r="M1937">
        <v>8.82</v>
      </c>
      <c r="N1937">
        <v>11.22</v>
      </c>
      <c r="O1937" t="s">
        <v>39</v>
      </c>
      <c r="P1937">
        <v>2025</v>
      </c>
      <c r="Q1937" t="s">
        <v>3646</v>
      </c>
      <c r="R1937">
        <v>54.098999999999997</v>
      </c>
      <c r="S1937">
        <v>0.20739754893805801</v>
      </c>
      <c r="T1937" t="s">
        <v>3634</v>
      </c>
      <c r="U1937" t="s">
        <v>3633</v>
      </c>
    </row>
    <row r="1938" spans="1:21" x14ac:dyDescent="0.25">
      <c r="A1938" t="s">
        <v>3523</v>
      </c>
      <c r="B1938" s="1">
        <v>45992</v>
      </c>
      <c r="C1938" t="s">
        <v>3524</v>
      </c>
      <c r="D1938" t="s">
        <v>30</v>
      </c>
      <c r="E1938" t="s">
        <v>148</v>
      </c>
      <c r="F1938" t="s">
        <v>60</v>
      </c>
      <c r="G1938" t="s">
        <v>32</v>
      </c>
      <c r="H1938" t="s">
        <v>132</v>
      </c>
      <c r="I1938">
        <v>1</v>
      </c>
      <c r="J1938">
        <v>17.12</v>
      </c>
      <c r="K1938">
        <v>15</v>
      </c>
      <c r="L1938">
        <v>14.55</v>
      </c>
      <c r="M1938">
        <v>10.37</v>
      </c>
      <c r="N1938">
        <v>-3.52</v>
      </c>
      <c r="O1938" t="s">
        <v>34</v>
      </c>
      <c r="P1938">
        <v>2025</v>
      </c>
      <c r="Q1938" t="s">
        <v>3647</v>
      </c>
      <c r="R1938">
        <v>12.3675</v>
      </c>
      <c r="S1938">
        <v>-0.28461693955932899</v>
      </c>
      <c r="T1938" t="s">
        <v>3634</v>
      </c>
      <c r="U1938" t="s">
        <v>3636</v>
      </c>
    </row>
    <row r="1939" spans="1:21" x14ac:dyDescent="0.25">
      <c r="A1939" t="s">
        <v>3525</v>
      </c>
      <c r="B1939" s="1">
        <v>45992</v>
      </c>
      <c r="C1939" t="s">
        <v>3526</v>
      </c>
      <c r="D1939" t="s">
        <v>30</v>
      </c>
      <c r="E1939" t="s">
        <v>59</v>
      </c>
      <c r="F1939" t="s">
        <v>60</v>
      </c>
      <c r="G1939" t="s">
        <v>42</v>
      </c>
      <c r="H1939" t="s">
        <v>93</v>
      </c>
      <c r="I1939">
        <v>12</v>
      </c>
      <c r="J1939">
        <v>189.49</v>
      </c>
      <c r="K1939">
        <v>15</v>
      </c>
      <c r="L1939">
        <v>1932.8</v>
      </c>
      <c r="M1939">
        <v>34.81</v>
      </c>
      <c r="N1939">
        <v>533.66</v>
      </c>
      <c r="O1939" t="s">
        <v>34</v>
      </c>
      <c r="P1939">
        <v>2025</v>
      </c>
      <c r="Q1939" t="s">
        <v>3647</v>
      </c>
      <c r="R1939">
        <v>1642.88</v>
      </c>
      <c r="S1939">
        <v>0.32483200233735898</v>
      </c>
      <c r="T1939" t="s">
        <v>3635</v>
      </c>
      <c r="U1939" t="s">
        <v>3633</v>
      </c>
    </row>
    <row r="1940" spans="1:21" x14ac:dyDescent="0.25">
      <c r="A1940" t="s">
        <v>3527</v>
      </c>
      <c r="B1940" s="1">
        <v>45993</v>
      </c>
      <c r="C1940" t="s">
        <v>1102</v>
      </c>
      <c r="D1940" t="s">
        <v>30</v>
      </c>
      <c r="E1940" t="s">
        <v>18</v>
      </c>
      <c r="F1940" t="s">
        <v>19</v>
      </c>
      <c r="G1940" t="s">
        <v>69</v>
      </c>
      <c r="H1940" t="s">
        <v>86</v>
      </c>
      <c r="I1940">
        <v>10</v>
      </c>
      <c r="J1940">
        <v>72.25</v>
      </c>
      <c r="K1940">
        <v>5</v>
      </c>
      <c r="L1940">
        <v>686.38</v>
      </c>
      <c r="M1940">
        <v>12.64</v>
      </c>
      <c r="N1940">
        <v>312.49</v>
      </c>
      <c r="O1940" t="s">
        <v>34</v>
      </c>
      <c r="P1940">
        <v>2025</v>
      </c>
      <c r="Q1940" t="s">
        <v>3647</v>
      </c>
      <c r="R1940">
        <v>652.06100000000004</v>
      </c>
      <c r="S1940">
        <v>0.47923430476596501</v>
      </c>
      <c r="T1940" t="s">
        <v>3635</v>
      </c>
      <c r="U1940" t="s">
        <v>3633</v>
      </c>
    </row>
    <row r="1941" spans="1:21" x14ac:dyDescent="0.25">
      <c r="A1941" t="s">
        <v>3528</v>
      </c>
      <c r="B1941" s="1">
        <v>45993</v>
      </c>
      <c r="C1941" t="s">
        <v>3529</v>
      </c>
      <c r="D1941" t="s">
        <v>49</v>
      </c>
      <c r="E1941" t="s">
        <v>18</v>
      </c>
      <c r="F1941" t="s">
        <v>19</v>
      </c>
      <c r="G1941" t="s">
        <v>32</v>
      </c>
      <c r="H1941" t="s">
        <v>149</v>
      </c>
      <c r="I1941">
        <v>3</v>
      </c>
      <c r="J1941">
        <v>12.71</v>
      </c>
      <c r="K1941">
        <v>10</v>
      </c>
      <c r="L1941">
        <v>34.32</v>
      </c>
      <c r="M1941">
        <v>9.81</v>
      </c>
      <c r="N1941">
        <v>7.35</v>
      </c>
      <c r="O1941" t="s">
        <v>56</v>
      </c>
      <c r="P1941">
        <v>2025</v>
      </c>
      <c r="Q1941" t="s">
        <v>3647</v>
      </c>
      <c r="R1941">
        <v>30.888000000000002</v>
      </c>
      <c r="S1941">
        <v>0.23795648795648799</v>
      </c>
      <c r="T1941" t="s">
        <v>3634</v>
      </c>
      <c r="U1941" t="s">
        <v>3633</v>
      </c>
    </row>
    <row r="1942" spans="1:21" x14ac:dyDescent="0.25">
      <c r="A1942" t="s">
        <v>3530</v>
      </c>
      <c r="B1942" s="1">
        <v>45993</v>
      </c>
      <c r="C1942" t="s">
        <v>2057</v>
      </c>
      <c r="D1942" t="s">
        <v>17</v>
      </c>
      <c r="E1942" t="s">
        <v>166</v>
      </c>
      <c r="F1942" t="s">
        <v>60</v>
      </c>
      <c r="G1942" t="s">
        <v>42</v>
      </c>
      <c r="H1942" t="s">
        <v>255</v>
      </c>
      <c r="I1942">
        <v>4</v>
      </c>
      <c r="J1942">
        <v>34.17</v>
      </c>
      <c r="K1942">
        <v>10</v>
      </c>
      <c r="L1942">
        <v>123.01</v>
      </c>
      <c r="M1942">
        <v>18.86</v>
      </c>
      <c r="N1942">
        <v>22.14</v>
      </c>
      <c r="O1942" t="s">
        <v>39</v>
      </c>
      <c r="P1942">
        <v>2025</v>
      </c>
      <c r="Q1942" t="s">
        <v>3647</v>
      </c>
      <c r="R1942">
        <v>110.709</v>
      </c>
      <c r="S1942">
        <v>0.19998374115925499</v>
      </c>
      <c r="T1942" t="s">
        <v>3632</v>
      </c>
      <c r="U1942" t="s">
        <v>3633</v>
      </c>
    </row>
    <row r="1943" spans="1:21" x14ac:dyDescent="0.25">
      <c r="A1943" t="s">
        <v>3531</v>
      </c>
      <c r="B1943" s="1">
        <v>45993</v>
      </c>
      <c r="C1943" t="s">
        <v>3532</v>
      </c>
      <c r="D1943" t="s">
        <v>17</v>
      </c>
      <c r="E1943" t="s">
        <v>67</v>
      </c>
      <c r="F1943" t="s">
        <v>68</v>
      </c>
      <c r="G1943" t="s">
        <v>32</v>
      </c>
      <c r="H1943" t="s">
        <v>115</v>
      </c>
      <c r="I1943">
        <v>2</v>
      </c>
      <c r="J1943">
        <v>12.44</v>
      </c>
      <c r="K1943">
        <v>10</v>
      </c>
      <c r="L1943">
        <v>22.39</v>
      </c>
      <c r="M1943">
        <v>11.74</v>
      </c>
      <c r="N1943">
        <v>-0.55000000000000004</v>
      </c>
      <c r="O1943" t="s">
        <v>39</v>
      </c>
      <c r="P1943">
        <v>2025</v>
      </c>
      <c r="Q1943" t="s">
        <v>3647</v>
      </c>
      <c r="R1943">
        <v>20.151</v>
      </c>
      <c r="S1943">
        <v>-2.7293930822291701E-2</v>
      </c>
      <c r="T1943" t="s">
        <v>3634</v>
      </c>
      <c r="U1943" t="s">
        <v>3636</v>
      </c>
    </row>
    <row r="1944" spans="1:21" x14ac:dyDescent="0.25">
      <c r="A1944" t="s">
        <v>3533</v>
      </c>
      <c r="B1944" s="1">
        <v>45994</v>
      </c>
      <c r="C1944" t="s">
        <v>3534</v>
      </c>
      <c r="D1944" t="s">
        <v>49</v>
      </c>
      <c r="E1944" t="s">
        <v>138</v>
      </c>
      <c r="F1944" t="s">
        <v>54</v>
      </c>
      <c r="G1944" t="s">
        <v>42</v>
      </c>
      <c r="H1944" t="s">
        <v>118</v>
      </c>
      <c r="I1944">
        <v>1</v>
      </c>
      <c r="J1944">
        <v>41.13</v>
      </c>
      <c r="K1944">
        <v>5</v>
      </c>
      <c r="L1944">
        <v>39.07</v>
      </c>
      <c r="M1944">
        <v>13.01</v>
      </c>
      <c r="N1944">
        <v>1.38</v>
      </c>
      <c r="O1944" t="s">
        <v>39</v>
      </c>
      <c r="P1944">
        <v>2025</v>
      </c>
      <c r="Q1944" t="s">
        <v>3647</v>
      </c>
      <c r="R1944">
        <v>37.116500000000002</v>
      </c>
      <c r="S1944">
        <v>3.7180229816927798E-2</v>
      </c>
      <c r="T1944" t="s">
        <v>3634</v>
      </c>
      <c r="U1944" t="s">
        <v>3633</v>
      </c>
    </row>
    <row r="1945" spans="1:21" x14ac:dyDescent="0.25">
      <c r="A1945" t="s">
        <v>3535</v>
      </c>
      <c r="B1945" s="1">
        <v>45995</v>
      </c>
      <c r="C1945" t="s">
        <v>2006</v>
      </c>
      <c r="D1945" t="s">
        <v>30</v>
      </c>
      <c r="E1945" t="s">
        <v>85</v>
      </c>
      <c r="F1945" t="s">
        <v>60</v>
      </c>
      <c r="G1945" t="s">
        <v>32</v>
      </c>
      <c r="H1945" t="s">
        <v>132</v>
      </c>
      <c r="I1945">
        <v>8</v>
      </c>
      <c r="J1945">
        <v>19.350000000000001</v>
      </c>
      <c r="K1945">
        <v>0</v>
      </c>
      <c r="L1945">
        <v>154.80000000000001</v>
      </c>
      <c r="M1945">
        <v>27.15</v>
      </c>
      <c r="N1945">
        <v>57.99</v>
      </c>
      <c r="O1945" t="s">
        <v>34</v>
      </c>
      <c r="P1945">
        <v>2025</v>
      </c>
      <c r="Q1945" t="s">
        <v>3647</v>
      </c>
      <c r="R1945">
        <v>154.80000000000001</v>
      </c>
      <c r="S1945">
        <v>0.37461240310077498</v>
      </c>
      <c r="T1945" t="s">
        <v>3632</v>
      </c>
      <c r="U1945" t="s">
        <v>3633</v>
      </c>
    </row>
    <row r="1946" spans="1:21" x14ac:dyDescent="0.25">
      <c r="A1946" t="s">
        <v>3536</v>
      </c>
      <c r="B1946" s="1">
        <v>45995</v>
      </c>
      <c r="C1946" t="s">
        <v>3537</v>
      </c>
      <c r="D1946" t="s">
        <v>17</v>
      </c>
      <c r="E1946" t="s">
        <v>18</v>
      </c>
      <c r="F1946" t="s">
        <v>19</v>
      </c>
      <c r="G1946" t="s">
        <v>69</v>
      </c>
      <c r="H1946" t="s">
        <v>98</v>
      </c>
      <c r="I1946">
        <v>2</v>
      </c>
      <c r="J1946">
        <v>41.19</v>
      </c>
      <c r="K1946">
        <v>0</v>
      </c>
      <c r="L1946">
        <v>82.38</v>
      </c>
      <c r="M1946">
        <v>9.35</v>
      </c>
      <c r="N1946">
        <v>31.84</v>
      </c>
      <c r="O1946" t="s">
        <v>34</v>
      </c>
      <c r="P1946">
        <v>2025</v>
      </c>
      <c r="Q1946" t="s">
        <v>3647</v>
      </c>
      <c r="R1946">
        <v>82.38</v>
      </c>
      <c r="S1946">
        <v>0.38650157805292601</v>
      </c>
      <c r="T1946" t="s">
        <v>3634</v>
      </c>
      <c r="U1946" t="s">
        <v>3633</v>
      </c>
    </row>
    <row r="1947" spans="1:21" x14ac:dyDescent="0.25">
      <c r="A1947" t="s">
        <v>3538</v>
      </c>
      <c r="B1947" s="1">
        <v>45997</v>
      </c>
      <c r="C1947" t="s">
        <v>2901</v>
      </c>
      <c r="D1947" t="s">
        <v>30</v>
      </c>
      <c r="E1947" t="s">
        <v>85</v>
      </c>
      <c r="F1947" t="s">
        <v>60</v>
      </c>
      <c r="G1947" t="s">
        <v>20</v>
      </c>
      <c r="H1947" t="s">
        <v>21</v>
      </c>
      <c r="I1947">
        <v>1</v>
      </c>
      <c r="J1947">
        <v>121.88</v>
      </c>
      <c r="K1947">
        <v>15</v>
      </c>
      <c r="L1947">
        <v>103.6</v>
      </c>
      <c r="M1947">
        <v>10.32</v>
      </c>
      <c r="N1947">
        <v>26.25</v>
      </c>
      <c r="O1947" t="s">
        <v>34</v>
      </c>
      <c r="P1947">
        <v>2025</v>
      </c>
      <c r="Q1947" t="s">
        <v>3647</v>
      </c>
      <c r="R1947">
        <v>88.06</v>
      </c>
      <c r="S1947">
        <v>0.29809220985691598</v>
      </c>
      <c r="T1947" t="s">
        <v>3632</v>
      </c>
      <c r="U1947" t="s">
        <v>3633</v>
      </c>
    </row>
    <row r="1948" spans="1:21" x14ac:dyDescent="0.25">
      <c r="A1948" t="s">
        <v>3539</v>
      </c>
      <c r="B1948" s="1">
        <v>45997</v>
      </c>
      <c r="C1948" t="s">
        <v>3540</v>
      </c>
      <c r="D1948" t="s">
        <v>30</v>
      </c>
      <c r="E1948" t="s">
        <v>85</v>
      </c>
      <c r="F1948" t="s">
        <v>60</v>
      </c>
      <c r="G1948" t="s">
        <v>20</v>
      </c>
      <c r="H1948" t="s">
        <v>38</v>
      </c>
      <c r="I1948">
        <v>2</v>
      </c>
      <c r="J1948">
        <v>48.3</v>
      </c>
      <c r="K1948">
        <v>0</v>
      </c>
      <c r="L1948">
        <v>96.6</v>
      </c>
      <c r="M1948">
        <v>10.11</v>
      </c>
      <c r="N1948">
        <v>33.36</v>
      </c>
      <c r="O1948" t="s">
        <v>34</v>
      </c>
      <c r="P1948">
        <v>2025</v>
      </c>
      <c r="Q1948" t="s">
        <v>3647</v>
      </c>
      <c r="R1948">
        <v>96.6</v>
      </c>
      <c r="S1948">
        <v>0.34534161490683202</v>
      </c>
      <c r="T1948" t="s">
        <v>3634</v>
      </c>
      <c r="U1948" t="s">
        <v>3633</v>
      </c>
    </row>
    <row r="1949" spans="1:21" x14ac:dyDescent="0.25">
      <c r="A1949" t="s">
        <v>3541</v>
      </c>
      <c r="B1949" s="1">
        <v>45997</v>
      </c>
      <c r="C1949" t="s">
        <v>1855</v>
      </c>
      <c r="D1949" t="s">
        <v>17</v>
      </c>
      <c r="E1949" t="s">
        <v>138</v>
      </c>
      <c r="F1949" t="s">
        <v>54</v>
      </c>
      <c r="G1949" t="s">
        <v>42</v>
      </c>
      <c r="H1949" t="s">
        <v>255</v>
      </c>
      <c r="I1949">
        <v>1</v>
      </c>
      <c r="J1949">
        <v>40.369999999999997</v>
      </c>
      <c r="K1949">
        <v>5</v>
      </c>
      <c r="L1949">
        <v>38.35</v>
      </c>
      <c r="M1949">
        <v>12.87</v>
      </c>
      <c r="N1949">
        <v>1.26</v>
      </c>
      <c r="O1949" t="s">
        <v>56</v>
      </c>
      <c r="P1949">
        <v>2025</v>
      </c>
      <c r="Q1949" t="s">
        <v>3647</v>
      </c>
      <c r="R1949">
        <v>36.432499999999997</v>
      </c>
      <c r="S1949">
        <v>3.45845055925341E-2</v>
      </c>
      <c r="T1949" t="s">
        <v>3634</v>
      </c>
      <c r="U1949" t="s">
        <v>3633</v>
      </c>
    </row>
    <row r="1950" spans="1:21" x14ac:dyDescent="0.25">
      <c r="A1950" t="s">
        <v>3542</v>
      </c>
      <c r="B1950" s="1">
        <v>45997</v>
      </c>
      <c r="C1950" t="s">
        <v>3543</v>
      </c>
      <c r="D1950" t="s">
        <v>30</v>
      </c>
      <c r="E1950" t="s">
        <v>31</v>
      </c>
      <c r="F1950" t="s">
        <v>19</v>
      </c>
      <c r="G1950" t="s">
        <v>32</v>
      </c>
      <c r="H1950" t="s">
        <v>115</v>
      </c>
      <c r="I1950">
        <v>1</v>
      </c>
      <c r="J1950">
        <v>9.9499999999999993</v>
      </c>
      <c r="K1950">
        <v>10</v>
      </c>
      <c r="L1950">
        <v>8.9600000000000009</v>
      </c>
      <c r="M1950">
        <v>5.73</v>
      </c>
      <c r="N1950">
        <v>-1.25</v>
      </c>
      <c r="O1950" t="s">
        <v>39</v>
      </c>
      <c r="P1950">
        <v>2025</v>
      </c>
      <c r="Q1950" t="s">
        <v>3647</v>
      </c>
      <c r="R1950">
        <v>8.0640000000000001</v>
      </c>
      <c r="S1950">
        <v>-0.155009920634921</v>
      </c>
      <c r="T1950" t="s">
        <v>3634</v>
      </c>
      <c r="U1950" t="s">
        <v>3636</v>
      </c>
    </row>
    <row r="1951" spans="1:21" x14ac:dyDescent="0.25">
      <c r="A1951" t="s">
        <v>3544</v>
      </c>
      <c r="B1951" s="1">
        <v>45997</v>
      </c>
      <c r="C1951" t="s">
        <v>3545</v>
      </c>
      <c r="D1951" t="s">
        <v>30</v>
      </c>
      <c r="E1951" t="s">
        <v>59</v>
      </c>
      <c r="F1951" t="s">
        <v>60</v>
      </c>
      <c r="G1951" t="s">
        <v>69</v>
      </c>
      <c r="H1951" t="s">
        <v>196</v>
      </c>
      <c r="I1951">
        <v>3</v>
      </c>
      <c r="J1951">
        <v>26.38</v>
      </c>
      <c r="K1951">
        <v>10</v>
      </c>
      <c r="L1951">
        <v>71.23</v>
      </c>
      <c r="M1951">
        <v>16.45</v>
      </c>
      <c r="N1951">
        <v>15.21</v>
      </c>
      <c r="O1951" t="s">
        <v>39</v>
      </c>
      <c r="P1951">
        <v>2025</v>
      </c>
      <c r="Q1951" t="s">
        <v>3647</v>
      </c>
      <c r="R1951">
        <v>64.106999999999999</v>
      </c>
      <c r="S1951">
        <v>0.23725958163695099</v>
      </c>
      <c r="T1951" t="s">
        <v>3634</v>
      </c>
      <c r="U1951" t="s">
        <v>3633</v>
      </c>
    </row>
    <row r="1952" spans="1:21" x14ac:dyDescent="0.25">
      <c r="A1952" t="s">
        <v>3546</v>
      </c>
      <c r="B1952" s="1">
        <v>45998</v>
      </c>
      <c r="C1952" t="s">
        <v>1113</v>
      </c>
      <c r="D1952" t="s">
        <v>30</v>
      </c>
      <c r="E1952" t="s">
        <v>129</v>
      </c>
      <c r="F1952" t="s">
        <v>19</v>
      </c>
      <c r="G1952" t="s">
        <v>69</v>
      </c>
      <c r="H1952" t="s">
        <v>98</v>
      </c>
      <c r="I1952">
        <v>2</v>
      </c>
      <c r="J1952">
        <v>46.65</v>
      </c>
      <c r="K1952">
        <v>0</v>
      </c>
      <c r="L1952">
        <v>93.3</v>
      </c>
      <c r="M1952">
        <v>7.99</v>
      </c>
      <c r="N1952">
        <v>38.659999999999997</v>
      </c>
      <c r="O1952" t="s">
        <v>34</v>
      </c>
      <c r="P1952">
        <v>2025</v>
      </c>
      <c r="Q1952" t="s">
        <v>3647</v>
      </c>
      <c r="R1952">
        <v>93.3</v>
      </c>
      <c r="S1952">
        <v>0.41436227224008598</v>
      </c>
      <c r="T1952" t="s">
        <v>3634</v>
      </c>
      <c r="U1952" t="s">
        <v>3633</v>
      </c>
    </row>
    <row r="1953" spans="1:21" x14ac:dyDescent="0.25">
      <c r="A1953" t="s">
        <v>3547</v>
      </c>
      <c r="B1953" s="1">
        <v>45998</v>
      </c>
      <c r="C1953" t="s">
        <v>2442</v>
      </c>
      <c r="D1953" t="s">
        <v>30</v>
      </c>
      <c r="E1953" t="s">
        <v>76</v>
      </c>
      <c r="F1953" t="s">
        <v>26</v>
      </c>
      <c r="G1953" t="s">
        <v>69</v>
      </c>
      <c r="H1953" t="s">
        <v>243</v>
      </c>
      <c r="I1953">
        <v>3</v>
      </c>
      <c r="J1953">
        <v>28.76</v>
      </c>
      <c r="K1953">
        <v>0</v>
      </c>
      <c r="L1953">
        <v>86.28</v>
      </c>
      <c r="M1953">
        <v>14.03</v>
      </c>
      <c r="N1953">
        <v>29.11</v>
      </c>
      <c r="O1953" t="s">
        <v>22</v>
      </c>
      <c r="P1953">
        <v>2025</v>
      </c>
      <c r="Q1953" t="s">
        <v>3647</v>
      </c>
      <c r="R1953">
        <v>86.28</v>
      </c>
      <c r="S1953">
        <v>0.33738989337042202</v>
      </c>
      <c r="T1953" t="s">
        <v>3634</v>
      </c>
      <c r="U1953" t="s">
        <v>3633</v>
      </c>
    </row>
    <row r="1954" spans="1:21" x14ac:dyDescent="0.25">
      <c r="A1954" t="s">
        <v>3548</v>
      </c>
      <c r="B1954" s="1">
        <v>45998</v>
      </c>
      <c r="C1954" t="s">
        <v>3549</v>
      </c>
      <c r="D1954" t="s">
        <v>30</v>
      </c>
      <c r="E1954" t="s">
        <v>129</v>
      </c>
      <c r="F1954" t="s">
        <v>19</v>
      </c>
      <c r="G1954" t="s">
        <v>20</v>
      </c>
      <c r="H1954" t="s">
        <v>21</v>
      </c>
      <c r="I1954">
        <v>4</v>
      </c>
      <c r="J1954">
        <v>128.26</v>
      </c>
      <c r="K1954">
        <v>20</v>
      </c>
      <c r="L1954">
        <v>410.43</v>
      </c>
      <c r="M1954">
        <v>9.52</v>
      </c>
      <c r="N1954">
        <v>118.74</v>
      </c>
      <c r="O1954" t="s">
        <v>22</v>
      </c>
      <c r="P1954">
        <v>2025</v>
      </c>
      <c r="Q1954" t="s">
        <v>3647</v>
      </c>
      <c r="R1954">
        <v>328.34399999999999</v>
      </c>
      <c r="S1954">
        <v>0.36163292157006099</v>
      </c>
      <c r="T1954" t="s">
        <v>3632</v>
      </c>
      <c r="U1954" t="s">
        <v>3633</v>
      </c>
    </row>
    <row r="1955" spans="1:21" x14ac:dyDescent="0.25">
      <c r="A1955" t="s">
        <v>3550</v>
      </c>
      <c r="B1955" s="1">
        <v>45998</v>
      </c>
      <c r="C1955" t="s">
        <v>3551</v>
      </c>
      <c r="D1955" t="s">
        <v>49</v>
      </c>
      <c r="E1955" t="s">
        <v>148</v>
      </c>
      <c r="F1955" t="s">
        <v>60</v>
      </c>
      <c r="G1955" t="s">
        <v>32</v>
      </c>
      <c r="H1955" t="s">
        <v>149</v>
      </c>
      <c r="I1955">
        <v>1</v>
      </c>
      <c r="J1955">
        <v>11.64</v>
      </c>
      <c r="K1955">
        <v>15</v>
      </c>
      <c r="L1955">
        <v>9.89</v>
      </c>
      <c r="M1955">
        <v>10.8</v>
      </c>
      <c r="N1955">
        <v>-6.15</v>
      </c>
      <c r="O1955" t="s">
        <v>39</v>
      </c>
      <c r="P1955">
        <v>2025</v>
      </c>
      <c r="Q1955" t="s">
        <v>3647</v>
      </c>
      <c r="R1955">
        <v>8.4064999999999994</v>
      </c>
      <c r="S1955">
        <v>-0.731576756081604</v>
      </c>
      <c r="T1955" t="s">
        <v>3634</v>
      </c>
      <c r="U1955" t="s">
        <v>3636</v>
      </c>
    </row>
    <row r="1956" spans="1:21" x14ac:dyDescent="0.25">
      <c r="A1956" t="s">
        <v>3552</v>
      </c>
      <c r="B1956" s="1">
        <v>45999</v>
      </c>
      <c r="C1956" t="s">
        <v>946</v>
      </c>
      <c r="D1956" t="s">
        <v>17</v>
      </c>
      <c r="E1956" t="s">
        <v>53</v>
      </c>
      <c r="F1956" t="s">
        <v>54</v>
      </c>
      <c r="G1956" t="s">
        <v>32</v>
      </c>
      <c r="H1956" t="s">
        <v>82</v>
      </c>
      <c r="I1956">
        <v>2</v>
      </c>
      <c r="J1956">
        <v>13.26</v>
      </c>
      <c r="K1956">
        <v>10</v>
      </c>
      <c r="L1956">
        <v>23.87</v>
      </c>
      <c r="M1956">
        <v>15.22</v>
      </c>
      <c r="N1956">
        <v>-3.28</v>
      </c>
      <c r="O1956" t="s">
        <v>39</v>
      </c>
      <c r="P1956">
        <v>2025</v>
      </c>
      <c r="Q1956" t="s">
        <v>3647</v>
      </c>
      <c r="R1956">
        <v>21.483000000000001</v>
      </c>
      <c r="S1956">
        <v>-0.152678862356282</v>
      </c>
      <c r="T1956" t="s">
        <v>3634</v>
      </c>
      <c r="U1956" t="s">
        <v>3636</v>
      </c>
    </row>
    <row r="1957" spans="1:21" x14ac:dyDescent="0.25">
      <c r="A1957" t="s">
        <v>3553</v>
      </c>
      <c r="B1957" s="1">
        <v>45999</v>
      </c>
      <c r="C1957" t="s">
        <v>1056</v>
      </c>
      <c r="D1957" t="s">
        <v>17</v>
      </c>
      <c r="E1957" t="s">
        <v>53</v>
      </c>
      <c r="F1957" t="s">
        <v>54</v>
      </c>
      <c r="G1957" t="s">
        <v>42</v>
      </c>
      <c r="H1957" t="s">
        <v>255</v>
      </c>
      <c r="I1957">
        <v>4</v>
      </c>
      <c r="J1957">
        <v>56.46</v>
      </c>
      <c r="K1957">
        <v>0</v>
      </c>
      <c r="L1957">
        <v>225.84</v>
      </c>
      <c r="M1957">
        <v>20.67</v>
      </c>
      <c r="N1957">
        <v>69.67</v>
      </c>
      <c r="O1957" t="s">
        <v>34</v>
      </c>
      <c r="P1957">
        <v>2025</v>
      </c>
      <c r="Q1957" t="s">
        <v>3647</v>
      </c>
      <c r="R1957">
        <v>225.84</v>
      </c>
      <c r="S1957">
        <v>0.30849273822175</v>
      </c>
      <c r="T1957" t="s">
        <v>3632</v>
      </c>
      <c r="U1957" t="s">
        <v>3633</v>
      </c>
    </row>
    <row r="1958" spans="1:21" x14ac:dyDescent="0.25">
      <c r="A1958" t="s">
        <v>3554</v>
      </c>
      <c r="B1958" s="1">
        <v>46000</v>
      </c>
      <c r="C1958" t="s">
        <v>672</v>
      </c>
      <c r="D1958" t="s">
        <v>49</v>
      </c>
      <c r="E1958" t="s">
        <v>18</v>
      </c>
      <c r="F1958" t="s">
        <v>19</v>
      </c>
      <c r="G1958" t="s">
        <v>20</v>
      </c>
      <c r="H1958" t="s">
        <v>27</v>
      </c>
      <c r="I1958">
        <v>2</v>
      </c>
      <c r="J1958">
        <v>130.57</v>
      </c>
      <c r="K1958">
        <v>5</v>
      </c>
      <c r="L1958">
        <v>248.08</v>
      </c>
      <c r="M1958">
        <v>9.18</v>
      </c>
      <c r="N1958">
        <v>95.27</v>
      </c>
      <c r="O1958" t="s">
        <v>34</v>
      </c>
      <c r="P1958">
        <v>2025</v>
      </c>
      <c r="Q1958" t="s">
        <v>3647</v>
      </c>
      <c r="R1958">
        <v>235.67599999999999</v>
      </c>
      <c r="S1958">
        <v>0.40424141618153703</v>
      </c>
      <c r="T1958" t="s">
        <v>3632</v>
      </c>
      <c r="U1958" t="s">
        <v>3633</v>
      </c>
    </row>
    <row r="1959" spans="1:21" x14ac:dyDescent="0.25">
      <c r="A1959" t="s">
        <v>3555</v>
      </c>
      <c r="B1959" s="1">
        <v>46000</v>
      </c>
      <c r="C1959" t="s">
        <v>3237</v>
      </c>
      <c r="D1959" t="s">
        <v>49</v>
      </c>
      <c r="E1959" t="s">
        <v>25</v>
      </c>
      <c r="F1959" t="s">
        <v>26</v>
      </c>
      <c r="G1959" t="s">
        <v>42</v>
      </c>
      <c r="H1959" t="s">
        <v>46</v>
      </c>
      <c r="I1959">
        <v>7</v>
      </c>
      <c r="J1959">
        <v>107.98</v>
      </c>
      <c r="K1959">
        <v>5</v>
      </c>
      <c r="L1959">
        <v>718.07</v>
      </c>
      <c r="M1959">
        <v>13.14</v>
      </c>
      <c r="N1959">
        <v>251.41</v>
      </c>
      <c r="O1959" t="s">
        <v>22</v>
      </c>
      <c r="P1959">
        <v>2025</v>
      </c>
      <c r="Q1959" t="s">
        <v>3647</v>
      </c>
      <c r="R1959">
        <v>682.16650000000004</v>
      </c>
      <c r="S1959">
        <v>0.36854638860160999</v>
      </c>
      <c r="T1959" t="s">
        <v>3635</v>
      </c>
      <c r="U1959" t="s">
        <v>3633</v>
      </c>
    </row>
    <row r="1960" spans="1:21" x14ac:dyDescent="0.25">
      <c r="A1960" t="s">
        <v>3556</v>
      </c>
      <c r="B1960" s="1">
        <v>46000</v>
      </c>
      <c r="C1960" t="s">
        <v>567</v>
      </c>
      <c r="D1960" t="s">
        <v>30</v>
      </c>
      <c r="E1960" t="s">
        <v>25</v>
      </c>
      <c r="F1960" t="s">
        <v>26</v>
      </c>
      <c r="G1960" t="s">
        <v>20</v>
      </c>
      <c r="H1960" t="s">
        <v>175</v>
      </c>
      <c r="I1960">
        <v>1</v>
      </c>
      <c r="J1960">
        <v>45.07</v>
      </c>
      <c r="K1960">
        <v>5</v>
      </c>
      <c r="L1960">
        <v>42.82</v>
      </c>
      <c r="M1960">
        <v>9.42</v>
      </c>
      <c r="N1960">
        <v>8.61</v>
      </c>
      <c r="O1960" t="s">
        <v>22</v>
      </c>
      <c r="P1960">
        <v>2025</v>
      </c>
      <c r="Q1960" t="s">
        <v>3647</v>
      </c>
      <c r="R1960">
        <v>40.679000000000002</v>
      </c>
      <c r="S1960">
        <v>0.21165712038152401</v>
      </c>
      <c r="T1960" t="s">
        <v>3634</v>
      </c>
      <c r="U1960" t="s">
        <v>3633</v>
      </c>
    </row>
    <row r="1961" spans="1:21" x14ac:dyDescent="0.25">
      <c r="A1961" t="s">
        <v>3557</v>
      </c>
      <c r="B1961" s="1">
        <v>46001</v>
      </c>
      <c r="C1961" t="s">
        <v>3558</v>
      </c>
      <c r="D1961" t="s">
        <v>17</v>
      </c>
      <c r="E1961" t="s">
        <v>138</v>
      </c>
      <c r="F1961" t="s">
        <v>54</v>
      </c>
      <c r="G1961" t="s">
        <v>20</v>
      </c>
      <c r="H1961" t="s">
        <v>122</v>
      </c>
      <c r="I1961">
        <v>1</v>
      </c>
      <c r="J1961">
        <v>87.05</v>
      </c>
      <c r="K1961">
        <v>25</v>
      </c>
      <c r="L1961">
        <v>65.290000000000006</v>
      </c>
      <c r="M1961">
        <v>12.28</v>
      </c>
      <c r="N1961">
        <v>5.13</v>
      </c>
      <c r="O1961" t="s">
        <v>34</v>
      </c>
      <c r="P1961">
        <v>2025</v>
      </c>
      <c r="Q1961" t="s">
        <v>3647</v>
      </c>
      <c r="R1961">
        <v>48.967500000000001</v>
      </c>
      <c r="S1961">
        <v>0.104763363455353</v>
      </c>
      <c r="T1961" t="s">
        <v>3634</v>
      </c>
      <c r="U1961" t="s">
        <v>3633</v>
      </c>
    </row>
    <row r="1962" spans="1:21" x14ac:dyDescent="0.25">
      <c r="A1962" t="s">
        <v>3559</v>
      </c>
      <c r="B1962" s="1">
        <v>46001</v>
      </c>
      <c r="C1962" t="s">
        <v>665</v>
      </c>
      <c r="D1962" t="s">
        <v>17</v>
      </c>
      <c r="E1962" t="s">
        <v>169</v>
      </c>
      <c r="F1962" t="s">
        <v>68</v>
      </c>
      <c r="G1962" t="s">
        <v>42</v>
      </c>
      <c r="H1962" t="s">
        <v>46</v>
      </c>
      <c r="I1962">
        <v>3</v>
      </c>
      <c r="J1962">
        <v>194.57</v>
      </c>
      <c r="K1962">
        <v>0</v>
      </c>
      <c r="L1962">
        <v>583.71</v>
      </c>
      <c r="M1962">
        <v>13.8</v>
      </c>
      <c r="N1962">
        <v>219.68</v>
      </c>
      <c r="O1962" t="s">
        <v>34</v>
      </c>
      <c r="P1962">
        <v>2025</v>
      </c>
      <c r="Q1962" t="s">
        <v>3647</v>
      </c>
      <c r="R1962">
        <v>583.71</v>
      </c>
      <c r="S1962">
        <v>0.37635127032259202</v>
      </c>
      <c r="T1962" t="s">
        <v>3635</v>
      </c>
      <c r="U1962" t="s">
        <v>3633</v>
      </c>
    </row>
    <row r="1963" spans="1:21" x14ac:dyDescent="0.25">
      <c r="A1963" t="s">
        <v>3560</v>
      </c>
      <c r="B1963" s="1">
        <v>46002</v>
      </c>
      <c r="C1963" t="s">
        <v>3561</v>
      </c>
      <c r="D1963" t="s">
        <v>49</v>
      </c>
      <c r="E1963" t="s">
        <v>135</v>
      </c>
      <c r="F1963" t="s">
        <v>26</v>
      </c>
      <c r="G1963" t="s">
        <v>42</v>
      </c>
      <c r="H1963" t="s">
        <v>89</v>
      </c>
      <c r="I1963">
        <v>1</v>
      </c>
      <c r="J1963">
        <v>416.05</v>
      </c>
      <c r="K1963">
        <v>20</v>
      </c>
      <c r="L1963">
        <v>332.84</v>
      </c>
      <c r="M1963">
        <v>8.18</v>
      </c>
      <c r="N1963">
        <v>75.03</v>
      </c>
      <c r="O1963" t="s">
        <v>34</v>
      </c>
      <c r="P1963">
        <v>2025</v>
      </c>
      <c r="Q1963" t="s">
        <v>3647</v>
      </c>
      <c r="R1963">
        <v>266.27199999999999</v>
      </c>
      <c r="S1963">
        <v>0.28177953370989101</v>
      </c>
      <c r="T1963" t="s">
        <v>3632</v>
      </c>
      <c r="U1963" t="s">
        <v>3633</v>
      </c>
    </row>
    <row r="1964" spans="1:21" x14ac:dyDescent="0.25">
      <c r="A1964" t="s">
        <v>3562</v>
      </c>
      <c r="B1964" s="1">
        <v>46002</v>
      </c>
      <c r="C1964" t="s">
        <v>3563</v>
      </c>
      <c r="D1964" t="s">
        <v>17</v>
      </c>
      <c r="E1964" t="s">
        <v>31</v>
      </c>
      <c r="F1964" t="s">
        <v>19</v>
      </c>
      <c r="G1964" t="s">
        <v>20</v>
      </c>
      <c r="H1964" t="s">
        <v>199</v>
      </c>
      <c r="I1964">
        <v>1</v>
      </c>
      <c r="J1964">
        <v>98.02</v>
      </c>
      <c r="K1964">
        <v>25</v>
      </c>
      <c r="L1964">
        <v>73.52</v>
      </c>
      <c r="M1964">
        <v>6.56</v>
      </c>
      <c r="N1964">
        <v>13.05</v>
      </c>
      <c r="O1964" t="s">
        <v>34</v>
      </c>
      <c r="P1964">
        <v>2025</v>
      </c>
      <c r="Q1964" t="s">
        <v>3647</v>
      </c>
      <c r="R1964">
        <v>55.14</v>
      </c>
      <c r="S1964">
        <v>0.23667029379760601</v>
      </c>
      <c r="T1964" t="s">
        <v>3634</v>
      </c>
      <c r="U1964" t="s">
        <v>3633</v>
      </c>
    </row>
    <row r="1965" spans="1:21" x14ac:dyDescent="0.25">
      <c r="A1965" t="s">
        <v>3564</v>
      </c>
      <c r="B1965" s="1">
        <v>46003</v>
      </c>
      <c r="C1965" t="s">
        <v>3565</v>
      </c>
      <c r="D1965" t="s">
        <v>30</v>
      </c>
      <c r="E1965" t="s">
        <v>85</v>
      </c>
      <c r="F1965" t="s">
        <v>60</v>
      </c>
      <c r="G1965" t="s">
        <v>42</v>
      </c>
      <c r="H1965" t="s">
        <v>255</v>
      </c>
      <c r="I1965">
        <v>3</v>
      </c>
      <c r="J1965">
        <v>18.510000000000002</v>
      </c>
      <c r="K1965">
        <v>0</v>
      </c>
      <c r="L1965">
        <v>55.53</v>
      </c>
      <c r="M1965">
        <v>13.79</v>
      </c>
      <c r="N1965">
        <v>8.42</v>
      </c>
      <c r="O1965" t="s">
        <v>39</v>
      </c>
      <c r="P1965">
        <v>2025</v>
      </c>
      <c r="Q1965" t="s">
        <v>3647</v>
      </c>
      <c r="R1965">
        <v>55.53</v>
      </c>
      <c r="S1965">
        <v>0.15162974968485499</v>
      </c>
      <c r="T1965" t="s">
        <v>3634</v>
      </c>
      <c r="U1965" t="s">
        <v>3633</v>
      </c>
    </row>
    <row r="1966" spans="1:21" x14ac:dyDescent="0.25">
      <c r="A1966" t="s">
        <v>3566</v>
      </c>
      <c r="B1966" s="1">
        <v>46005</v>
      </c>
      <c r="C1966" t="s">
        <v>3567</v>
      </c>
      <c r="D1966" t="s">
        <v>30</v>
      </c>
      <c r="E1966" t="s">
        <v>31</v>
      </c>
      <c r="F1966" t="s">
        <v>19</v>
      </c>
      <c r="G1966" t="s">
        <v>32</v>
      </c>
      <c r="H1966" t="s">
        <v>101</v>
      </c>
      <c r="I1966">
        <v>7</v>
      </c>
      <c r="J1966">
        <v>12.44</v>
      </c>
      <c r="K1966">
        <v>20</v>
      </c>
      <c r="L1966">
        <v>69.66</v>
      </c>
      <c r="M1966">
        <v>16.3</v>
      </c>
      <c r="N1966">
        <v>14.17</v>
      </c>
      <c r="O1966" t="s">
        <v>22</v>
      </c>
      <c r="P1966">
        <v>2025</v>
      </c>
      <c r="Q1966" t="s">
        <v>3647</v>
      </c>
      <c r="R1966">
        <v>55.728000000000002</v>
      </c>
      <c r="S1966">
        <v>0.254270743611829</v>
      </c>
      <c r="T1966" t="s">
        <v>3634</v>
      </c>
      <c r="U1966" t="s">
        <v>3633</v>
      </c>
    </row>
    <row r="1967" spans="1:21" x14ac:dyDescent="0.25">
      <c r="A1967" t="s">
        <v>3568</v>
      </c>
      <c r="B1967" s="1">
        <v>46006</v>
      </c>
      <c r="C1967" t="s">
        <v>1356</v>
      </c>
      <c r="D1967" t="s">
        <v>30</v>
      </c>
      <c r="E1967" t="s">
        <v>92</v>
      </c>
      <c r="F1967" t="s">
        <v>60</v>
      </c>
      <c r="G1967" t="s">
        <v>32</v>
      </c>
      <c r="H1967" t="s">
        <v>50</v>
      </c>
      <c r="I1967">
        <v>12</v>
      </c>
      <c r="J1967">
        <v>11.75</v>
      </c>
      <c r="K1967">
        <v>0</v>
      </c>
      <c r="L1967">
        <v>141</v>
      </c>
      <c r="M1967">
        <v>19.91</v>
      </c>
      <c r="N1967">
        <v>57.64</v>
      </c>
      <c r="O1967" t="s">
        <v>22</v>
      </c>
      <c r="P1967">
        <v>2025</v>
      </c>
      <c r="Q1967" t="s">
        <v>3647</v>
      </c>
      <c r="R1967">
        <v>141</v>
      </c>
      <c r="S1967">
        <v>0.40879432624113499</v>
      </c>
      <c r="T1967" t="s">
        <v>3632</v>
      </c>
      <c r="U1967" t="s">
        <v>3633</v>
      </c>
    </row>
    <row r="1968" spans="1:21" x14ac:dyDescent="0.25">
      <c r="A1968" t="s">
        <v>3569</v>
      </c>
      <c r="B1968" s="1">
        <v>46006</v>
      </c>
      <c r="C1968" t="s">
        <v>481</v>
      </c>
      <c r="D1968" t="s">
        <v>30</v>
      </c>
      <c r="E1968" t="s">
        <v>138</v>
      </c>
      <c r="F1968" t="s">
        <v>54</v>
      </c>
      <c r="G1968" t="s">
        <v>42</v>
      </c>
      <c r="H1968" t="s">
        <v>371</v>
      </c>
      <c r="I1968">
        <v>3</v>
      </c>
      <c r="J1968">
        <v>242.14</v>
      </c>
      <c r="K1968">
        <v>15</v>
      </c>
      <c r="L1968">
        <v>617.46</v>
      </c>
      <c r="M1968">
        <v>15.04</v>
      </c>
      <c r="N1968">
        <v>166.57</v>
      </c>
      <c r="O1968" t="s">
        <v>56</v>
      </c>
      <c r="P1968">
        <v>2025</v>
      </c>
      <c r="Q1968" t="s">
        <v>3647</v>
      </c>
      <c r="R1968">
        <v>524.84100000000001</v>
      </c>
      <c r="S1968">
        <v>0.31737230894689999</v>
      </c>
      <c r="T1968" t="s">
        <v>3635</v>
      </c>
      <c r="U1968" t="s">
        <v>3633</v>
      </c>
    </row>
    <row r="1969" spans="1:21" x14ac:dyDescent="0.25">
      <c r="A1969" t="s">
        <v>3570</v>
      </c>
      <c r="B1969" s="1">
        <v>46006</v>
      </c>
      <c r="C1969" t="s">
        <v>3571</v>
      </c>
      <c r="D1969" t="s">
        <v>49</v>
      </c>
      <c r="E1969" t="s">
        <v>31</v>
      </c>
      <c r="F1969" t="s">
        <v>19</v>
      </c>
      <c r="G1969" t="s">
        <v>32</v>
      </c>
      <c r="H1969" t="s">
        <v>110</v>
      </c>
      <c r="I1969">
        <v>1</v>
      </c>
      <c r="J1969">
        <v>9.32</v>
      </c>
      <c r="K1969">
        <v>0</v>
      </c>
      <c r="L1969">
        <v>9.32</v>
      </c>
      <c r="M1969">
        <v>6.23</v>
      </c>
      <c r="N1969">
        <v>-1.1000000000000001</v>
      </c>
      <c r="O1969" t="s">
        <v>22</v>
      </c>
      <c r="P1969">
        <v>2025</v>
      </c>
      <c r="Q1969" t="s">
        <v>3647</v>
      </c>
      <c r="R1969">
        <v>9.32</v>
      </c>
      <c r="S1969">
        <v>-0.118025751072961</v>
      </c>
      <c r="T1969" t="s">
        <v>3634</v>
      </c>
      <c r="U1969" t="s">
        <v>3636</v>
      </c>
    </row>
    <row r="1970" spans="1:21" x14ac:dyDescent="0.25">
      <c r="A1970" t="s">
        <v>3572</v>
      </c>
      <c r="B1970" s="1">
        <v>46007</v>
      </c>
      <c r="C1970" t="s">
        <v>3573</v>
      </c>
      <c r="D1970" t="s">
        <v>17</v>
      </c>
      <c r="E1970" t="s">
        <v>135</v>
      </c>
      <c r="F1970" t="s">
        <v>26</v>
      </c>
      <c r="G1970" t="s">
        <v>32</v>
      </c>
      <c r="H1970" t="s">
        <v>73</v>
      </c>
      <c r="I1970">
        <v>4</v>
      </c>
      <c r="J1970">
        <v>6.29</v>
      </c>
      <c r="K1970">
        <v>10</v>
      </c>
      <c r="L1970">
        <v>22.64</v>
      </c>
      <c r="M1970">
        <v>14.16</v>
      </c>
      <c r="N1970">
        <v>-2.84</v>
      </c>
      <c r="O1970" t="s">
        <v>34</v>
      </c>
      <c r="P1970">
        <v>2025</v>
      </c>
      <c r="Q1970" t="s">
        <v>3647</v>
      </c>
      <c r="R1970">
        <v>20.376000000000001</v>
      </c>
      <c r="S1970">
        <v>-0.13937966234786001</v>
      </c>
      <c r="T1970" t="s">
        <v>3634</v>
      </c>
      <c r="U1970" t="s">
        <v>3636</v>
      </c>
    </row>
    <row r="1971" spans="1:21" x14ac:dyDescent="0.25">
      <c r="A1971" t="s">
        <v>3574</v>
      </c>
      <c r="B1971" s="1">
        <v>46007</v>
      </c>
      <c r="C1971" t="s">
        <v>678</v>
      </c>
      <c r="D1971" t="s">
        <v>30</v>
      </c>
      <c r="E1971" t="s">
        <v>92</v>
      </c>
      <c r="F1971" t="s">
        <v>60</v>
      </c>
      <c r="G1971" t="s">
        <v>32</v>
      </c>
      <c r="H1971" t="s">
        <v>33</v>
      </c>
      <c r="I1971">
        <v>2</v>
      </c>
      <c r="J1971">
        <v>14.78</v>
      </c>
      <c r="K1971">
        <v>0</v>
      </c>
      <c r="L1971">
        <v>29.56</v>
      </c>
      <c r="M1971">
        <v>12.49</v>
      </c>
      <c r="N1971">
        <v>3.77</v>
      </c>
      <c r="O1971" t="s">
        <v>34</v>
      </c>
      <c r="P1971">
        <v>2025</v>
      </c>
      <c r="Q1971" t="s">
        <v>3647</v>
      </c>
      <c r="R1971">
        <v>29.56</v>
      </c>
      <c r="S1971">
        <v>0.127537212449256</v>
      </c>
      <c r="T1971" t="s">
        <v>3634</v>
      </c>
      <c r="U1971" t="s">
        <v>3633</v>
      </c>
    </row>
    <row r="1972" spans="1:21" x14ac:dyDescent="0.25">
      <c r="A1972" t="s">
        <v>3575</v>
      </c>
      <c r="B1972" s="1">
        <v>46007</v>
      </c>
      <c r="C1972" t="s">
        <v>3576</v>
      </c>
      <c r="D1972" t="s">
        <v>17</v>
      </c>
      <c r="E1972" t="s">
        <v>148</v>
      </c>
      <c r="F1972" t="s">
        <v>60</v>
      </c>
      <c r="G1972" t="s">
        <v>42</v>
      </c>
      <c r="H1972" t="s">
        <v>46</v>
      </c>
      <c r="I1972">
        <v>5</v>
      </c>
      <c r="J1972">
        <v>183.87</v>
      </c>
      <c r="K1972">
        <v>10</v>
      </c>
      <c r="L1972">
        <v>827.42</v>
      </c>
      <c r="M1972">
        <v>14.56</v>
      </c>
      <c r="N1972">
        <v>261.25</v>
      </c>
      <c r="O1972" t="s">
        <v>22</v>
      </c>
      <c r="P1972">
        <v>2025</v>
      </c>
      <c r="Q1972" t="s">
        <v>3647</v>
      </c>
      <c r="R1972">
        <v>744.678</v>
      </c>
      <c r="S1972">
        <v>0.35082277172146897</v>
      </c>
      <c r="T1972" t="s">
        <v>3635</v>
      </c>
      <c r="U1972" t="s">
        <v>3633</v>
      </c>
    </row>
    <row r="1973" spans="1:21" x14ac:dyDescent="0.25">
      <c r="A1973" t="s">
        <v>3577</v>
      </c>
      <c r="B1973" s="1">
        <v>46008</v>
      </c>
      <c r="C1973" t="s">
        <v>3578</v>
      </c>
      <c r="D1973" t="s">
        <v>30</v>
      </c>
      <c r="E1973" t="s">
        <v>25</v>
      </c>
      <c r="F1973" t="s">
        <v>26</v>
      </c>
      <c r="G1973" t="s">
        <v>20</v>
      </c>
      <c r="H1973" t="s">
        <v>175</v>
      </c>
      <c r="I1973">
        <v>1</v>
      </c>
      <c r="J1973">
        <v>52.93</v>
      </c>
      <c r="K1973">
        <v>0</v>
      </c>
      <c r="L1973">
        <v>52.93</v>
      </c>
      <c r="M1973">
        <v>8.1300000000000008</v>
      </c>
      <c r="N1973">
        <v>15.69</v>
      </c>
      <c r="O1973" t="s">
        <v>34</v>
      </c>
      <c r="P1973">
        <v>2025</v>
      </c>
      <c r="Q1973" t="s">
        <v>3647</v>
      </c>
      <c r="R1973">
        <v>52.93</v>
      </c>
      <c r="S1973">
        <v>0.29642924617419197</v>
      </c>
      <c r="T1973" t="s">
        <v>3634</v>
      </c>
      <c r="U1973" t="s">
        <v>3633</v>
      </c>
    </row>
    <row r="1974" spans="1:21" x14ac:dyDescent="0.25">
      <c r="A1974" t="s">
        <v>3579</v>
      </c>
      <c r="B1974" s="1">
        <v>46008</v>
      </c>
      <c r="C1974" t="s">
        <v>3580</v>
      </c>
      <c r="D1974" t="s">
        <v>30</v>
      </c>
      <c r="E1974" t="s">
        <v>53</v>
      </c>
      <c r="F1974" t="s">
        <v>54</v>
      </c>
      <c r="G1974" t="s">
        <v>20</v>
      </c>
      <c r="H1974" t="s">
        <v>199</v>
      </c>
      <c r="I1974">
        <v>5</v>
      </c>
      <c r="J1974">
        <v>68.790000000000006</v>
      </c>
      <c r="K1974">
        <v>0</v>
      </c>
      <c r="L1974">
        <v>343.95</v>
      </c>
      <c r="M1974">
        <v>20.77</v>
      </c>
      <c r="N1974">
        <v>134.01</v>
      </c>
      <c r="O1974" t="s">
        <v>22</v>
      </c>
      <c r="P1974">
        <v>2025</v>
      </c>
      <c r="Q1974" t="s">
        <v>3647</v>
      </c>
      <c r="R1974">
        <v>343.95</v>
      </c>
      <c r="S1974">
        <v>0.38962058438726599</v>
      </c>
      <c r="T1974" t="s">
        <v>3632</v>
      </c>
      <c r="U1974" t="s">
        <v>3633</v>
      </c>
    </row>
    <row r="1975" spans="1:21" x14ac:dyDescent="0.25">
      <c r="A1975" t="s">
        <v>3581</v>
      </c>
      <c r="B1975" s="1">
        <v>46009</v>
      </c>
      <c r="C1975" t="s">
        <v>3582</v>
      </c>
      <c r="D1975" t="s">
        <v>49</v>
      </c>
      <c r="E1975" t="s">
        <v>18</v>
      </c>
      <c r="F1975" t="s">
        <v>19</v>
      </c>
      <c r="G1975" t="s">
        <v>20</v>
      </c>
      <c r="H1975" t="s">
        <v>170</v>
      </c>
      <c r="I1975">
        <v>10</v>
      </c>
      <c r="J1975">
        <v>26.45</v>
      </c>
      <c r="K1975">
        <v>0</v>
      </c>
      <c r="L1975">
        <v>264.5</v>
      </c>
      <c r="M1975">
        <v>23.7</v>
      </c>
      <c r="N1975">
        <v>95.32</v>
      </c>
      <c r="O1975" t="s">
        <v>39</v>
      </c>
      <c r="P1975">
        <v>2025</v>
      </c>
      <c r="Q1975" t="s">
        <v>3647</v>
      </c>
      <c r="R1975">
        <v>264.5</v>
      </c>
      <c r="S1975">
        <v>0.36037807183364801</v>
      </c>
      <c r="T1975" t="s">
        <v>3632</v>
      </c>
      <c r="U1975" t="s">
        <v>3633</v>
      </c>
    </row>
    <row r="1976" spans="1:21" x14ac:dyDescent="0.25">
      <c r="A1976" t="s">
        <v>3583</v>
      </c>
      <c r="B1976" s="1">
        <v>46010</v>
      </c>
      <c r="C1976" t="s">
        <v>3584</v>
      </c>
      <c r="D1976" t="s">
        <v>17</v>
      </c>
      <c r="E1976" t="s">
        <v>129</v>
      </c>
      <c r="F1976" t="s">
        <v>19</v>
      </c>
      <c r="G1976" t="s">
        <v>69</v>
      </c>
      <c r="H1976" t="s">
        <v>163</v>
      </c>
      <c r="I1976">
        <v>3</v>
      </c>
      <c r="J1976">
        <v>54.8</v>
      </c>
      <c r="K1976">
        <v>10</v>
      </c>
      <c r="L1976">
        <v>147.96</v>
      </c>
      <c r="M1976">
        <v>10.130000000000001</v>
      </c>
      <c r="N1976">
        <v>55.63</v>
      </c>
      <c r="O1976" t="s">
        <v>56</v>
      </c>
      <c r="P1976">
        <v>2025</v>
      </c>
      <c r="Q1976" t="s">
        <v>3647</v>
      </c>
      <c r="R1976">
        <v>133.16399999999999</v>
      </c>
      <c r="S1976">
        <v>0.41775554954792599</v>
      </c>
      <c r="T1976" t="s">
        <v>3632</v>
      </c>
      <c r="U1976" t="s">
        <v>3633</v>
      </c>
    </row>
    <row r="1977" spans="1:21" x14ac:dyDescent="0.25">
      <c r="A1977" t="s">
        <v>3585</v>
      </c>
      <c r="B1977" s="1">
        <v>46010</v>
      </c>
      <c r="C1977" t="s">
        <v>3586</v>
      </c>
      <c r="D1977" t="s">
        <v>30</v>
      </c>
      <c r="E1977" t="s">
        <v>37</v>
      </c>
      <c r="F1977" t="s">
        <v>26</v>
      </c>
      <c r="G1977" t="s">
        <v>42</v>
      </c>
      <c r="H1977" t="s">
        <v>64</v>
      </c>
      <c r="I1977">
        <v>2</v>
      </c>
      <c r="J1977">
        <v>46.63</v>
      </c>
      <c r="K1977">
        <v>5</v>
      </c>
      <c r="L1977">
        <v>88.6</v>
      </c>
      <c r="M1977">
        <v>11.27</v>
      </c>
      <c r="N1977">
        <v>21.37</v>
      </c>
      <c r="O1977" t="s">
        <v>22</v>
      </c>
      <c r="P1977">
        <v>2025</v>
      </c>
      <c r="Q1977" t="s">
        <v>3647</v>
      </c>
      <c r="R1977">
        <v>84.17</v>
      </c>
      <c r="S1977">
        <v>0.25389093501247501</v>
      </c>
      <c r="T1977" t="s">
        <v>3634</v>
      </c>
      <c r="U1977" t="s">
        <v>3633</v>
      </c>
    </row>
    <row r="1978" spans="1:21" x14ac:dyDescent="0.25">
      <c r="A1978" t="s">
        <v>3587</v>
      </c>
      <c r="B1978" s="1">
        <v>46012</v>
      </c>
      <c r="C1978" t="s">
        <v>1131</v>
      </c>
      <c r="D1978" t="s">
        <v>49</v>
      </c>
      <c r="E1978" t="s">
        <v>37</v>
      </c>
      <c r="F1978" t="s">
        <v>26</v>
      </c>
      <c r="G1978" t="s">
        <v>20</v>
      </c>
      <c r="H1978" t="s">
        <v>21</v>
      </c>
      <c r="I1978">
        <v>1</v>
      </c>
      <c r="J1978">
        <v>223.52</v>
      </c>
      <c r="K1978">
        <v>20</v>
      </c>
      <c r="L1978">
        <v>178.82</v>
      </c>
      <c r="M1978">
        <v>8.19</v>
      </c>
      <c r="N1978">
        <v>47.69</v>
      </c>
      <c r="O1978" t="s">
        <v>22</v>
      </c>
      <c r="P1978">
        <v>2025</v>
      </c>
      <c r="Q1978" t="s">
        <v>3647</v>
      </c>
      <c r="R1978">
        <v>143.05600000000001</v>
      </c>
      <c r="S1978">
        <v>0.33336595459120899</v>
      </c>
      <c r="T1978" t="s">
        <v>3632</v>
      </c>
      <c r="U1978" t="s">
        <v>3633</v>
      </c>
    </row>
    <row r="1979" spans="1:21" x14ac:dyDescent="0.25">
      <c r="A1979" t="s">
        <v>3588</v>
      </c>
      <c r="B1979" s="1">
        <v>46012</v>
      </c>
      <c r="C1979" t="s">
        <v>3589</v>
      </c>
      <c r="D1979" t="s">
        <v>30</v>
      </c>
      <c r="E1979" t="s">
        <v>31</v>
      </c>
      <c r="F1979" t="s">
        <v>19</v>
      </c>
      <c r="G1979" t="s">
        <v>69</v>
      </c>
      <c r="H1979" t="s">
        <v>70</v>
      </c>
      <c r="I1979">
        <v>1</v>
      </c>
      <c r="J1979">
        <v>63.87</v>
      </c>
      <c r="K1979">
        <v>20</v>
      </c>
      <c r="L1979">
        <v>51.1</v>
      </c>
      <c r="M1979">
        <v>6.15</v>
      </c>
      <c r="N1979">
        <v>13.02</v>
      </c>
      <c r="O1979" t="s">
        <v>39</v>
      </c>
      <c r="P1979">
        <v>2025</v>
      </c>
      <c r="Q1979" t="s">
        <v>3647</v>
      </c>
      <c r="R1979">
        <v>40.880000000000003</v>
      </c>
      <c r="S1979">
        <v>0.318493150684932</v>
      </c>
      <c r="T1979" t="s">
        <v>3634</v>
      </c>
      <c r="U1979" t="s">
        <v>3633</v>
      </c>
    </row>
    <row r="1980" spans="1:21" x14ac:dyDescent="0.25">
      <c r="A1980" t="s">
        <v>3590</v>
      </c>
      <c r="B1980" s="1">
        <v>46013</v>
      </c>
      <c r="C1980" t="s">
        <v>1317</v>
      </c>
      <c r="D1980" t="s">
        <v>17</v>
      </c>
      <c r="E1980" t="s">
        <v>85</v>
      </c>
      <c r="F1980" t="s">
        <v>60</v>
      </c>
      <c r="G1980" t="s">
        <v>20</v>
      </c>
      <c r="H1980" t="s">
        <v>199</v>
      </c>
      <c r="I1980">
        <v>2</v>
      </c>
      <c r="J1980">
        <v>130.38999999999999</v>
      </c>
      <c r="K1980">
        <v>15</v>
      </c>
      <c r="L1980">
        <v>221.66</v>
      </c>
      <c r="M1980">
        <v>10.61</v>
      </c>
      <c r="N1980">
        <v>67.62</v>
      </c>
      <c r="O1980" t="s">
        <v>39</v>
      </c>
      <c r="P1980">
        <v>2025</v>
      </c>
      <c r="Q1980" t="s">
        <v>3647</v>
      </c>
      <c r="R1980">
        <v>188.411</v>
      </c>
      <c r="S1980">
        <v>0.35889624278837201</v>
      </c>
      <c r="T1980" t="s">
        <v>3632</v>
      </c>
      <c r="U1980" t="s">
        <v>3633</v>
      </c>
    </row>
    <row r="1981" spans="1:21" x14ac:dyDescent="0.25">
      <c r="A1981" t="s">
        <v>3591</v>
      </c>
      <c r="B1981" s="1">
        <v>46013</v>
      </c>
      <c r="C1981" t="s">
        <v>3592</v>
      </c>
      <c r="D1981" t="s">
        <v>30</v>
      </c>
      <c r="E1981" t="s">
        <v>63</v>
      </c>
      <c r="F1981" t="s">
        <v>54</v>
      </c>
      <c r="G1981" t="s">
        <v>20</v>
      </c>
      <c r="H1981" t="s">
        <v>122</v>
      </c>
      <c r="I1981">
        <v>1</v>
      </c>
      <c r="J1981">
        <v>85.33</v>
      </c>
      <c r="K1981">
        <v>0</v>
      </c>
      <c r="L1981">
        <v>85.33</v>
      </c>
      <c r="M1981">
        <v>12.49</v>
      </c>
      <c r="N1981">
        <v>25.91</v>
      </c>
      <c r="O1981" t="s">
        <v>22</v>
      </c>
      <c r="P1981">
        <v>2025</v>
      </c>
      <c r="Q1981" t="s">
        <v>3647</v>
      </c>
      <c r="R1981">
        <v>85.33</v>
      </c>
      <c r="S1981">
        <v>0.30364467362006298</v>
      </c>
      <c r="T1981" t="s">
        <v>3634</v>
      </c>
      <c r="U1981" t="s">
        <v>3633</v>
      </c>
    </row>
    <row r="1982" spans="1:21" x14ac:dyDescent="0.25">
      <c r="A1982" t="s">
        <v>3593</v>
      </c>
      <c r="B1982" s="1">
        <v>46014</v>
      </c>
      <c r="C1982" t="s">
        <v>3166</v>
      </c>
      <c r="D1982" t="s">
        <v>30</v>
      </c>
      <c r="E1982" t="s">
        <v>248</v>
      </c>
      <c r="F1982" t="s">
        <v>26</v>
      </c>
      <c r="G1982" t="s">
        <v>42</v>
      </c>
      <c r="H1982" t="s">
        <v>234</v>
      </c>
      <c r="I1982">
        <v>2</v>
      </c>
      <c r="J1982">
        <v>70.680000000000007</v>
      </c>
      <c r="K1982">
        <v>15</v>
      </c>
      <c r="L1982">
        <v>120.16</v>
      </c>
      <c r="M1982">
        <v>9.93</v>
      </c>
      <c r="N1982">
        <v>25.41</v>
      </c>
      <c r="O1982" t="s">
        <v>56</v>
      </c>
      <c r="P1982">
        <v>2025</v>
      </c>
      <c r="Q1982" t="s">
        <v>3647</v>
      </c>
      <c r="R1982">
        <v>102.136</v>
      </c>
      <c r="S1982">
        <v>0.248785932482181</v>
      </c>
      <c r="T1982" t="s">
        <v>3632</v>
      </c>
      <c r="U1982" t="s">
        <v>3633</v>
      </c>
    </row>
    <row r="1983" spans="1:21" x14ac:dyDescent="0.25">
      <c r="A1983" t="s">
        <v>3594</v>
      </c>
      <c r="B1983" s="1">
        <v>46014</v>
      </c>
      <c r="C1983" t="s">
        <v>3595</v>
      </c>
      <c r="D1983" t="s">
        <v>30</v>
      </c>
      <c r="E1983" t="s">
        <v>248</v>
      </c>
      <c r="F1983" t="s">
        <v>26</v>
      </c>
      <c r="G1983" t="s">
        <v>69</v>
      </c>
      <c r="H1983" t="s">
        <v>86</v>
      </c>
      <c r="I1983">
        <v>5</v>
      </c>
      <c r="J1983">
        <v>55.45</v>
      </c>
      <c r="K1983">
        <v>15</v>
      </c>
      <c r="L1983">
        <v>235.66</v>
      </c>
      <c r="M1983">
        <v>16.489999999999998</v>
      </c>
      <c r="N1983">
        <v>80.55</v>
      </c>
      <c r="O1983" t="s">
        <v>56</v>
      </c>
      <c r="P1983">
        <v>2025</v>
      </c>
      <c r="Q1983" t="s">
        <v>3647</v>
      </c>
      <c r="R1983">
        <v>200.31100000000001</v>
      </c>
      <c r="S1983">
        <v>0.40212469609756801</v>
      </c>
      <c r="T1983" t="s">
        <v>3632</v>
      </c>
      <c r="U1983" t="s">
        <v>3633</v>
      </c>
    </row>
    <row r="1984" spans="1:21" x14ac:dyDescent="0.25">
      <c r="A1984" t="s">
        <v>3596</v>
      </c>
      <c r="B1984" s="1">
        <v>46014</v>
      </c>
      <c r="C1984" t="s">
        <v>3597</v>
      </c>
      <c r="D1984" t="s">
        <v>30</v>
      </c>
      <c r="E1984" t="s">
        <v>129</v>
      </c>
      <c r="F1984" t="s">
        <v>19</v>
      </c>
      <c r="G1984" t="s">
        <v>32</v>
      </c>
      <c r="H1984" t="s">
        <v>149</v>
      </c>
      <c r="I1984">
        <v>2</v>
      </c>
      <c r="J1984">
        <v>9.4499999999999993</v>
      </c>
      <c r="K1984">
        <v>15</v>
      </c>
      <c r="L1984">
        <v>16.059999999999999</v>
      </c>
      <c r="M1984">
        <v>9.31</v>
      </c>
      <c r="N1984">
        <v>-1.76</v>
      </c>
      <c r="O1984" t="s">
        <v>39</v>
      </c>
      <c r="P1984">
        <v>2025</v>
      </c>
      <c r="Q1984" t="s">
        <v>3647</v>
      </c>
      <c r="R1984">
        <v>13.651</v>
      </c>
      <c r="S1984">
        <v>-0.128928283642224</v>
      </c>
      <c r="T1984" t="s">
        <v>3634</v>
      </c>
      <c r="U1984" t="s">
        <v>3636</v>
      </c>
    </row>
    <row r="1985" spans="1:21" x14ac:dyDescent="0.25">
      <c r="A1985" t="s">
        <v>3598</v>
      </c>
      <c r="B1985" s="1">
        <v>46015</v>
      </c>
      <c r="C1985" t="s">
        <v>3599</v>
      </c>
      <c r="D1985" t="s">
        <v>49</v>
      </c>
      <c r="E1985" t="s">
        <v>166</v>
      </c>
      <c r="F1985" t="s">
        <v>60</v>
      </c>
      <c r="G1985" t="s">
        <v>20</v>
      </c>
      <c r="H1985" t="s">
        <v>27</v>
      </c>
      <c r="I1985">
        <v>1</v>
      </c>
      <c r="J1985">
        <v>83.9</v>
      </c>
      <c r="K1985">
        <v>15</v>
      </c>
      <c r="L1985">
        <v>71.31</v>
      </c>
      <c r="M1985">
        <v>11.12</v>
      </c>
      <c r="N1985">
        <v>14.04</v>
      </c>
      <c r="O1985" t="s">
        <v>34</v>
      </c>
      <c r="P1985">
        <v>2025</v>
      </c>
      <c r="Q1985" t="s">
        <v>3647</v>
      </c>
      <c r="R1985">
        <v>60.613500000000002</v>
      </c>
      <c r="S1985">
        <v>0.23163156722512299</v>
      </c>
      <c r="T1985" t="s">
        <v>3634</v>
      </c>
      <c r="U1985" t="s">
        <v>3633</v>
      </c>
    </row>
    <row r="1986" spans="1:21" x14ac:dyDescent="0.25">
      <c r="A1986" t="s">
        <v>3600</v>
      </c>
      <c r="B1986" s="1">
        <v>46015</v>
      </c>
      <c r="C1986" t="s">
        <v>3601</v>
      </c>
      <c r="D1986" t="s">
        <v>30</v>
      </c>
      <c r="E1986" t="s">
        <v>53</v>
      </c>
      <c r="F1986" t="s">
        <v>54</v>
      </c>
      <c r="G1986" t="s">
        <v>69</v>
      </c>
      <c r="H1986" t="s">
        <v>160</v>
      </c>
      <c r="I1986">
        <v>4</v>
      </c>
      <c r="J1986">
        <v>30.28</v>
      </c>
      <c r="K1986">
        <v>0</v>
      </c>
      <c r="L1986">
        <v>121.12</v>
      </c>
      <c r="M1986">
        <v>16.89</v>
      </c>
      <c r="N1986">
        <v>43.67</v>
      </c>
      <c r="O1986" t="s">
        <v>34</v>
      </c>
      <c r="P1986">
        <v>2025</v>
      </c>
      <c r="Q1986" t="s">
        <v>3647</v>
      </c>
      <c r="R1986">
        <v>121.12</v>
      </c>
      <c r="S1986">
        <v>0.36055151915455702</v>
      </c>
      <c r="T1986" t="s">
        <v>3632</v>
      </c>
      <c r="U1986" t="s">
        <v>3633</v>
      </c>
    </row>
    <row r="1987" spans="1:21" x14ac:dyDescent="0.25">
      <c r="A1987" t="s">
        <v>3602</v>
      </c>
      <c r="B1987" s="1">
        <v>46016</v>
      </c>
      <c r="C1987" t="s">
        <v>2076</v>
      </c>
      <c r="D1987" t="s">
        <v>30</v>
      </c>
      <c r="E1987" t="s">
        <v>109</v>
      </c>
      <c r="F1987" t="s">
        <v>54</v>
      </c>
      <c r="G1987" t="s">
        <v>20</v>
      </c>
      <c r="H1987" t="s">
        <v>21</v>
      </c>
      <c r="I1987">
        <v>1</v>
      </c>
      <c r="J1987">
        <v>101.37</v>
      </c>
      <c r="K1987">
        <v>15</v>
      </c>
      <c r="L1987">
        <v>86.16</v>
      </c>
      <c r="M1987">
        <v>13.18</v>
      </c>
      <c r="N1987">
        <v>17.23</v>
      </c>
      <c r="O1987" t="s">
        <v>39</v>
      </c>
      <c r="P1987">
        <v>2025</v>
      </c>
      <c r="Q1987" t="s">
        <v>3647</v>
      </c>
      <c r="R1987">
        <v>73.236000000000004</v>
      </c>
      <c r="S1987">
        <v>0.23526680867333</v>
      </c>
      <c r="T1987" t="s">
        <v>3634</v>
      </c>
      <c r="U1987" t="s">
        <v>3633</v>
      </c>
    </row>
    <row r="1988" spans="1:21" x14ac:dyDescent="0.25">
      <c r="A1988" t="s">
        <v>3603</v>
      </c>
      <c r="B1988" s="1">
        <v>46016</v>
      </c>
      <c r="C1988" t="s">
        <v>3604</v>
      </c>
      <c r="D1988" t="s">
        <v>49</v>
      </c>
      <c r="E1988" t="s">
        <v>148</v>
      </c>
      <c r="F1988" t="s">
        <v>60</v>
      </c>
      <c r="G1988" t="s">
        <v>69</v>
      </c>
      <c r="H1988" t="s">
        <v>79</v>
      </c>
      <c r="I1988">
        <v>5</v>
      </c>
      <c r="J1988">
        <v>88.14</v>
      </c>
      <c r="K1988">
        <v>10</v>
      </c>
      <c r="L1988">
        <v>396.63</v>
      </c>
      <c r="M1988">
        <v>15.38</v>
      </c>
      <c r="N1988">
        <v>160.9</v>
      </c>
      <c r="O1988" t="s">
        <v>39</v>
      </c>
      <c r="P1988">
        <v>2025</v>
      </c>
      <c r="Q1988" t="s">
        <v>3647</v>
      </c>
      <c r="R1988">
        <v>356.96699999999998</v>
      </c>
      <c r="S1988">
        <v>0.45074194533388201</v>
      </c>
      <c r="T1988" t="s">
        <v>3632</v>
      </c>
      <c r="U1988" t="s">
        <v>3633</v>
      </c>
    </row>
    <row r="1989" spans="1:21" x14ac:dyDescent="0.25">
      <c r="A1989" t="s">
        <v>3605</v>
      </c>
      <c r="B1989" s="1">
        <v>46018</v>
      </c>
      <c r="C1989" t="s">
        <v>669</v>
      </c>
      <c r="D1989" t="s">
        <v>49</v>
      </c>
      <c r="E1989" t="s">
        <v>31</v>
      </c>
      <c r="F1989" t="s">
        <v>19</v>
      </c>
      <c r="G1989" t="s">
        <v>32</v>
      </c>
      <c r="H1989" t="s">
        <v>82</v>
      </c>
      <c r="I1989">
        <v>1</v>
      </c>
      <c r="J1989">
        <v>23.01</v>
      </c>
      <c r="K1989">
        <v>5</v>
      </c>
      <c r="L1989">
        <v>21.86</v>
      </c>
      <c r="M1989">
        <v>6.85</v>
      </c>
      <c r="N1989">
        <v>4.66</v>
      </c>
      <c r="O1989" t="s">
        <v>39</v>
      </c>
      <c r="P1989">
        <v>2025</v>
      </c>
      <c r="Q1989" t="s">
        <v>3647</v>
      </c>
      <c r="R1989">
        <v>20.766999999999999</v>
      </c>
      <c r="S1989">
        <v>0.22439447199884399</v>
      </c>
      <c r="T1989" t="s">
        <v>3634</v>
      </c>
      <c r="U1989" t="s">
        <v>3633</v>
      </c>
    </row>
    <row r="1990" spans="1:21" x14ac:dyDescent="0.25">
      <c r="A1990" t="s">
        <v>3606</v>
      </c>
      <c r="B1990" s="1">
        <v>46019</v>
      </c>
      <c r="C1990" t="s">
        <v>3607</v>
      </c>
      <c r="D1990" t="s">
        <v>30</v>
      </c>
      <c r="E1990" t="s">
        <v>135</v>
      </c>
      <c r="F1990" t="s">
        <v>26</v>
      </c>
      <c r="G1990" t="s">
        <v>20</v>
      </c>
      <c r="H1990" t="s">
        <v>264</v>
      </c>
      <c r="I1990">
        <v>1</v>
      </c>
      <c r="J1990">
        <v>48.39</v>
      </c>
      <c r="K1990">
        <v>15</v>
      </c>
      <c r="L1990">
        <v>41.13</v>
      </c>
      <c r="M1990">
        <v>8.9</v>
      </c>
      <c r="N1990">
        <v>5.62</v>
      </c>
      <c r="O1990" t="s">
        <v>34</v>
      </c>
      <c r="P1990">
        <v>2025</v>
      </c>
      <c r="Q1990" t="s">
        <v>3647</v>
      </c>
      <c r="R1990">
        <v>34.960500000000003</v>
      </c>
      <c r="S1990">
        <v>0.16075284964459899</v>
      </c>
      <c r="T1990" t="s">
        <v>3634</v>
      </c>
      <c r="U1990" t="s">
        <v>3633</v>
      </c>
    </row>
    <row r="1991" spans="1:21" x14ac:dyDescent="0.25">
      <c r="A1991" t="s">
        <v>3608</v>
      </c>
      <c r="B1991" s="1">
        <v>46019</v>
      </c>
      <c r="C1991" t="s">
        <v>2446</v>
      </c>
      <c r="D1991" t="s">
        <v>30</v>
      </c>
      <c r="E1991" t="s">
        <v>169</v>
      </c>
      <c r="F1991" t="s">
        <v>68</v>
      </c>
      <c r="G1991" t="s">
        <v>69</v>
      </c>
      <c r="H1991" t="s">
        <v>86</v>
      </c>
      <c r="I1991">
        <v>1</v>
      </c>
      <c r="J1991">
        <v>77.11</v>
      </c>
      <c r="K1991">
        <v>5</v>
      </c>
      <c r="L1991">
        <v>73.25</v>
      </c>
      <c r="M1991">
        <v>12.16</v>
      </c>
      <c r="N1991">
        <v>22.54</v>
      </c>
      <c r="O1991" t="s">
        <v>39</v>
      </c>
      <c r="P1991">
        <v>2025</v>
      </c>
      <c r="Q1991" t="s">
        <v>3647</v>
      </c>
      <c r="R1991">
        <v>69.587500000000006</v>
      </c>
      <c r="S1991">
        <v>0.32390874797916303</v>
      </c>
      <c r="T1991" t="s">
        <v>3634</v>
      </c>
      <c r="U1991" t="s">
        <v>3633</v>
      </c>
    </row>
    <row r="1992" spans="1:21" x14ac:dyDescent="0.25">
      <c r="A1992" t="s">
        <v>3609</v>
      </c>
      <c r="B1992" s="1">
        <v>46020</v>
      </c>
      <c r="C1992" t="s">
        <v>3610</v>
      </c>
      <c r="D1992" t="s">
        <v>30</v>
      </c>
      <c r="E1992" t="s">
        <v>135</v>
      </c>
      <c r="F1992" t="s">
        <v>26</v>
      </c>
      <c r="G1992" t="s">
        <v>69</v>
      </c>
      <c r="H1992" t="s">
        <v>70</v>
      </c>
      <c r="I1992">
        <v>7</v>
      </c>
      <c r="J1992">
        <v>61.68</v>
      </c>
      <c r="K1992">
        <v>10</v>
      </c>
      <c r="L1992">
        <v>388.58</v>
      </c>
      <c r="M1992">
        <v>24.46</v>
      </c>
      <c r="N1992">
        <v>148.24</v>
      </c>
      <c r="O1992" t="s">
        <v>56</v>
      </c>
      <c r="P1992">
        <v>2025</v>
      </c>
      <c r="Q1992" t="s">
        <v>3647</v>
      </c>
      <c r="R1992">
        <v>349.72199999999998</v>
      </c>
      <c r="S1992">
        <v>0.42387953860494898</v>
      </c>
      <c r="T1992" t="s">
        <v>3632</v>
      </c>
      <c r="U1992" t="s">
        <v>3633</v>
      </c>
    </row>
    <row r="1993" spans="1:21" x14ac:dyDescent="0.25">
      <c r="A1993" t="s">
        <v>3611</v>
      </c>
      <c r="B1993" s="1">
        <v>46020</v>
      </c>
      <c r="C1993" t="s">
        <v>1022</v>
      </c>
      <c r="D1993" t="s">
        <v>30</v>
      </c>
      <c r="E1993" t="s">
        <v>121</v>
      </c>
      <c r="F1993" t="s">
        <v>68</v>
      </c>
      <c r="G1993" t="s">
        <v>42</v>
      </c>
      <c r="H1993" t="s">
        <v>64</v>
      </c>
      <c r="I1993">
        <v>2</v>
      </c>
      <c r="J1993">
        <v>84.14</v>
      </c>
      <c r="K1993">
        <v>20</v>
      </c>
      <c r="L1993">
        <v>134.62</v>
      </c>
      <c r="M1993">
        <v>14.99</v>
      </c>
      <c r="N1993">
        <v>18.66</v>
      </c>
      <c r="O1993" t="s">
        <v>39</v>
      </c>
      <c r="P1993">
        <v>2025</v>
      </c>
      <c r="Q1993" t="s">
        <v>3647</v>
      </c>
      <c r="R1993">
        <v>107.696</v>
      </c>
      <c r="S1993">
        <v>0.17326548804041</v>
      </c>
      <c r="T1993" t="s">
        <v>3632</v>
      </c>
      <c r="U1993" t="s">
        <v>3633</v>
      </c>
    </row>
    <row r="1994" spans="1:21" x14ac:dyDescent="0.25">
      <c r="A1994" t="s">
        <v>3612</v>
      </c>
      <c r="B1994" s="1">
        <v>46021</v>
      </c>
      <c r="C1994" t="s">
        <v>3613</v>
      </c>
      <c r="D1994" t="s">
        <v>49</v>
      </c>
      <c r="E1994" t="s">
        <v>37</v>
      </c>
      <c r="F1994" t="s">
        <v>26</v>
      </c>
      <c r="G1994" t="s">
        <v>42</v>
      </c>
      <c r="H1994" t="s">
        <v>294</v>
      </c>
      <c r="I1994">
        <v>5</v>
      </c>
      <c r="J1994">
        <v>204.17</v>
      </c>
      <c r="K1994">
        <v>5</v>
      </c>
      <c r="L1994">
        <v>969.81</v>
      </c>
      <c r="M1994">
        <v>18.46</v>
      </c>
      <c r="N1994">
        <v>338.84</v>
      </c>
      <c r="O1994" t="s">
        <v>39</v>
      </c>
      <c r="P1994">
        <v>2025</v>
      </c>
      <c r="Q1994" t="s">
        <v>3647</v>
      </c>
      <c r="R1994">
        <v>921.31949999999995</v>
      </c>
      <c r="S1994">
        <v>0.36777686785094599</v>
      </c>
      <c r="T1994" t="s">
        <v>3635</v>
      </c>
      <c r="U1994" t="s">
        <v>3633</v>
      </c>
    </row>
    <row r="1995" spans="1:21" x14ac:dyDescent="0.25">
      <c r="A1995" t="s">
        <v>3614</v>
      </c>
      <c r="B1995" s="1">
        <v>46021</v>
      </c>
      <c r="C1995" t="s">
        <v>1509</v>
      </c>
      <c r="D1995" t="s">
        <v>30</v>
      </c>
      <c r="E1995" t="s">
        <v>92</v>
      </c>
      <c r="F1995" t="s">
        <v>60</v>
      </c>
      <c r="G1995" t="s">
        <v>32</v>
      </c>
      <c r="H1995" t="s">
        <v>132</v>
      </c>
      <c r="I1995">
        <v>1</v>
      </c>
      <c r="J1995">
        <v>15.08</v>
      </c>
      <c r="K1995">
        <v>10</v>
      </c>
      <c r="L1995">
        <v>13.57</v>
      </c>
      <c r="M1995">
        <v>11.07</v>
      </c>
      <c r="N1995">
        <v>-4.29</v>
      </c>
      <c r="O1995" t="s">
        <v>39</v>
      </c>
      <c r="P1995">
        <v>2025</v>
      </c>
      <c r="Q1995" t="s">
        <v>3647</v>
      </c>
      <c r="R1995">
        <v>12.212999999999999</v>
      </c>
      <c r="S1995">
        <v>-0.35126504544338</v>
      </c>
      <c r="T1995" t="s">
        <v>3634</v>
      </c>
      <c r="U1995" t="s">
        <v>3636</v>
      </c>
    </row>
    <row r="1996" spans="1:21" x14ac:dyDescent="0.25">
      <c r="A1996" t="s">
        <v>3615</v>
      </c>
      <c r="B1996" s="1">
        <v>46021</v>
      </c>
      <c r="C1996" t="s">
        <v>3616</v>
      </c>
      <c r="D1996" t="s">
        <v>30</v>
      </c>
      <c r="E1996" t="s">
        <v>166</v>
      </c>
      <c r="F1996" t="s">
        <v>60</v>
      </c>
      <c r="G1996" t="s">
        <v>42</v>
      </c>
      <c r="H1996" t="s">
        <v>371</v>
      </c>
      <c r="I1996">
        <v>1</v>
      </c>
      <c r="J1996">
        <v>177.9</v>
      </c>
      <c r="K1996">
        <v>10</v>
      </c>
      <c r="L1996">
        <v>160.11000000000001</v>
      </c>
      <c r="M1996">
        <v>10.23</v>
      </c>
      <c r="N1996">
        <v>43.14</v>
      </c>
      <c r="O1996" t="s">
        <v>39</v>
      </c>
      <c r="P1996">
        <v>2025</v>
      </c>
      <c r="Q1996" t="s">
        <v>3647</v>
      </c>
      <c r="R1996">
        <v>144.09899999999999</v>
      </c>
      <c r="S1996">
        <v>0.299377511294318</v>
      </c>
      <c r="T1996" t="s">
        <v>3632</v>
      </c>
      <c r="U1996" t="s">
        <v>3633</v>
      </c>
    </row>
    <row r="1997" spans="1:21" x14ac:dyDescent="0.25">
      <c r="A1997" t="s">
        <v>3617</v>
      </c>
      <c r="B1997" s="1">
        <v>46022</v>
      </c>
      <c r="C1997" t="s">
        <v>3618</v>
      </c>
      <c r="D1997" t="s">
        <v>30</v>
      </c>
      <c r="E1997" t="s">
        <v>248</v>
      </c>
      <c r="F1997" t="s">
        <v>26</v>
      </c>
      <c r="G1997" t="s">
        <v>42</v>
      </c>
      <c r="H1997" t="s">
        <v>64</v>
      </c>
      <c r="I1997">
        <v>5</v>
      </c>
      <c r="J1997">
        <v>104.73</v>
      </c>
      <c r="K1997">
        <v>0</v>
      </c>
      <c r="L1997">
        <v>523.65</v>
      </c>
      <c r="M1997">
        <v>19.100000000000001</v>
      </c>
      <c r="N1997">
        <v>190.36</v>
      </c>
      <c r="O1997" t="s">
        <v>39</v>
      </c>
      <c r="P1997">
        <v>2025</v>
      </c>
      <c r="Q1997" t="s">
        <v>3647</v>
      </c>
      <c r="R1997">
        <v>523.65</v>
      </c>
      <c r="S1997">
        <v>0.36352525541869601</v>
      </c>
      <c r="T1997" t="s">
        <v>3635</v>
      </c>
      <c r="U1997" t="s">
        <v>3633</v>
      </c>
    </row>
    <row r="1998" spans="1:21" x14ac:dyDescent="0.25">
      <c r="A1998" t="s">
        <v>3619</v>
      </c>
      <c r="B1998" s="1">
        <v>46022</v>
      </c>
      <c r="C1998" t="s">
        <v>3620</v>
      </c>
      <c r="D1998" t="s">
        <v>30</v>
      </c>
      <c r="E1998" t="s">
        <v>248</v>
      </c>
      <c r="F1998" t="s">
        <v>26</v>
      </c>
      <c r="G1998" t="s">
        <v>69</v>
      </c>
      <c r="H1998" t="s">
        <v>163</v>
      </c>
      <c r="I1998">
        <v>11</v>
      </c>
      <c r="J1998">
        <v>59.27</v>
      </c>
      <c r="K1998">
        <v>5</v>
      </c>
      <c r="L1998">
        <v>619.37</v>
      </c>
      <c r="M1998">
        <v>20.94</v>
      </c>
      <c r="N1998">
        <v>272.44</v>
      </c>
      <c r="O1998" t="s">
        <v>39</v>
      </c>
      <c r="P1998">
        <v>2025</v>
      </c>
      <c r="Q1998" t="s">
        <v>3647</v>
      </c>
      <c r="R1998">
        <v>588.40150000000006</v>
      </c>
      <c r="S1998">
        <v>0.46301717449734597</v>
      </c>
      <c r="T1998" t="s">
        <v>3635</v>
      </c>
      <c r="U1998" t="s">
        <v>3633</v>
      </c>
    </row>
    <row r="1999" spans="1:21" x14ac:dyDescent="0.25">
      <c r="A1999" t="s">
        <v>3621</v>
      </c>
      <c r="B1999" s="1">
        <v>46022</v>
      </c>
      <c r="C1999" t="s">
        <v>873</v>
      </c>
      <c r="D1999" t="s">
        <v>30</v>
      </c>
      <c r="E1999" t="s">
        <v>25</v>
      </c>
      <c r="F1999" t="s">
        <v>26</v>
      </c>
      <c r="G1999" t="s">
        <v>20</v>
      </c>
      <c r="H1999" t="s">
        <v>38</v>
      </c>
      <c r="I1999">
        <v>6</v>
      </c>
      <c r="J1999">
        <v>31.79</v>
      </c>
      <c r="K1999">
        <v>15</v>
      </c>
      <c r="L1999">
        <v>162.13</v>
      </c>
      <c r="M1999">
        <v>15.19</v>
      </c>
      <c r="N1999">
        <v>42.03</v>
      </c>
      <c r="O1999" t="s">
        <v>56</v>
      </c>
      <c r="P1999">
        <v>2025</v>
      </c>
      <c r="Q1999" t="s">
        <v>3647</v>
      </c>
      <c r="R1999">
        <v>137.81049999999999</v>
      </c>
      <c r="S1999">
        <v>0.30498401790864998</v>
      </c>
      <c r="T1999" t="s">
        <v>3632</v>
      </c>
      <c r="U1999" t="s">
        <v>3633</v>
      </c>
    </row>
    <row r="2000" spans="1:21" x14ac:dyDescent="0.25">
      <c r="A2000" t="s">
        <v>3622</v>
      </c>
      <c r="B2000" s="1">
        <v>46022</v>
      </c>
      <c r="C2000" t="s">
        <v>2426</v>
      </c>
      <c r="D2000" t="s">
        <v>49</v>
      </c>
      <c r="E2000" t="s">
        <v>25</v>
      </c>
      <c r="F2000" t="s">
        <v>26</v>
      </c>
      <c r="G2000" t="s">
        <v>69</v>
      </c>
      <c r="H2000" t="s">
        <v>196</v>
      </c>
      <c r="I2000">
        <v>5</v>
      </c>
      <c r="J2000">
        <v>9.5</v>
      </c>
      <c r="K2000">
        <v>5</v>
      </c>
      <c r="L2000">
        <v>45.12</v>
      </c>
      <c r="M2000">
        <v>14.25</v>
      </c>
      <c r="N2000">
        <v>7.12</v>
      </c>
      <c r="O2000" t="s">
        <v>34</v>
      </c>
      <c r="P2000">
        <v>2025</v>
      </c>
      <c r="Q2000" t="s">
        <v>3647</v>
      </c>
      <c r="R2000">
        <v>42.863999999999997</v>
      </c>
      <c r="S2000">
        <v>0.16610675625233301</v>
      </c>
      <c r="T2000" t="s">
        <v>3634</v>
      </c>
      <c r="U2000" t="s">
        <v>3633</v>
      </c>
    </row>
    <row r="2001" spans="1:21" x14ac:dyDescent="0.25">
      <c r="A2001" t="s">
        <v>3623</v>
      </c>
      <c r="B2001" s="1">
        <v>46022</v>
      </c>
      <c r="C2001" t="s">
        <v>3624</v>
      </c>
      <c r="D2001" t="s">
        <v>49</v>
      </c>
      <c r="E2001" t="s">
        <v>148</v>
      </c>
      <c r="F2001" t="s">
        <v>60</v>
      </c>
      <c r="G2001" t="s">
        <v>69</v>
      </c>
      <c r="H2001" t="s">
        <v>196</v>
      </c>
      <c r="I2001">
        <v>11</v>
      </c>
      <c r="J2001">
        <v>28.27</v>
      </c>
      <c r="K2001">
        <v>0</v>
      </c>
      <c r="L2001">
        <v>310.97000000000003</v>
      </c>
      <c r="M2001">
        <v>36.229999999999997</v>
      </c>
      <c r="N2001">
        <v>119.26</v>
      </c>
      <c r="O2001" t="s">
        <v>34</v>
      </c>
      <c r="P2001">
        <v>2025</v>
      </c>
      <c r="Q2001" t="s">
        <v>3647</v>
      </c>
      <c r="R2001">
        <v>310.97000000000003</v>
      </c>
      <c r="S2001">
        <v>0.38350966331157299</v>
      </c>
      <c r="T2001" t="s">
        <v>3632</v>
      </c>
      <c r="U2001" t="s">
        <v>3633</v>
      </c>
    </row>
  </sheetData>
  <phoneticPr fontId="1"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8AEC-6136-4930-8409-44C6EA410433}">
  <sheetPr codeName="Sheet5"/>
  <dimension ref="AU25"/>
  <sheetViews>
    <sheetView zoomScale="56" zoomScaleNormal="85" workbookViewId="0">
      <selection sqref="A1:XFD1048576"/>
    </sheetView>
  </sheetViews>
  <sheetFormatPr defaultRowHeight="15" x14ac:dyDescent="0.25"/>
  <cols>
    <col min="1" max="1" width="17.5703125" style="7" bestFit="1" customWidth="1"/>
    <col min="2" max="16384" width="9.140625" style="7"/>
  </cols>
  <sheetData>
    <row r="25" spans="47:47" x14ac:dyDescent="0.25">
      <c r="AU25" s="7"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B5BE4-3B38-424A-9A17-BF6CA3E30A96}">
  <sheetPr codeName="Sheet6"/>
  <dimension ref="E19"/>
  <sheetViews>
    <sheetView topLeftCell="M1" zoomScale="82" zoomScaleNormal="70" workbookViewId="0">
      <selection activeCell="AD6" sqref="AD6"/>
    </sheetView>
  </sheetViews>
  <sheetFormatPr defaultRowHeight="15" x14ac:dyDescent="0.25"/>
  <cols>
    <col min="1" max="16384" width="9.140625" style="8"/>
  </cols>
  <sheetData>
    <row r="19" spans="5:5" x14ac:dyDescent="0.25">
      <c r="E19" s="8">
        <f>AGF19</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104F1-41A4-482A-8E47-56D778597262}">
  <sheetPr codeName="Sheet7"/>
  <dimension ref="A1"/>
  <sheetViews>
    <sheetView tabSelected="1" topLeftCell="D1" zoomScaleNormal="100" workbookViewId="0">
      <selection activeCell="E10" sqref="E10"/>
    </sheetView>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F6C4A10CCE7048832F9C3C4A37683B" ma:contentTypeVersion="4" ma:contentTypeDescription="Create a new document." ma:contentTypeScope="" ma:versionID="2b3315c52f97b79de9c5263c0a5bbf76">
  <xsd:schema xmlns:xsd="http://www.w3.org/2001/XMLSchema" xmlns:xs="http://www.w3.org/2001/XMLSchema" xmlns:p="http://schemas.microsoft.com/office/2006/metadata/properties" xmlns:ns3="5d3203a6-e49d-4d8a-a672-0ba9946a26f7" targetNamespace="http://schemas.microsoft.com/office/2006/metadata/properties" ma:root="true" ma:fieldsID="e4c8a6c81cf2436096ea6480d7bd8132" ns3:_="">
    <xsd:import namespace="5d3203a6-e49d-4d8a-a672-0ba9946a26f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3203a6-e49d-4d8a-a672-0ba9946a26f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199DDF0A-C1FE-40CD-9576-4171863E34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3203a6-e49d-4d8a-a672-0ba9946a26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ACF612-9976-4399-ABA0-5F6D842AE26F}">
  <ds:schemaRefs>
    <ds:schemaRef ds:uri="http://schemas.microsoft.com/sharepoint/v3/contenttype/forms"/>
  </ds:schemaRefs>
</ds:datastoreItem>
</file>

<file path=customXml/itemProps3.xml><?xml version="1.0" encoding="utf-8"?>
<ds:datastoreItem xmlns:ds="http://schemas.openxmlformats.org/officeDocument/2006/customXml" ds:itemID="{EEEF934D-BB56-4D2A-8938-CB4272820499}">
  <ds:schemaRefs>
    <ds:schemaRef ds:uri="5d3203a6-e49d-4d8a-a672-0ba9946a26f7"/>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www.w3.org/XML/1998/namespace"/>
    <ds:schemaRef ds:uri="http://purl.org/dc/elements/1.1/"/>
    <ds:schemaRef ds:uri="http://schemas.microsoft.com/office/infopath/2007/PartnerControls"/>
    <ds:schemaRef ds:uri="http://purl.org/dc/dcmitype/"/>
  </ds:schemaRefs>
</ds:datastoreItem>
</file>

<file path=customXml/itemProps4.xml><?xml version="1.0" encoding="utf-8"?>
<ds:datastoreItem xmlns:ds="http://schemas.openxmlformats.org/officeDocument/2006/customXml" ds:itemID="{74654655-0654-4538-9736-B5022756CB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KPI CARD</vt:lpstr>
      <vt:lpstr>charts</vt:lpstr>
      <vt:lpstr>global_ecommerce_sales</vt:lpstr>
      <vt:lpstr>SALES OVERVIEW</vt:lpstr>
      <vt:lpstr>PRODUCT ANALYSIS</vt:lpstr>
      <vt:lpstr>REGION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S0106744</dc:creator>
  <cp:lastModifiedBy>S0106744</cp:lastModifiedBy>
  <dcterms:created xsi:type="dcterms:W3CDTF">2026-10-06T07:12:56Z</dcterms:created>
  <dcterms:modified xsi:type="dcterms:W3CDTF">2026-10-09T11:54:51Z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0x010100A6F6C4A10CCE7048832F9C3C4A37683B</vt:lpwstr>
  </property>
</Properties>
</file>